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480" firstSheet="3" activeTab="6"/>
  </bookViews>
  <sheets>
    <sheet name="Stock" sheetId="6" r:id="rId1"/>
    <sheet name="Option Strategies --&gt;" sheetId="8" r:id="rId2"/>
    <sheet name="Covered Calls" sheetId="7" r:id="rId3"/>
    <sheet name="Covered Call Performance" sheetId="9" r:id="rId4"/>
    <sheet name="Bull Put Spread" sheetId="10" r:id="rId5"/>
    <sheet name="Bull Put Spread Performance" sheetId="11" r:id="rId6"/>
    <sheet name="Bear Call Spread" sheetId="13" r:id="rId7"/>
    <sheet name="Reference Information" sheetId="5" r:id="rId8"/>
  </sheets>
  <functionGroups builtInGroupCount="18">
    <functionGroup name="xlwings"/>
  </functionGroups>
  <definedNames>
    <definedName name="_xlnm._FilterDatabase" localSheetId="6" hidden="1">'Bear Call Spread'!$B$3:$AC$305</definedName>
    <definedName name="_xlnm._FilterDatabase" localSheetId="4" hidden="1">'Bull Put Spread'!$B$3:$AC$428</definedName>
    <definedName name="_xlnm._FilterDatabase" localSheetId="5" hidden="1">'Bull Put Spread Performance'!$B$3:$U$121</definedName>
    <definedName name="_xlnm._FilterDatabase" localSheetId="3" hidden="1">'Covered Call Performance'!$B$3:$U$121</definedName>
    <definedName name="_xlnm._FilterDatabase" localSheetId="2" hidden="1">'Covered Calls'!$B$3:$Z$3</definedName>
    <definedName name="_xlnm._FilterDatabase" localSheetId="0" hidden="1">Stock!$W$3:$AR$300</definedName>
  </definedNames>
  <calcPr calcId="162913" calcMode="manual" calcCompleted="0" calcOnSave="0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ear_call_sprea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bull_put_sprea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covered_call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MFNAV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etStock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IRR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zerodh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8" i="10" l="1"/>
  <c r="T428" i="10"/>
  <c r="R428" i="10"/>
  <c r="S428" i="10" s="1"/>
  <c r="P428" i="10"/>
  <c r="Q428" i="10" s="1"/>
  <c r="R427" i="10"/>
  <c r="T427" i="10" s="1"/>
  <c r="P427" i="10"/>
  <c r="Q427" i="10" s="1"/>
  <c r="S426" i="10"/>
  <c r="R426" i="10"/>
  <c r="T426" i="10" s="1"/>
  <c r="P426" i="10"/>
  <c r="Q426" i="10" s="1"/>
  <c r="R425" i="10"/>
  <c r="T425" i="10" s="1"/>
  <c r="P425" i="10"/>
  <c r="Q425" i="10" s="1"/>
  <c r="T424" i="10"/>
  <c r="R424" i="10"/>
  <c r="S424" i="10" s="1"/>
  <c r="U424" i="10" s="1"/>
  <c r="Q424" i="10"/>
  <c r="P424" i="10"/>
  <c r="R423" i="10"/>
  <c r="T423" i="10" s="1"/>
  <c r="Q423" i="10"/>
  <c r="P423" i="10"/>
  <c r="S422" i="10"/>
  <c r="R422" i="10"/>
  <c r="T422" i="10" s="1"/>
  <c r="P422" i="10"/>
  <c r="Q422" i="10" s="1"/>
  <c r="S421" i="10"/>
  <c r="R421" i="10"/>
  <c r="T421" i="10" s="1"/>
  <c r="P421" i="10"/>
  <c r="Q421" i="10" s="1"/>
  <c r="U420" i="10"/>
  <c r="T420" i="10"/>
  <c r="R420" i="10"/>
  <c r="S420" i="10" s="1"/>
  <c r="P420" i="10"/>
  <c r="Q420" i="10" s="1"/>
  <c r="R419" i="10"/>
  <c r="T419" i="10" s="1"/>
  <c r="P419" i="10"/>
  <c r="Q419" i="10" s="1"/>
  <c r="S418" i="10"/>
  <c r="R418" i="10"/>
  <c r="T418" i="10" s="1"/>
  <c r="P418" i="10"/>
  <c r="Q418" i="10" s="1"/>
  <c r="R417" i="10"/>
  <c r="T417" i="10" s="1"/>
  <c r="Q417" i="10"/>
  <c r="P417" i="10"/>
  <c r="T416" i="10"/>
  <c r="U416" i="10" s="1"/>
  <c r="S416" i="10"/>
  <c r="R416" i="10"/>
  <c r="P416" i="10"/>
  <c r="Q416" i="10" s="1"/>
  <c r="R415" i="10"/>
  <c r="T415" i="10" s="1"/>
  <c r="P415" i="10"/>
  <c r="Q415" i="10" s="1"/>
  <c r="T414" i="10"/>
  <c r="R414" i="10"/>
  <c r="S414" i="10" s="1"/>
  <c r="P414" i="10"/>
  <c r="Q414" i="10" s="1"/>
  <c r="R413" i="10"/>
  <c r="P413" i="10"/>
  <c r="Q413" i="10" s="1"/>
  <c r="R412" i="10"/>
  <c r="S412" i="10" s="1"/>
  <c r="Q412" i="10"/>
  <c r="P412" i="10"/>
  <c r="R411" i="10"/>
  <c r="P411" i="10"/>
  <c r="Q411" i="10" s="1"/>
  <c r="T410" i="10"/>
  <c r="R410" i="10"/>
  <c r="S410" i="10" s="1"/>
  <c r="P410" i="10"/>
  <c r="Q410" i="10" s="1"/>
  <c r="R409" i="10"/>
  <c r="P409" i="10"/>
  <c r="Q409" i="10" s="1"/>
  <c r="R408" i="10"/>
  <c r="S408" i="10" s="1"/>
  <c r="Q408" i="10"/>
  <c r="P408" i="10"/>
  <c r="R407" i="10"/>
  <c r="P407" i="10"/>
  <c r="Q407" i="10" s="1"/>
  <c r="R406" i="10"/>
  <c r="Q406" i="10"/>
  <c r="P406" i="10"/>
  <c r="R405" i="10"/>
  <c r="T405" i="10" s="1"/>
  <c r="P405" i="10"/>
  <c r="Q405" i="10" s="1"/>
  <c r="R404" i="10"/>
  <c r="S404" i="10" s="1"/>
  <c r="P404" i="10"/>
  <c r="Q404" i="10" s="1"/>
  <c r="R403" i="10"/>
  <c r="P403" i="10"/>
  <c r="Q403" i="10" s="1"/>
  <c r="R402" i="10"/>
  <c r="S402" i="10" s="1"/>
  <c r="P402" i="10"/>
  <c r="Q402" i="10" s="1"/>
  <c r="R401" i="10"/>
  <c r="P401" i="10"/>
  <c r="Q401" i="10" s="1"/>
  <c r="R400" i="10"/>
  <c r="T400" i="10" s="1"/>
  <c r="P400" i="10"/>
  <c r="Q400" i="10" s="1"/>
  <c r="T399" i="10"/>
  <c r="S399" i="10"/>
  <c r="R399" i="10"/>
  <c r="P399" i="10"/>
  <c r="Q399" i="10" s="1"/>
  <c r="R398" i="10"/>
  <c r="T398" i="10" s="1"/>
  <c r="Q398" i="10"/>
  <c r="P398" i="10"/>
  <c r="R397" i="10"/>
  <c r="T397" i="10" s="1"/>
  <c r="P397" i="10"/>
  <c r="Q397" i="10" s="1"/>
  <c r="R396" i="10"/>
  <c r="T396" i="10" s="1"/>
  <c r="P396" i="10"/>
  <c r="Q396" i="10" s="1"/>
  <c r="R395" i="10"/>
  <c r="P395" i="10"/>
  <c r="Q395" i="10" s="1"/>
  <c r="R394" i="10"/>
  <c r="T394" i="10" s="1"/>
  <c r="P394" i="10"/>
  <c r="Q394" i="10" s="1"/>
  <c r="R393" i="10"/>
  <c r="S393" i="10" s="1"/>
  <c r="P393" i="10"/>
  <c r="Q393" i="10" s="1"/>
  <c r="S392" i="10"/>
  <c r="R392" i="10"/>
  <c r="T392" i="10" s="1"/>
  <c r="P392" i="10"/>
  <c r="Q392" i="10" s="1"/>
  <c r="R391" i="10"/>
  <c r="S391" i="10" s="1"/>
  <c r="P391" i="10"/>
  <c r="Q391" i="10" s="1"/>
  <c r="R390" i="10"/>
  <c r="P390" i="10"/>
  <c r="Q390" i="10" s="1"/>
  <c r="R389" i="10"/>
  <c r="P389" i="10"/>
  <c r="Q389" i="10" s="1"/>
  <c r="R388" i="10"/>
  <c r="T388" i="10" s="1"/>
  <c r="P388" i="10"/>
  <c r="Q388" i="10" s="1"/>
  <c r="T387" i="10"/>
  <c r="U387" i="10" s="1"/>
  <c r="R387" i="10"/>
  <c r="S387" i="10" s="1"/>
  <c r="P387" i="10"/>
  <c r="Q387" i="10" s="1"/>
  <c r="R386" i="10"/>
  <c r="T386" i="10" s="1"/>
  <c r="P386" i="10"/>
  <c r="Q386" i="10" s="1"/>
  <c r="R385" i="10"/>
  <c r="P385" i="10"/>
  <c r="Q385" i="10" s="1"/>
  <c r="R384" i="10"/>
  <c r="P384" i="10"/>
  <c r="Q384" i="10" s="1"/>
  <c r="R383" i="10"/>
  <c r="P383" i="10"/>
  <c r="Q383" i="10" s="1"/>
  <c r="R382" i="10"/>
  <c r="P382" i="10"/>
  <c r="Q382" i="10" s="1"/>
  <c r="T381" i="10"/>
  <c r="R381" i="10"/>
  <c r="S381" i="10" s="1"/>
  <c r="P381" i="10"/>
  <c r="Q381" i="10" s="1"/>
  <c r="R380" i="10"/>
  <c r="P380" i="10"/>
  <c r="Q380" i="10" s="1"/>
  <c r="T379" i="10"/>
  <c r="S379" i="10"/>
  <c r="R379" i="10"/>
  <c r="P379" i="10"/>
  <c r="Q379" i="10" s="1"/>
  <c r="R378" i="10"/>
  <c r="Q378" i="10"/>
  <c r="P378" i="10"/>
  <c r="R377" i="10"/>
  <c r="T377" i="10" s="1"/>
  <c r="P377" i="10"/>
  <c r="Q377" i="10" s="1"/>
  <c r="R376" i="10"/>
  <c r="P376" i="10"/>
  <c r="Q376" i="10" s="1"/>
  <c r="R375" i="10"/>
  <c r="P375" i="10"/>
  <c r="Q375" i="10" s="1"/>
  <c r="R374" i="10"/>
  <c r="P374" i="10"/>
  <c r="Q374" i="10" s="1"/>
  <c r="T373" i="10"/>
  <c r="R373" i="10"/>
  <c r="S373" i="10" s="1"/>
  <c r="P373" i="10"/>
  <c r="Q373" i="10" s="1"/>
  <c r="R372" i="10"/>
  <c r="P372" i="10"/>
  <c r="Q372" i="10" s="1"/>
  <c r="T371" i="10"/>
  <c r="S371" i="10"/>
  <c r="R371" i="10"/>
  <c r="P371" i="10"/>
  <c r="Q371" i="10" s="1"/>
  <c r="R370" i="10"/>
  <c r="Q370" i="10"/>
  <c r="P370" i="10"/>
  <c r="S369" i="10"/>
  <c r="R369" i="10"/>
  <c r="T369" i="10" s="1"/>
  <c r="P369" i="10"/>
  <c r="Q369" i="10" s="1"/>
  <c r="R368" i="10"/>
  <c r="Q368" i="10"/>
  <c r="P368" i="10"/>
  <c r="R367" i="10"/>
  <c r="T367" i="10" s="1"/>
  <c r="P367" i="10"/>
  <c r="Q367" i="10" s="1"/>
  <c r="R366" i="10"/>
  <c r="P366" i="10"/>
  <c r="Q366" i="10" s="1"/>
  <c r="R365" i="10"/>
  <c r="P365" i="10"/>
  <c r="Q365" i="10" s="1"/>
  <c r="R364" i="10"/>
  <c r="T364" i="10" s="1"/>
  <c r="P364" i="10"/>
  <c r="Q364" i="10" s="1"/>
  <c r="R363" i="10"/>
  <c r="Q363" i="10"/>
  <c r="P363" i="10"/>
  <c r="R362" i="10"/>
  <c r="T362" i="10" s="1"/>
  <c r="P362" i="10"/>
  <c r="Q362" i="10" s="1"/>
  <c r="R361" i="10"/>
  <c r="P361" i="10"/>
  <c r="Q361" i="10" s="1"/>
  <c r="R360" i="10"/>
  <c r="T360" i="10" s="1"/>
  <c r="P360" i="10"/>
  <c r="Q360" i="10" s="1"/>
  <c r="R359" i="10"/>
  <c r="P359" i="10"/>
  <c r="Q359" i="10" s="1"/>
  <c r="R358" i="10"/>
  <c r="P358" i="10"/>
  <c r="Q358" i="10" s="1"/>
  <c r="T357" i="10"/>
  <c r="U357" i="10" s="1"/>
  <c r="R357" i="10"/>
  <c r="S357" i="10" s="1"/>
  <c r="P357" i="10"/>
  <c r="Q357" i="10" s="1"/>
  <c r="R356" i="10"/>
  <c r="T356" i="10" s="1"/>
  <c r="P356" i="10"/>
  <c r="Q356" i="10" s="1"/>
  <c r="T355" i="10"/>
  <c r="U355" i="10" s="1"/>
  <c r="R355" i="10"/>
  <c r="S355" i="10" s="1"/>
  <c r="Q355" i="10"/>
  <c r="P355" i="10"/>
  <c r="R354" i="10"/>
  <c r="T354" i="10" s="1"/>
  <c r="P354" i="10"/>
  <c r="Q354" i="10" s="1"/>
  <c r="T353" i="10"/>
  <c r="U353" i="10" s="1"/>
  <c r="R353" i="10"/>
  <c r="S353" i="10" s="1"/>
  <c r="P353" i="10"/>
  <c r="Q353" i="10" s="1"/>
  <c r="S352" i="10"/>
  <c r="U352" i="10" s="1"/>
  <c r="R352" i="10"/>
  <c r="T352" i="10" s="1"/>
  <c r="P352" i="10"/>
  <c r="Q352" i="10" s="1"/>
  <c r="T351" i="10"/>
  <c r="R351" i="10"/>
  <c r="S351" i="10" s="1"/>
  <c r="P351" i="10"/>
  <c r="Q351" i="10" s="1"/>
  <c r="T350" i="10"/>
  <c r="R350" i="10"/>
  <c r="S350" i="10" s="1"/>
  <c r="P350" i="10"/>
  <c r="Q350" i="10" s="1"/>
  <c r="R349" i="10"/>
  <c r="T349" i="10" s="1"/>
  <c r="P349" i="10"/>
  <c r="Q349" i="10" s="1"/>
  <c r="T348" i="10"/>
  <c r="S348" i="10"/>
  <c r="R348" i="10"/>
  <c r="P348" i="10"/>
  <c r="Q348" i="10" s="1"/>
  <c r="R347" i="10"/>
  <c r="T347" i="10" s="1"/>
  <c r="Q347" i="10"/>
  <c r="P347" i="10"/>
  <c r="R346" i="10"/>
  <c r="T346" i="10" s="1"/>
  <c r="P346" i="10"/>
  <c r="Q346" i="10" s="1"/>
  <c r="R345" i="10"/>
  <c r="T345" i="10" s="1"/>
  <c r="P345" i="10"/>
  <c r="Q345" i="10" s="1"/>
  <c r="R344" i="10"/>
  <c r="P344" i="10"/>
  <c r="Q344" i="10" s="1"/>
  <c r="R343" i="10"/>
  <c r="T343" i="10" s="1"/>
  <c r="P343" i="10"/>
  <c r="Q343" i="10" s="1"/>
  <c r="T342" i="10"/>
  <c r="U342" i="10" s="1"/>
  <c r="R342" i="10"/>
  <c r="S342" i="10" s="1"/>
  <c r="P342" i="10"/>
  <c r="Q342" i="10" s="1"/>
  <c r="R341" i="10"/>
  <c r="T341" i="10" s="1"/>
  <c r="P341" i="10"/>
  <c r="Q341" i="10" s="1"/>
  <c r="Z427" i="10"/>
  <c r="V427" i="10"/>
  <c r="Z425" i="10"/>
  <c r="V425" i="10"/>
  <c r="Z423" i="10"/>
  <c r="V423" i="10"/>
  <c r="Z421" i="10"/>
  <c r="V421" i="10"/>
  <c r="Z428" i="10"/>
  <c r="V428" i="10"/>
  <c r="Z426" i="10"/>
  <c r="V426" i="10"/>
  <c r="Z424" i="10"/>
  <c r="V424" i="10"/>
  <c r="Z422" i="10"/>
  <c r="V422" i="10"/>
  <c r="Z420" i="10"/>
  <c r="V420" i="10"/>
  <c r="Z418" i="10"/>
  <c r="V418" i="10"/>
  <c r="Z416" i="10"/>
  <c r="V416" i="10"/>
  <c r="Z414" i="10"/>
  <c r="V414" i="10"/>
  <c r="Z412" i="10"/>
  <c r="V412" i="10"/>
  <c r="Z410" i="10"/>
  <c r="V410" i="10"/>
  <c r="Z408" i="10"/>
  <c r="V408" i="10"/>
  <c r="Z406" i="10"/>
  <c r="V406" i="10"/>
  <c r="V413" i="10"/>
  <c r="V411" i="10"/>
  <c r="V409" i="10"/>
  <c r="V407" i="10"/>
  <c r="V404" i="10"/>
  <c r="Z403" i="10"/>
  <c r="V401" i="10"/>
  <c r="Z419" i="10"/>
  <c r="V417" i="10"/>
  <c r="Z415" i="10"/>
  <c r="Z404" i="10"/>
  <c r="V402" i="10"/>
  <c r="Z401" i="10"/>
  <c r="Z399" i="10"/>
  <c r="V399" i="10"/>
  <c r="Z397" i="10"/>
  <c r="V397" i="10"/>
  <c r="Z395" i="10"/>
  <c r="V395" i="10"/>
  <c r="Z393" i="10"/>
  <c r="V393" i="10"/>
  <c r="Z391" i="10"/>
  <c r="V391" i="10"/>
  <c r="Z389" i="10"/>
  <c r="V389" i="10"/>
  <c r="Z387" i="10"/>
  <c r="V387" i="10"/>
  <c r="Z402" i="10"/>
  <c r="Z392" i="10"/>
  <c r="Z390" i="10"/>
  <c r="Z388" i="10"/>
  <c r="V386" i="10"/>
  <c r="Z383" i="10"/>
  <c r="V383" i="10"/>
  <c r="Z381" i="10"/>
  <c r="V381" i="10"/>
  <c r="Z379" i="10"/>
  <c r="V379" i="10"/>
  <c r="Z377" i="10"/>
  <c r="V377" i="10"/>
  <c r="Z375" i="10"/>
  <c r="V375" i="10"/>
  <c r="Z373" i="10"/>
  <c r="V373" i="10"/>
  <c r="Z371" i="10"/>
  <c r="V371" i="10"/>
  <c r="Z369" i="10"/>
  <c r="V369" i="10"/>
  <c r="Z367" i="10"/>
  <c r="V367" i="10"/>
  <c r="Z365" i="10"/>
  <c r="V365" i="10"/>
  <c r="Z363" i="10"/>
  <c r="V363" i="10"/>
  <c r="Z361" i="10"/>
  <c r="V361" i="10"/>
  <c r="Z359" i="10"/>
  <c r="V359" i="10"/>
  <c r="Z357" i="10"/>
  <c r="V357" i="10"/>
  <c r="Z355" i="10"/>
  <c r="V355" i="10"/>
  <c r="Z353" i="10"/>
  <c r="V353" i="10"/>
  <c r="Z351" i="10"/>
  <c r="V351" i="10"/>
  <c r="Z417" i="10"/>
  <c r="Z413" i="10"/>
  <c r="Z409" i="10"/>
  <c r="Z405" i="10"/>
  <c r="V403" i="10"/>
  <c r="Z400" i="10"/>
  <c r="V398" i="10"/>
  <c r="Z396" i="10"/>
  <c r="V394" i="10"/>
  <c r="Z386" i="10"/>
  <c r="V384" i="10"/>
  <c r="Z411" i="10"/>
  <c r="Z407" i="10"/>
  <c r="V388" i="10"/>
  <c r="Z384" i="10"/>
  <c r="V366" i="10"/>
  <c r="Z364" i="10"/>
  <c r="V358" i="10"/>
  <c r="Z356" i="10"/>
  <c r="V350" i="10"/>
  <c r="Z348" i="10"/>
  <c r="V348" i="10"/>
  <c r="Z346" i="10"/>
  <c r="V346" i="10"/>
  <c r="Z344" i="10"/>
  <c r="V344" i="10"/>
  <c r="Z342" i="10"/>
  <c r="V342" i="10"/>
  <c r="V400" i="10"/>
  <c r="V392" i="10"/>
  <c r="V385" i="10"/>
  <c r="Z368" i="10"/>
  <c r="Z360" i="10"/>
  <c r="V354" i="10"/>
  <c r="Z352" i="10"/>
  <c r="Z349" i="10"/>
  <c r="Z347" i="10"/>
  <c r="V343" i="10"/>
  <c r="Z341" i="10"/>
  <c r="V419" i="10"/>
  <c r="V405" i="10"/>
  <c r="V396" i="10"/>
  <c r="Z382" i="10"/>
  <c r="Z380" i="10"/>
  <c r="Z378" i="10"/>
  <c r="Z374" i="10"/>
  <c r="Z398" i="10"/>
  <c r="V390" i="10"/>
  <c r="Z385" i="10"/>
  <c r="V382" i="10"/>
  <c r="V380" i="10"/>
  <c r="V378" i="10"/>
  <c r="V376" i="10"/>
  <c r="V374" i="10"/>
  <c r="V372" i="10"/>
  <c r="V370" i="10"/>
  <c r="V368" i="10"/>
  <c r="Z366" i="10"/>
  <c r="V360" i="10"/>
  <c r="Z358" i="10"/>
  <c r="V352" i="10"/>
  <c r="Z350" i="10"/>
  <c r="Z394" i="10"/>
  <c r="V362" i="10"/>
  <c r="V349" i="10"/>
  <c r="V347" i="10"/>
  <c r="V345" i="10"/>
  <c r="Z343" i="10"/>
  <c r="V341" i="10"/>
  <c r="V415" i="10"/>
  <c r="Z376" i="10"/>
  <c r="Z345" i="10"/>
  <c r="Z372" i="10"/>
  <c r="Z362" i="10"/>
  <c r="Z354" i="10"/>
  <c r="V356" i="10"/>
  <c r="Z370" i="10"/>
  <c r="V364" i="10"/>
  <c r="T361" i="10" l="1"/>
  <c r="S361" i="10"/>
  <c r="T368" i="10"/>
  <c r="S368" i="10"/>
  <c r="U368" i="10" s="1"/>
  <c r="T390" i="10"/>
  <c r="S390" i="10"/>
  <c r="U348" i="10"/>
  <c r="U351" i="10"/>
  <c r="S367" i="10"/>
  <c r="S377" i="10"/>
  <c r="U377" i="10" s="1"/>
  <c r="T383" i="10"/>
  <c r="S383" i="10"/>
  <c r="S385" i="10"/>
  <c r="T385" i="10"/>
  <c r="U385" i="10" s="1"/>
  <c r="AC385" i="10" s="1"/>
  <c r="T395" i="10"/>
  <c r="U395" i="10" s="1"/>
  <c r="S395" i="10"/>
  <c r="T402" i="10"/>
  <c r="U402" i="10" s="1"/>
  <c r="S405" i="10"/>
  <c r="U405" i="10" s="1"/>
  <c r="U410" i="10"/>
  <c r="U422" i="10"/>
  <c r="S425" i="10"/>
  <c r="S346" i="10"/>
  <c r="U346" i="10" s="1"/>
  <c r="Y346" i="10" s="1"/>
  <c r="U350" i="10"/>
  <c r="T363" i="10"/>
  <c r="S363" i="10"/>
  <c r="U369" i="10"/>
  <c r="AC369" i="10" s="1"/>
  <c r="S389" i="10"/>
  <c r="T389" i="10"/>
  <c r="U399" i="10"/>
  <c r="AC399" i="10" s="1"/>
  <c r="T344" i="10"/>
  <c r="U344" i="10" s="1"/>
  <c r="S344" i="10"/>
  <c r="U367" i="10"/>
  <c r="T359" i="10"/>
  <c r="U359" i="10" s="1"/>
  <c r="Y359" i="10" s="1"/>
  <c r="S359" i="10"/>
  <c r="T365" i="10"/>
  <c r="S365" i="10"/>
  <c r="T375" i="10"/>
  <c r="U375" i="10" s="1"/>
  <c r="S375" i="10"/>
  <c r="T384" i="10"/>
  <c r="S384" i="10"/>
  <c r="T391" i="10"/>
  <c r="U391" i="10" s="1"/>
  <c r="AC391" i="10" s="1"/>
  <c r="S397" i="10"/>
  <c r="U397" i="10" s="1"/>
  <c r="AC397" i="10" s="1"/>
  <c r="U418" i="10"/>
  <c r="U426" i="10"/>
  <c r="U428" i="10"/>
  <c r="AC428" i="10" s="1"/>
  <c r="U427" i="10"/>
  <c r="S360" i="10"/>
  <c r="U360" i="10" s="1"/>
  <c r="S388" i="10"/>
  <c r="T393" i="10"/>
  <c r="U393" i="10" s="1"/>
  <c r="S394" i="10"/>
  <c r="T408" i="10"/>
  <c r="U408" i="10" s="1"/>
  <c r="Y408" i="10" s="1"/>
  <c r="T412" i="10"/>
  <c r="U412" i="10" s="1"/>
  <c r="Y412" i="10" s="1"/>
  <c r="S419" i="10"/>
  <c r="S423" i="10"/>
  <c r="U423" i="10" s="1"/>
  <c r="S427" i="10"/>
  <c r="W364" i="10"/>
  <c r="AA370" i="10"/>
  <c r="AB370" i="10" s="1"/>
  <c r="W356" i="10"/>
  <c r="AA354" i="10"/>
  <c r="AB354" i="10" s="1"/>
  <c r="AA362" i="10"/>
  <c r="AB362" i="10" s="1"/>
  <c r="AA372" i="10"/>
  <c r="AB372" i="10" s="1"/>
  <c r="AA345" i="10"/>
  <c r="AB345" i="10" s="1"/>
  <c r="AA376" i="10"/>
  <c r="AB376" i="10" s="1"/>
  <c r="W415" i="10"/>
  <c r="W341" i="10"/>
  <c r="AA343" i="10"/>
  <c r="AB343" i="10" s="1"/>
  <c r="W345" i="10"/>
  <c r="W347" i="10"/>
  <c r="W349" i="10"/>
  <c r="W362" i="10"/>
  <c r="AA394" i="10"/>
  <c r="AB394" i="10" s="1"/>
  <c r="AA350" i="10"/>
  <c r="AB350" i="10" s="1"/>
  <c r="W352" i="10"/>
  <c r="X352" i="10" s="1"/>
  <c r="AA358" i="10"/>
  <c r="AB358" i="10" s="1"/>
  <c r="W360" i="10"/>
  <c r="X360" i="10" s="1"/>
  <c r="Y360" i="10" s="1"/>
  <c r="AA366" i="10"/>
  <c r="AB366" i="10" s="1"/>
  <c r="W368" i="10"/>
  <c r="W370" i="10"/>
  <c r="W372" i="10"/>
  <c r="W374" i="10"/>
  <c r="W376" i="10"/>
  <c r="W378" i="10"/>
  <c r="W380" i="10"/>
  <c r="W382" i="10"/>
  <c r="AA385" i="10"/>
  <c r="AB385" i="10" s="1"/>
  <c r="W390" i="10"/>
  <c r="X390" i="10" s="1"/>
  <c r="AA398" i="10"/>
  <c r="AB398" i="10" s="1"/>
  <c r="AA374" i="10"/>
  <c r="AB374" i="10" s="1"/>
  <c r="AA378" i="10"/>
  <c r="AB378" i="10" s="1"/>
  <c r="AA380" i="10"/>
  <c r="AB380" i="10" s="1"/>
  <c r="AA382" i="10"/>
  <c r="AB382" i="10" s="1"/>
  <c r="W396" i="10"/>
  <c r="W405" i="10"/>
  <c r="W419" i="10"/>
  <c r="X419" i="10" s="1"/>
  <c r="AA341" i="10"/>
  <c r="AB341" i="10" s="1"/>
  <c r="W343" i="10"/>
  <c r="AA347" i="10"/>
  <c r="AB347" i="10" s="1"/>
  <c r="AA349" i="10"/>
  <c r="AB349" i="10" s="1"/>
  <c r="AA352" i="10"/>
  <c r="AB352" i="10" s="1"/>
  <c r="AC352" i="10" s="1"/>
  <c r="W354" i="10"/>
  <c r="AA360" i="10"/>
  <c r="AB360" i="10" s="1"/>
  <c r="AA368" i="10"/>
  <c r="AB368" i="10" s="1"/>
  <c r="W385" i="10"/>
  <c r="X385" i="10" s="1"/>
  <c r="W392" i="10"/>
  <c r="X392" i="10" s="1"/>
  <c r="W400" i="10"/>
  <c r="W342" i="10"/>
  <c r="X342" i="10" s="1"/>
  <c r="Y342" i="10" s="1"/>
  <c r="AA342" i="10"/>
  <c r="AB342" i="10" s="1"/>
  <c r="AC342" i="10" s="1"/>
  <c r="W344" i="10"/>
  <c r="X344" i="10" s="1"/>
  <c r="AA344" i="10"/>
  <c r="AB344" i="10" s="1"/>
  <c r="W346" i="10"/>
  <c r="X346" i="10" s="1"/>
  <c r="AA346" i="10"/>
  <c r="AB346" i="10" s="1"/>
  <c r="W348" i="10"/>
  <c r="X348" i="10" s="1"/>
  <c r="AA348" i="10"/>
  <c r="AB348" i="10" s="1"/>
  <c r="W350" i="10"/>
  <c r="X350" i="10" s="1"/>
  <c r="AA356" i="10"/>
  <c r="AB356" i="10" s="1"/>
  <c r="W358" i="10"/>
  <c r="AA364" i="10"/>
  <c r="AB364" i="10" s="1"/>
  <c r="W366" i="10"/>
  <c r="AA384" i="10"/>
  <c r="AB384" i="10" s="1"/>
  <c r="W388" i="10"/>
  <c r="X388" i="10" s="1"/>
  <c r="AA407" i="10"/>
  <c r="AB407" i="10" s="1"/>
  <c r="AA411" i="10"/>
  <c r="AB411" i="10" s="1"/>
  <c r="W384" i="10"/>
  <c r="X384" i="10" s="1"/>
  <c r="AA386" i="10"/>
  <c r="AB386" i="10" s="1"/>
  <c r="W394" i="10"/>
  <c r="AA396" i="10"/>
  <c r="AB396" i="10" s="1"/>
  <c r="W398" i="10"/>
  <c r="AA400" i="10"/>
  <c r="AB400" i="10" s="1"/>
  <c r="W403" i="10"/>
  <c r="AA405" i="10"/>
  <c r="AB405" i="10" s="1"/>
  <c r="AA409" i="10"/>
  <c r="AB409" i="10" s="1"/>
  <c r="AA413" i="10"/>
  <c r="AB413" i="10" s="1"/>
  <c r="AA417" i="10"/>
  <c r="AB417" i="10" s="1"/>
  <c r="W351" i="10"/>
  <c r="X351" i="10" s="1"/>
  <c r="Y351" i="10" s="1"/>
  <c r="AA351" i="10"/>
  <c r="AB351" i="10" s="1"/>
  <c r="AC351" i="10" s="1"/>
  <c r="W353" i="10"/>
  <c r="X353" i="10" s="1"/>
  <c r="Y353" i="10" s="1"/>
  <c r="AA353" i="10"/>
  <c r="AB353" i="10" s="1"/>
  <c r="W355" i="10"/>
  <c r="X355" i="10" s="1"/>
  <c r="Y355" i="10" s="1"/>
  <c r="AA355" i="10"/>
  <c r="AB355" i="10" s="1"/>
  <c r="AC355" i="10" s="1"/>
  <c r="W357" i="10"/>
  <c r="X357" i="10" s="1"/>
  <c r="AA357" i="10"/>
  <c r="AB357" i="10" s="1"/>
  <c r="W359" i="10"/>
  <c r="X359" i="10" s="1"/>
  <c r="AA359" i="10"/>
  <c r="AB359" i="10" s="1"/>
  <c r="W361" i="10"/>
  <c r="X361" i="10" s="1"/>
  <c r="AA361" i="10"/>
  <c r="AB361" i="10" s="1"/>
  <c r="W363" i="10"/>
  <c r="X363" i="10" s="1"/>
  <c r="AA363" i="10"/>
  <c r="AB363" i="10" s="1"/>
  <c r="W365" i="10"/>
  <c r="X365" i="10" s="1"/>
  <c r="AA365" i="10"/>
  <c r="AB365" i="10" s="1"/>
  <c r="W367" i="10"/>
  <c r="X367" i="10" s="1"/>
  <c r="Y367" i="10" s="1"/>
  <c r="AA367" i="10"/>
  <c r="AB367" i="10" s="1"/>
  <c r="AC367" i="10" s="1"/>
  <c r="W369" i="10"/>
  <c r="X369" i="10" s="1"/>
  <c r="AA369" i="10"/>
  <c r="AB369" i="10" s="1"/>
  <c r="W371" i="10"/>
  <c r="X371" i="10" s="1"/>
  <c r="AA371" i="10"/>
  <c r="AB371" i="10" s="1"/>
  <c r="W373" i="10"/>
  <c r="X373" i="10" s="1"/>
  <c r="AA373" i="10"/>
  <c r="AB373" i="10" s="1"/>
  <c r="W375" i="10"/>
  <c r="X375" i="10" s="1"/>
  <c r="AA375" i="10"/>
  <c r="AB375" i="10" s="1"/>
  <c r="W377" i="10"/>
  <c r="AA377" i="10"/>
  <c r="AB377" i="10" s="1"/>
  <c r="W379" i="10"/>
  <c r="X379" i="10" s="1"/>
  <c r="AA379" i="10"/>
  <c r="AB379" i="10" s="1"/>
  <c r="W381" i="10"/>
  <c r="X381" i="10" s="1"/>
  <c r="AA381" i="10"/>
  <c r="AB381" i="10" s="1"/>
  <c r="W383" i="10"/>
  <c r="X383" i="10" s="1"/>
  <c r="AA383" i="10"/>
  <c r="AB383" i="10" s="1"/>
  <c r="W386" i="10"/>
  <c r="AA388" i="10"/>
  <c r="AB388" i="10" s="1"/>
  <c r="AA390" i="10"/>
  <c r="AB390" i="10" s="1"/>
  <c r="AA392" i="10"/>
  <c r="AB392" i="10" s="1"/>
  <c r="AA402" i="10"/>
  <c r="AB402" i="10" s="1"/>
  <c r="W387" i="10"/>
  <c r="X387" i="10" s="1"/>
  <c r="AA387" i="10"/>
  <c r="AB387" i="10" s="1"/>
  <c r="AC387" i="10" s="1"/>
  <c r="W389" i="10"/>
  <c r="X389" i="10" s="1"/>
  <c r="AA389" i="10"/>
  <c r="AB389" i="10" s="1"/>
  <c r="W391" i="10"/>
  <c r="X391" i="10" s="1"/>
  <c r="AA391" i="10"/>
  <c r="AB391" i="10" s="1"/>
  <c r="W393" i="10"/>
  <c r="X393" i="10" s="1"/>
  <c r="Y393" i="10" s="1"/>
  <c r="AA393" i="10"/>
  <c r="AB393" i="10" s="1"/>
  <c r="W395" i="10"/>
  <c r="X395" i="10" s="1"/>
  <c r="Y395" i="10" s="1"/>
  <c r="AA395" i="10"/>
  <c r="AB395" i="10" s="1"/>
  <c r="AC395" i="10" s="1"/>
  <c r="W397" i="10"/>
  <c r="X397" i="10" s="1"/>
  <c r="AA397" i="10"/>
  <c r="AB397" i="10" s="1"/>
  <c r="W399" i="10"/>
  <c r="X399" i="10" s="1"/>
  <c r="AA399" i="10"/>
  <c r="AB399" i="10" s="1"/>
  <c r="AA401" i="10"/>
  <c r="AB401" i="10" s="1"/>
  <c r="W402" i="10"/>
  <c r="X402" i="10" s="1"/>
  <c r="AA404" i="10"/>
  <c r="AB404" i="10" s="1"/>
  <c r="AA415" i="10"/>
  <c r="AB415" i="10" s="1"/>
  <c r="W417" i="10"/>
  <c r="AA419" i="10"/>
  <c r="AB419" i="10" s="1"/>
  <c r="W401" i="10"/>
  <c r="AA403" i="10"/>
  <c r="AB403" i="10" s="1"/>
  <c r="W404" i="10"/>
  <c r="X404" i="10" s="1"/>
  <c r="W407" i="10"/>
  <c r="W409" i="10"/>
  <c r="W411" i="10"/>
  <c r="W413" i="10"/>
  <c r="W406" i="10"/>
  <c r="AA406" i="10"/>
  <c r="AB406" i="10" s="1"/>
  <c r="W408" i="10"/>
  <c r="X408" i="10" s="1"/>
  <c r="AA408" i="10"/>
  <c r="AB408" i="10" s="1"/>
  <c r="W410" i="10"/>
  <c r="X410" i="10" s="1"/>
  <c r="Y410" i="10" s="1"/>
  <c r="AA410" i="10"/>
  <c r="AB410" i="10" s="1"/>
  <c r="W412" i="10"/>
  <c r="X412" i="10" s="1"/>
  <c r="AA412" i="10"/>
  <c r="AB412" i="10" s="1"/>
  <c r="W414" i="10"/>
  <c r="X414" i="10" s="1"/>
  <c r="AA414" i="10"/>
  <c r="AB414" i="10" s="1"/>
  <c r="W416" i="10"/>
  <c r="X416" i="10" s="1"/>
  <c r="Y416" i="10" s="1"/>
  <c r="AA416" i="10"/>
  <c r="AB416" i="10" s="1"/>
  <c r="AC416" i="10" s="1"/>
  <c r="W418" i="10"/>
  <c r="X418" i="10" s="1"/>
  <c r="Y418" i="10" s="1"/>
  <c r="AA418" i="10"/>
  <c r="AB418" i="10" s="1"/>
  <c r="W420" i="10"/>
  <c r="X420" i="10" s="1"/>
  <c r="Y420" i="10" s="1"/>
  <c r="AA420" i="10"/>
  <c r="AB420" i="10" s="1"/>
  <c r="W422" i="10"/>
  <c r="X422" i="10" s="1"/>
  <c r="Y422" i="10" s="1"/>
  <c r="AA422" i="10"/>
  <c r="AB422" i="10" s="1"/>
  <c r="AC422" i="10" s="1"/>
  <c r="W424" i="10"/>
  <c r="X424" i="10" s="1"/>
  <c r="AA424" i="10"/>
  <c r="AB424" i="10" s="1"/>
  <c r="AC424" i="10" s="1"/>
  <c r="W426" i="10"/>
  <c r="X426" i="10" s="1"/>
  <c r="Y426" i="10" s="1"/>
  <c r="AA426" i="10"/>
  <c r="AB426" i="10" s="1"/>
  <c r="AC426" i="10" s="1"/>
  <c r="W428" i="10"/>
  <c r="X428" i="10" s="1"/>
  <c r="AA428" i="10"/>
  <c r="AB428" i="10" s="1"/>
  <c r="W421" i="10"/>
  <c r="X421" i="10" s="1"/>
  <c r="AA421" i="10"/>
  <c r="AB421" i="10" s="1"/>
  <c r="W423" i="10"/>
  <c r="X423" i="10" s="1"/>
  <c r="AA423" i="10"/>
  <c r="AB423" i="10" s="1"/>
  <c r="W425" i="10"/>
  <c r="X425" i="10" s="1"/>
  <c r="AA425" i="10"/>
  <c r="AB425" i="10" s="1"/>
  <c r="W427" i="10"/>
  <c r="X427" i="10" s="1"/>
  <c r="AA427" i="10"/>
  <c r="AB427" i="10" s="1"/>
  <c r="Y352" i="10"/>
  <c r="Y350" i="10"/>
  <c r="AC360" i="10"/>
  <c r="T366" i="10"/>
  <c r="S366" i="10"/>
  <c r="AC368" i="10"/>
  <c r="AC353" i="10"/>
  <c r="Y369" i="10"/>
  <c r="T370" i="10"/>
  <c r="S370" i="10"/>
  <c r="AC393" i="10"/>
  <c r="AC348" i="10"/>
  <c r="Y348" i="10"/>
  <c r="T358" i="10"/>
  <c r="S358" i="10"/>
  <c r="T372" i="10"/>
  <c r="S372" i="10"/>
  <c r="Y387" i="10"/>
  <c r="AC344" i="10"/>
  <c r="Y344" i="10"/>
  <c r="AC350" i="10"/>
  <c r="Y357" i="10"/>
  <c r="AC357" i="10"/>
  <c r="Y391" i="10"/>
  <c r="AC402" i="10"/>
  <c r="Y402" i="10"/>
  <c r="T376" i="10"/>
  <c r="U376" i="10" s="1"/>
  <c r="S376" i="10"/>
  <c r="T378" i="10"/>
  <c r="S378" i="10"/>
  <c r="T382" i="10"/>
  <c r="U382" i="10" s="1"/>
  <c r="S382" i="10"/>
  <c r="T401" i="10"/>
  <c r="S401" i="10"/>
  <c r="T403" i="10"/>
  <c r="S403" i="10"/>
  <c r="T374" i="10"/>
  <c r="S374" i="10"/>
  <c r="T380" i="10"/>
  <c r="U380" i="10" s="1"/>
  <c r="S380" i="10"/>
  <c r="U398" i="10"/>
  <c r="Y427" i="10"/>
  <c r="U379" i="10"/>
  <c r="U381" i="10"/>
  <c r="U383" i="10"/>
  <c r="U384" i="10"/>
  <c r="S398" i="10"/>
  <c r="S417" i="10"/>
  <c r="U417" i="10" s="1"/>
  <c r="S345" i="10"/>
  <c r="U345" i="10" s="1"/>
  <c r="S349" i="10"/>
  <c r="U349" i="10" s="1"/>
  <c r="S356" i="10"/>
  <c r="U356" i="10" s="1"/>
  <c r="S364" i="10"/>
  <c r="U364" i="10" s="1"/>
  <c r="S386" i="10"/>
  <c r="U386" i="10" s="1"/>
  <c r="T404" i="10"/>
  <c r="U404" i="10" s="1"/>
  <c r="T409" i="10"/>
  <c r="U409" i="10" s="1"/>
  <c r="S409" i="10"/>
  <c r="AC410" i="10"/>
  <c r="T413" i="10"/>
  <c r="U413" i="10" s="1"/>
  <c r="S413" i="10"/>
  <c r="U371" i="10"/>
  <c r="U373" i="10"/>
  <c r="S341" i="10"/>
  <c r="U341" i="10" s="1"/>
  <c r="S343" i="10"/>
  <c r="U343" i="10" s="1"/>
  <c r="S347" i="10"/>
  <c r="U347" i="10" s="1"/>
  <c r="S354" i="10"/>
  <c r="U354" i="10" s="1"/>
  <c r="S362" i="10"/>
  <c r="U362" i="10" s="1"/>
  <c r="U394" i="10"/>
  <c r="AC418" i="10"/>
  <c r="S406" i="10"/>
  <c r="T406" i="10"/>
  <c r="T407" i="10"/>
  <c r="S407" i="10"/>
  <c r="T411" i="10"/>
  <c r="U411" i="10" s="1"/>
  <c r="S411" i="10"/>
  <c r="U414" i="10"/>
  <c r="U388" i="10"/>
  <c r="U390" i="10"/>
  <c r="U392" i="10"/>
  <c r="S396" i="10"/>
  <c r="U396" i="10" s="1"/>
  <c r="S400" i="10"/>
  <c r="U400" i="10" s="1"/>
  <c r="AC420" i="10"/>
  <c r="Y424" i="10"/>
  <c r="U419" i="10"/>
  <c r="U421" i="10"/>
  <c r="U425" i="10"/>
  <c r="S415" i="10"/>
  <c r="U415" i="10" s="1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P9" i="13"/>
  <c r="P8" i="13"/>
  <c r="P7" i="13"/>
  <c r="P6" i="13"/>
  <c r="P5" i="13"/>
  <c r="P4" i="13"/>
  <c r="AH1" i="10"/>
  <c r="R340" i="10"/>
  <c r="T340" i="10" s="1"/>
  <c r="P340" i="10"/>
  <c r="Q340" i="10" s="1"/>
  <c r="R339" i="10"/>
  <c r="S339" i="10" s="1"/>
  <c r="Q339" i="10"/>
  <c r="P339" i="10"/>
  <c r="R338" i="10"/>
  <c r="T338" i="10" s="1"/>
  <c r="P338" i="10"/>
  <c r="Q338" i="10" s="1"/>
  <c r="T337" i="10"/>
  <c r="R337" i="10"/>
  <c r="S337" i="10" s="1"/>
  <c r="P337" i="10"/>
  <c r="Q337" i="10" s="1"/>
  <c r="R336" i="10"/>
  <c r="P336" i="10"/>
  <c r="Q336" i="10" s="1"/>
  <c r="R335" i="10"/>
  <c r="S335" i="10" s="1"/>
  <c r="P335" i="10"/>
  <c r="Q335" i="10" s="1"/>
  <c r="S334" i="10"/>
  <c r="R334" i="10"/>
  <c r="T334" i="10" s="1"/>
  <c r="P334" i="10"/>
  <c r="Q334" i="10" s="1"/>
  <c r="R333" i="10"/>
  <c r="Q333" i="10"/>
  <c r="P333" i="10"/>
  <c r="R332" i="10"/>
  <c r="P332" i="10"/>
  <c r="Q332" i="10" s="1"/>
  <c r="T331" i="10"/>
  <c r="R331" i="10"/>
  <c r="S331" i="10" s="1"/>
  <c r="P331" i="10"/>
  <c r="Q331" i="10" s="1"/>
  <c r="R330" i="10"/>
  <c r="T330" i="10" s="1"/>
  <c r="P330" i="10"/>
  <c r="Q330" i="10" s="1"/>
  <c r="R329" i="10"/>
  <c r="S329" i="10" s="1"/>
  <c r="P329" i="10"/>
  <c r="Q329" i="10" s="1"/>
  <c r="R328" i="10"/>
  <c r="P328" i="10"/>
  <c r="Q328" i="10" s="1"/>
  <c r="R327" i="10"/>
  <c r="S327" i="10" s="1"/>
  <c r="P327" i="10"/>
  <c r="Q327" i="10" s="1"/>
  <c r="R326" i="10"/>
  <c r="T326" i="10" s="1"/>
  <c r="P326" i="10"/>
  <c r="Q326" i="10" s="1"/>
  <c r="R325" i="10"/>
  <c r="S325" i="10" s="1"/>
  <c r="P325" i="10"/>
  <c r="Q325" i="10" s="1"/>
  <c r="R324" i="10"/>
  <c r="P324" i="10"/>
  <c r="Q324" i="10" s="1"/>
  <c r="R323" i="10"/>
  <c r="P323" i="10"/>
  <c r="Q323" i="10" s="1"/>
  <c r="R322" i="10"/>
  <c r="S322" i="10" s="1"/>
  <c r="P322" i="10"/>
  <c r="Q322" i="10" s="1"/>
  <c r="R321" i="10"/>
  <c r="S321" i="10" s="1"/>
  <c r="P321" i="10"/>
  <c r="Q321" i="10" s="1"/>
  <c r="R320" i="10"/>
  <c r="P320" i="10"/>
  <c r="Q320" i="10" s="1"/>
  <c r="R319" i="10"/>
  <c r="S319" i="10" s="1"/>
  <c r="P319" i="10"/>
  <c r="Q319" i="10" s="1"/>
  <c r="R318" i="10"/>
  <c r="T318" i="10" s="1"/>
  <c r="P318" i="10"/>
  <c r="Q318" i="10" s="1"/>
  <c r="R317" i="10"/>
  <c r="S317" i="10" s="1"/>
  <c r="P317" i="10"/>
  <c r="Q317" i="10" s="1"/>
  <c r="R316" i="10"/>
  <c r="T316" i="10" s="1"/>
  <c r="P316" i="10"/>
  <c r="Q316" i="10" s="1"/>
  <c r="R315" i="10"/>
  <c r="T315" i="10" s="1"/>
  <c r="P315" i="10"/>
  <c r="Q315" i="10" s="1"/>
  <c r="R314" i="10"/>
  <c r="T314" i="10" s="1"/>
  <c r="P314" i="10"/>
  <c r="Q314" i="10" s="1"/>
  <c r="R313" i="10"/>
  <c r="T313" i="10" s="1"/>
  <c r="P313" i="10"/>
  <c r="Q313" i="10" s="1"/>
  <c r="R312" i="10"/>
  <c r="T312" i="10" s="1"/>
  <c r="P312" i="10"/>
  <c r="Q312" i="10" s="1"/>
  <c r="R311" i="10"/>
  <c r="P311" i="10"/>
  <c r="Q311" i="10" s="1"/>
  <c r="R310" i="10"/>
  <c r="T310" i="10" s="1"/>
  <c r="P310" i="10"/>
  <c r="Q310" i="10" s="1"/>
  <c r="S309" i="10"/>
  <c r="R309" i="10"/>
  <c r="T309" i="10" s="1"/>
  <c r="P309" i="10"/>
  <c r="Q309" i="10" s="1"/>
  <c r="R308" i="10"/>
  <c r="T308" i="10" s="1"/>
  <c r="Q308" i="10"/>
  <c r="P308" i="10"/>
  <c r="R307" i="10"/>
  <c r="P307" i="10"/>
  <c r="Q307" i="10" s="1"/>
  <c r="R306" i="10"/>
  <c r="T306" i="10" s="1"/>
  <c r="P306" i="10"/>
  <c r="Q306" i="10" s="1"/>
  <c r="R305" i="10"/>
  <c r="T305" i="10" s="1"/>
  <c r="P305" i="10"/>
  <c r="Q305" i="10" s="1"/>
  <c r="R304" i="10"/>
  <c r="T304" i="10" s="1"/>
  <c r="P304" i="10"/>
  <c r="Q304" i="10" s="1"/>
  <c r="R303" i="10"/>
  <c r="P303" i="10"/>
  <c r="Q303" i="10" s="1"/>
  <c r="R302" i="10"/>
  <c r="T302" i="10" s="1"/>
  <c r="P302" i="10"/>
  <c r="Q302" i="10" s="1"/>
  <c r="R301" i="10"/>
  <c r="T301" i="10" s="1"/>
  <c r="P301" i="10"/>
  <c r="Q301" i="10" s="1"/>
  <c r="R300" i="10"/>
  <c r="T300" i="10" s="1"/>
  <c r="P300" i="10"/>
  <c r="Q300" i="10" s="1"/>
  <c r="R299" i="10"/>
  <c r="P299" i="10"/>
  <c r="Q299" i="10" s="1"/>
  <c r="R298" i="10"/>
  <c r="T298" i="10" s="1"/>
  <c r="P298" i="10"/>
  <c r="Q298" i="10" s="1"/>
  <c r="R297" i="10"/>
  <c r="T297" i="10" s="1"/>
  <c r="P297" i="10"/>
  <c r="Q297" i="10" s="1"/>
  <c r="R296" i="10"/>
  <c r="P296" i="10"/>
  <c r="Q296" i="10" s="1"/>
  <c r="R295" i="10"/>
  <c r="T295" i="10" s="1"/>
  <c r="P295" i="10"/>
  <c r="Q295" i="10" s="1"/>
  <c r="R294" i="10"/>
  <c r="S294" i="10" s="1"/>
  <c r="P294" i="10"/>
  <c r="Q294" i="10" s="1"/>
  <c r="R293" i="10"/>
  <c r="P293" i="10"/>
  <c r="Q293" i="10" s="1"/>
  <c r="R292" i="10"/>
  <c r="S292" i="10" s="1"/>
  <c r="P292" i="10"/>
  <c r="Q292" i="10" s="1"/>
  <c r="R291" i="10"/>
  <c r="T291" i="10" s="1"/>
  <c r="P291" i="10"/>
  <c r="Q291" i="10" s="1"/>
  <c r="R290" i="10"/>
  <c r="S290" i="10" s="1"/>
  <c r="P290" i="10"/>
  <c r="Q290" i="10" s="1"/>
  <c r="R289" i="10"/>
  <c r="S289" i="10" s="1"/>
  <c r="P289" i="10"/>
  <c r="Q289" i="10" s="1"/>
  <c r="R288" i="10"/>
  <c r="P288" i="10"/>
  <c r="Q288" i="10" s="1"/>
  <c r="R287" i="10"/>
  <c r="T287" i="10" s="1"/>
  <c r="P287" i="10"/>
  <c r="Q287" i="10" s="1"/>
  <c r="R286" i="10"/>
  <c r="S286" i="10" s="1"/>
  <c r="P286" i="10"/>
  <c r="Q286" i="10" s="1"/>
  <c r="R285" i="10"/>
  <c r="P285" i="10"/>
  <c r="Q285" i="10" s="1"/>
  <c r="R284" i="10"/>
  <c r="P284" i="10"/>
  <c r="Q284" i="10" s="1"/>
  <c r="R283" i="10"/>
  <c r="P283" i="10"/>
  <c r="Q283" i="10" s="1"/>
  <c r="R282" i="10"/>
  <c r="S282" i="10" s="1"/>
  <c r="P282" i="10"/>
  <c r="Q282" i="10" s="1"/>
  <c r="R281" i="10"/>
  <c r="P281" i="10"/>
  <c r="Q281" i="10" s="1"/>
  <c r="R280" i="10"/>
  <c r="P280" i="10"/>
  <c r="Q280" i="10" s="1"/>
  <c r="R279" i="10"/>
  <c r="T279" i="10" s="1"/>
  <c r="P279" i="10"/>
  <c r="Q279" i="10" s="1"/>
  <c r="R278" i="10"/>
  <c r="S278" i="10" s="1"/>
  <c r="P278" i="10"/>
  <c r="Q278" i="10" s="1"/>
  <c r="R277" i="10"/>
  <c r="P277" i="10"/>
  <c r="Q277" i="10" s="1"/>
  <c r="R276" i="10"/>
  <c r="P276" i="10"/>
  <c r="Q276" i="10" s="1"/>
  <c r="R275" i="10"/>
  <c r="P275" i="10"/>
  <c r="Q275" i="10" s="1"/>
  <c r="R274" i="10"/>
  <c r="S274" i="10" s="1"/>
  <c r="P274" i="10"/>
  <c r="Q274" i="10" s="1"/>
  <c r="R273" i="10"/>
  <c r="P273" i="10"/>
  <c r="Q273" i="10" s="1"/>
  <c r="R272" i="10"/>
  <c r="P272" i="10"/>
  <c r="Q272" i="10" s="1"/>
  <c r="R271" i="10"/>
  <c r="P271" i="10"/>
  <c r="Q271" i="10" s="1"/>
  <c r="R270" i="10"/>
  <c r="P270" i="10"/>
  <c r="Q270" i="10" s="1"/>
  <c r="R269" i="10"/>
  <c r="P269" i="10"/>
  <c r="Q269" i="10" s="1"/>
  <c r="R268" i="10"/>
  <c r="P268" i="10"/>
  <c r="Q268" i="10" s="1"/>
  <c r="R267" i="10"/>
  <c r="P267" i="10"/>
  <c r="Q267" i="10" s="1"/>
  <c r="R266" i="10"/>
  <c r="P266" i="10"/>
  <c r="Q266" i="10" s="1"/>
  <c r="R265" i="10"/>
  <c r="P265" i="10"/>
  <c r="Q265" i="10" s="1"/>
  <c r="R264" i="10"/>
  <c r="Q264" i="10"/>
  <c r="P264" i="10"/>
  <c r="R263" i="10"/>
  <c r="P263" i="10"/>
  <c r="Q263" i="10" s="1"/>
  <c r="R262" i="10"/>
  <c r="P262" i="10"/>
  <c r="Q262" i="10" s="1"/>
  <c r="R261" i="10"/>
  <c r="P261" i="10"/>
  <c r="Q261" i="10" s="1"/>
  <c r="R260" i="10"/>
  <c r="P260" i="10"/>
  <c r="Q260" i="10" s="1"/>
  <c r="R259" i="10"/>
  <c r="P259" i="10"/>
  <c r="Q259" i="10" s="1"/>
  <c r="R258" i="10"/>
  <c r="P258" i="10"/>
  <c r="Q258" i="10" s="1"/>
  <c r="R257" i="10"/>
  <c r="P257" i="10"/>
  <c r="Q257" i="10" s="1"/>
  <c r="R256" i="10"/>
  <c r="Q256" i="10"/>
  <c r="P256" i="10"/>
  <c r="R255" i="10"/>
  <c r="P255" i="10"/>
  <c r="Q255" i="10" s="1"/>
  <c r="R254" i="10"/>
  <c r="P254" i="10"/>
  <c r="Q254" i="10" s="1"/>
  <c r="R253" i="10"/>
  <c r="P253" i="10"/>
  <c r="Q253" i="10" s="1"/>
  <c r="R252" i="10"/>
  <c r="P252" i="10"/>
  <c r="Q252" i="10" s="1"/>
  <c r="R251" i="10"/>
  <c r="P251" i="10"/>
  <c r="Q251" i="10" s="1"/>
  <c r="R250" i="10"/>
  <c r="P250" i="10"/>
  <c r="Q250" i="10" s="1"/>
  <c r="R249" i="10"/>
  <c r="T249" i="10" s="1"/>
  <c r="P249" i="10"/>
  <c r="Q249" i="10" s="1"/>
  <c r="R248" i="10"/>
  <c r="S248" i="10" s="1"/>
  <c r="P248" i="10"/>
  <c r="Q248" i="10" s="1"/>
  <c r="R247" i="10"/>
  <c r="T247" i="10" s="1"/>
  <c r="P247" i="10"/>
  <c r="Q247" i="10" s="1"/>
  <c r="R246" i="10"/>
  <c r="P246" i="10"/>
  <c r="Q246" i="10" s="1"/>
  <c r="R245" i="10"/>
  <c r="T245" i="10" s="1"/>
  <c r="P245" i="10"/>
  <c r="Q245" i="10" s="1"/>
  <c r="R244" i="10"/>
  <c r="S244" i="10" s="1"/>
  <c r="P244" i="10"/>
  <c r="Q244" i="10" s="1"/>
  <c r="R243" i="10"/>
  <c r="T243" i="10" s="1"/>
  <c r="P243" i="10"/>
  <c r="Q243" i="10" s="1"/>
  <c r="T242" i="10"/>
  <c r="U242" i="10" s="1"/>
  <c r="R242" i="10"/>
  <c r="S242" i="10" s="1"/>
  <c r="P242" i="10"/>
  <c r="Q242" i="10" s="1"/>
  <c r="R241" i="10"/>
  <c r="T241" i="10" s="1"/>
  <c r="P241" i="10"/>
  <c r="Q241" i="10" s="1"/>
  <c r="R240" i="10"/>
  <c r="P240" i="10"/>
  <c r="Q240" i="10" s="1"/>
  <c r="R239" i="10"/>
  <c r="P239" i="10"/>
  <c r="Q239" i="10" s="1"/>
  <c r="R238" i="10"/>
  <c r="S238" i="10" s="1"/>
  <c r="P238" i="10"/>
  <c r="Q238" i="10" s="1"/>
  <c r="R237" i="10"/>
  <c r="P237" i="10"/>
  <c r="Q237" i="10" s="1"/>
  <c r="R236" i="10"/>
  <c r="S236" i="10" s="1"/>
  <c r="P236" i="10"/>
  <c r="Q236" i="10" s="1"/>
  <c r="R235" i="10"/>
  <c r="P235" i="10"/>
  <c r="Q235" i="10" s="1"/>
  <c r="R234" i="10"/>
  <c r="S234" i="10" s="1"/>
  <c r="P234" i="10"/>
  <c r="Q234" i="10" s="1"/>
  <c r="R233" i="10"/>
  <c r="S233" i="10" s="1"/>
  <c r="P233" i="10"/>
  <c r="Q233" i="10" s="1"/>
  <c r="R232" i="10"/>
  <c r="P232" i="10"/>
  <c r="Q232" i="10" s="1"/>
  <c r="R231" i="10"/>
  <c r="P231" i="10"/>
  <c r="Q231" i="10" s="1"/>
  <c r="R230" i="10"/>
  <c r="P230" i="10"/>
  <c r="Q230" i="10" s="1"/>
  <c r="R229" i="10"/>
  <c r="P229" i="10"/>
  <c r="Q229" i="10" s="1"/>
  <c r="R228" i="10"/>
  <c r="S228" i="10" s="1"/>
  <c r="P228" i="10"/>
  <c r="Q228" i="10" s="1"/>
  <c r="R227" i="10"/>
  <c r="P227" i="10"/>
  <c r="Q227" i="10" s="1"/>
  <c r="R226" i="10"/>
  <c r="S226" i="10" s="1"/>
  <c r="P226" i="10"/>
  <c r="Q226" i="10" s="1"/>
  <c r="R225" i="10"/>
  <c r="S225" i="10" s="1"/>
  <c r="P225" i="10"/>
  <c r="Q225" i="10" s="1"/>
  <c r="S224" i="10"/>
  <c r="R224" i="10"/>
  <c r="T224" i="10" s="1"/>
  <c r="Q224" i="10"/>
  <c r="P224" i="10"/>
  <c r="S223" i="10"/>
  <c r="R223" i="10"/>
  <c r="T223" i="10" s="1"/>
  <c r="Q223" i="10"/>
  <c r="P223" i="10"/>
  <c r="R222" i="10"/>
  <c r="P222" i="10"/>
  <c r="Q222" i="10" s="1"/>
  <c r="R221" i="10"/>
  <c r="T221" i="10" s="1"/>
  <c r="P221" i="10"/>
  <c r="Q221" i="10" s="1"/>
  <c r="S220" i="10"/>
  <c r="R220" i="10"/>
  <c r="T220" i="10" s="1"/>
  <c r="P220" i="10"/>
  <c r="Q220" i="10" s="1"/>
  <c r="R219" i="10"/>
  <c r="T219" i="10" s="1"/>
  <c r="P219" i="10"/>
  <c r="Q219" i="10" s="1"/>
  <c r="R218" i="10"/>
  <c r="T218" i="10" s="1"/>
  <c r="Q218" i="10"/>
  <c r="P218" i="10"/>
  <c r="R217" i="10"/>
  <c r="P217" i="10"/>
  <c r="Q217" i="10" s="1"/>
  <c r="S216" i="10"/>
  <c r="U216" i="10" s="1"/>
  <c r="R216" i="10"/>
  <c r="T216" i="10" s="1"/>
  <c r="P216" i="10"/>
  <c r="Q216" i="10" s="1"/>
  <c r="R215" i="10"/>
  <c r="T215" i="10" s="1"/>
  <c r="P215" i="10"/>
  <c r="Q215" i="10" s="1"/>
  <c r="R214" i="10"/>
  <c r="T214" i="10" s="1"/>
  <c r="P214" i="10"/>
  <c r="Q214" i="10" s="1"/>
  <c r="R213" i="10"/>
  <c r="T213" i="10" s="1"/>
  <c r="P213" i="10"/>
  <c r="Q213" i="10" s="1"/>
  <c r="T212" i="10"/>
  <c r="R212" i="10"/>
  <c r="S212" i="10" s="1"/>
  <c r="P212" i="10"/>
  <c r="Q212" i="10" s="1"/>
  <c r="R211" i="10"/>
  <c r="T211" i="10" s="1"/>
  <c r="P211" i="10"/>
  <c r="Q211" i="10" s="1"/>
  <c r="R210" i="10"/>
  <c r="T210" i="10" s="1"/>
  <c r="P210" i="10"/>
  <c r="Q210" i="10" s="1"/>
  <c r="R209" i="10"/>
  <c r="T209" i="10" s="1"/>
  <c r="P209" i="10"/>
  <c r="Q209" i="10" s="1"/>
  <c r="R208" i="10"/>
  <c r="P208" i="10"/>
  <c r="Q208" i="10" s="1"/>
  <c r="R207" i="10"/>
  <c r="T207" i="10" s="1"/>
  <c r="P207" i="10"/>
  <c r="Q207" i="10" s="1"/>
  <c r="R206" i="10"/>
  <c r="T206" i="10" s="1"/>
  <c r="P206" i="10"/>
  <c r="Q206" i="10" s="1"/>
  <c r="R205" i="10"/>
  <c r="T205" i="10" s="1"/>
  <c r="P205" i="10"/>
  <c r="Q205" i="10" s="1"/>
  <c r="R204" i="10"/>
  <c r="P204" i="10"/>
  <c r="Q204" i="10" s="1"/>
  <c r="R203" i="10"/>
  <c r="T203" i="10" s="1"/>
  <c r="P203" i="10"/>
  <c r="Q203" i="10" s="1"/>
  <c r="R202" i="10"/>
  <c r="T202" i="10" s="1"/>
  <c r="P202" i="10"/>
  <c r="Q202" i="10" s="1"/>
  <c r="R201" i="10"/>
  <c r="T201" i="10" s="1"/>
  <c r="P201" i="10"/>
  <c r="Q201" i="10" s="1"/>
  <c r="R200" i="10"/>
  <c r="P200" i="10"/>
  <c r="Q200" i="10" s="1"/>
  <c r="R199" i="10"/>
  <c r="T199" i="10" s="1"/>
  <c r="P199" i="10"/>
  <c r="Q199" i="10" s="1"/>
  <c r="R198" i="10"/>
  <c r="T198" i="10" s="1"/>
  <c r="P198" i="10"/>
  <c r="Q198" i="10" s="1"/>
  <c r="R197" i="10"/>
  <c r="T197" i="10" s="1"/>
  <c r="P197" i="10"/>
  <c r="Q197" i="10" s="1"/>
  <c r="R196" i="10"/>
  <c r="T196" i="10" s="1"/>
  <c r="P196" i="10"/>
  <c r="Q196" i="10" s="1"/>
  <c r="R195" i="10"/>
  <c r="T195" i="10" s="1"/>
  <c r="P195" i="10"/>
  <c r="Q195" i="10" s="1"/>
  <c r="R194" i="10"/>
  <c r="T194" i="10" s="1"/>
  <c r="P194" i="10"/>
  <c r="Q194" i="10" s="1"/>
  <c r="R193" i="10"/>
  <c r="T193" i="10" s="1"/>
  <c r="P193" i="10"/>
  <c r="Q193" i="10" s="1"/>
  <c r="R192" i="10"/>
  <c r="P192" i="10"/>
  <c r="Q192" i="10" s="1"/>
  <c r="R191" i="10"/>
  <c r="T191" i="10" s="1"/>
  <c r="P191" i="10"/>
  <c r="Q191" i="10" s="1"/>
  <c r="R190" i="10"/>
  <c r="T190" i="10" s="1"/>
  <c r="P190" i="10"/>
  <c r="Q190" i="10" s="1"/>
  <c r="R189" i="10"/>
  <c r="T189" i="10" s="1"/>
  <c r="P189" i="10"/>
  <c r="Q189" i="10" s="1"/>
  <c r="S188" i="10"/>
  <c r="R188" i="10"/>
  <c r="T188" i="10" s="1"/>
  <c r="P188" i="10"/>
  <c r="Q188" i="10" s="1"/>
  <c r="R187" i="10"/>
  <c r="T187" i="10" s="1"/>
  <c r="Q187" i="10"/>
  <c r="P187" i="10"/>
  <c r="R186" i="10"/>
  <c r="P186" i="10"/>
  <c r="Q186" i="10" s="1"/>
  <c r="R185" i="10"/>
  <c r="T185" i="10" s="1"/>
  <c r="P185" i="10"/>
  <c r="Q185" i="10" s="1"/>
  <c r="R184" i="10"/>
  <c r="P184" i="10"/>
  <c r="Q184" i="10" s="1"/>
  <c r="R183" i="10"/>
  <c r="T183" i="10" s="1"/>
  <c r="P183" i="10"/>
  <c r="Q183" i="10" s="1"/>
  <c r="R182" i="10"/>
  <c r="T182" i="10" s="1"/>
  <c r="P182" i="10"/>
  <c r="Q182" i="10" s="1"/>
  <c r="R181" i="10"/>
  <c r="T181" i="10" s="1"/>
  <c r="P181" i="10"/>
  <c r="Q181" i="10" s="1"/>
  <c r="R180" i="10"/>
  <c r="T180" i="10" s="1"/>
  <c r="P180" i="10"/>
  <c r="Q180" i="10" s="1"/>
  <c r="R179" i="10"/>
  <c r="P179" i="10"/>
  <c r="Q179" i="10" s="1"/>
  <c r="S178" i="10"/>
  <c r="R178" i="10"/>
  <c r="T178" i="10" s="1"/>
  <c r="P178" i="10"/>
  <c r="Q178" i="10" s="1"/>
  <c r="R177" i="10"/>
  <c r="P177" i="10"/>
  <c r="Q177" i="10" s="1"/>
  <c r="R176" i="10"/>
  <c r="P176" i="10"/>
  <c r="Q176" i="10" s="1"/>
  <c r="R175" i="10"/>
  <c r="P175" i="10"/>
  <c r="Q175" i="10" s="1"/>
  <c r="R174" i="10"/>
  <c r="T174" i="10" s="1"/>
  <c r="P174" i="10"/>
  <c r="Q174" i="10" s="1"/>
  <c r="R173" i="10"/>
  <c r="S173" i="10" s="1"/>
  <c r="P173" i="10"/>
  <c r="Q173" i="10" s="1"/>
  <c r="R172" i="10"/>
  <c r="P172" i="10"/>
  <c r="Q172" i="10" s="1"/>
  <c r="R171" i="10"/>
  <c r="S171" i="10" s="1"/>
  <c r="P171" i="10"/>
  <c r="Q171" i="10" s="1"/>
  <c r="R170" i="10"/>
  <c r="T170" i="10" s="1"/>
  <c r="P170" i="10"/>
  <c r="Q170" i="10" s="1"/>
  <c r="R169" i="10"/>
  <c r="P169" i="10"/>
  <c r="Q169" i="10" s="1"/>
  <c r="R168" i="10"/>
  <c r="P168" i="10"/>
  <c r="Q168" i="10" s="1"/>
  <c r="R167" i="10"/>
  <c r="P167" i="10"/>
  <c r="Q167" i="10" s="1"/>
  <c r="R166" i="10"/>
  <c r="P166" i="10"/>
  <c r="Q166" i="10" s="1"/>
  <c r="R165" i="10"/>
  <c r="S165" i="10" s="1"/>
  <c r="P165" i="10"/>
  <c r="Q165" i="10" s="1"/>
  <c r="R164" i="10"/>
  <c r="P164" i="10"/>
  <c r="Q164" i="10" s="1"/>
  <c r="R163" i="10"/>
  <c r="S163" i="10" s="1"/>
  <c r="P163" i="10"/>
  <c r="Q163" i="10" s="1"/>
  <c r="R162" i="10"/>
  <c r="T162" i="10" s="1"/>
  <c r="P162" i="10"/>
  <c r="Q162" i="10" s="1"/>
  <c r="R161" i="10"/>
  <c r="S161" i="10" s="1"/>
  <c r="P161" i="10"/>
  <c r="Q161" i="10" s="1"/>
  <c r="R160" i="10"/>
  <c r="S160" i="10" s="1"/>
  <c r="P160" i="10"/>
  <c r="Q160" i="10" s="1"/>
  <c r="R159" i="10"/>
  <c r="P159" i="10"/>
  <c r="Q159" i="10" s="1"/>
  <c r="R158" i="10"/>
  <c r="T158" i="10" s="1"/>
  <c r="P158" i="10"/>
  <c r="Q158" i="10" s="1"/>
  <c r="R157" i="10"/>
  <c r="P157" i="10"/>
  <c r="Q157" i="10" s="1"/>
  <c r="R156" i="10"/>
  <c r="P156" i="10"/>
  <c r="Q156" i="10" s="1"/>
  <c r="R155" i="10"/>
  <c r="S155" i="10" s="1"/>
  <c r="P155" i="10"/>
  <c r="Q155" i="10" s="1"/>
  <c r="R154" i="10"/>
  <c r="T154" i="10" s="1"/>
  <c r="P154" i="10"/>
  <c r="Q154" i="10" s="1"/>
  <c r="R153" i="10"/>
  <c r="T153" i="10" s="1"/>
  <c r="P153" i="10"/>
  <c r="Q153" i="10" s="1"/>
  <c r="R152" i="10"/>
  <c r="T152" i="10" s="1"/>
  <c r="P152" i="10"/>
  <c r="Q152" i="10" s="1"/>
  <c r="R151" i="10"/>
  <c r="P151" i="10"/>
  <c r="Q151" i="10" s="1"/>
  <c r="R150" i="10"/>
  <c r="T150" i="10" s="1"/>
  <c r="P150" i="10"/>
  <c r="Q150" i="10" s="1"/>
  <c r="R149" i="10"/>
  <c r="T149" i="10" s="1"/>
  <c r="P149" i="10"/>
  <c r="Q149" i="10" s="1"/>
  <c r="R148" i="10"/>
  <c r="T148" i="10" s="1"/>
  <c r="P148" i="10"/>
  <c r="Q148" i="10" s="1"/>
  <c r="R147" i="10"/>
  <c r="T147" i="10" s="1"/>
  <c r="P147" i="10"/>
  <c r="Q147" i="10" s="1"/>
  <c r="R146" i="10"/>
  <c r="T146" i="10" s="1"/>
  <c r="P146" i="10"/>
  <c r="Q146" i="10" s="1"/>
  <c r="R145" i="10"/>
  <c r="T145" i="10" s="1"/>
  <c r="P145" i="10"/>
  <c r="Q145" i="10" s="1"/>
  <c r="R144" i="10"/>
  <c r="T144" i="10" s="1"/>
  <c r="P144" i="10"/>
  <c r="Q144" i="10" s="1"/>
  <c r="R143" i="10"/>
  <c r="S143" i="10" s="1"/>
  <c r="P143" i="10"/>
  <c r="Q143" i="10" s="1"/>
  <c r="R142" i="10"/>
  <c r="T142" i="10" s="1"/>
  <c r="P142" i="10"/>
  <c r="Q142" i="10" s="1"/>
  <c r="R141" i="10"/>
  <c r="T141" i="10" s="1"/>
  <c r="P141" i="10"/>
  <c r="Q141" i="10" s="1"/>
  <c r="R140" i="10"/>
  <c r="T140" i="10" s="1"/>
  <c r="P140" i="10"/>
  <c r="Q140" i="10" s="1"/>
  <c r="R139" i="10"/>
  <c r="T139" i="10" s="1"/>
  <c r="P139" i="10"/>
  <c r="Q139" i="10" s="1"/>
  <c r="R138" i="10"/>
  <c r="T138" i="10" s="1"/>
  <c r="P138" i="10"/>
  <c r="Q138" i="10" s="1"/>
  <c r="R137" i="10"/>
  <c r="T137" i="10" s="1"/>
  <c r="P137" i="10"/>
  <c r="Q137" i="10" s="1"/>
  <c r="R136" i="10"/>
  <c r="T136" i="10" s="1"/>
  <c r="P136" i="10"/>
  <c r="Q136" i="10" s="1"/>
  <c r="R135" i="10"/>
  <c r="S135" i="10" s="1"/>
  <c r="P135" i="10"/>
  <c r="Q135" i="10" s="1"/>
  <c r="R134" i="10"/>
  <c r="T134" i="10" s="1"/>
  <c r="P134" i="10"/>
  <c r="Q134" i="10" s="1"/>
  <c r="R133" i="10"/>
  <c r="T133" i="10" s="1"/>
  <c r="P133" i="10"/>
  <c r="Q133" i="10" s="1"/>
  <c r="R132" i="10"/>
  <c r="T132" i="10" s="1"/>
  <c r="P132" i="10"/>
  <c r="Q132" i="10" s="1"/>
  <c r="R131" i="10"/>
  <c r="T131" i="10" s="1"/>
  <c r="P131" i="10"/>
  <c r="Q131" i="10" s="1"/>
  <c r="R130" i="10"/>
  <c r="T130" i="10" s="1"/>
  <c r="P130" i="10"/>
  <c r="Q130" i="10" s="1"/>
  <c r="R129" i="10"/>
  <c r="P129" i="10"/>
  <c r="Q129" i="10" s="1"/>
  <c r="R128" i="10"/>
  <c r="T128" i="10" s="1"/>
  <c r="P128" i="10"/>
  <c r="Q128" i="10" s="1"/>
  <c r="R127" i="10"/>
  <c r="S127" i="10" s="1"/>
  <c r="P127" i="10"/>
  <c r="Q127" i="10" s="1"/>
  <c r="R126" i="10"/>
  <c r="T126" i="10" s="1"/>
  <c r="P126" i="10"/>
  <c r="Q126" i="10" s="1"/>
  <c r="R125" i="10"/>
  <c r="T125" i="10" s="1"/>
  <c r="P125" i="10"/>
  <c r="Q125" i="10" s="1"/>
  <c r="R124" i="10"/>
  <c r="T124" i="10" s="1"/>
  <c r="P124" i="10"/>
  <c r="Q124" i="10" s="1"/>
  <c r="R123" i="10"/>
  <c r="T123" i="10" s="1"/>
  <c r="P123" i="10"/>
  <c r="Q123" i="10" s="1"/>
  <c r="R122" i="10"/>
  <c r="T122" i="10" s="1"/>
  <c r="P122" i="10"/>
  <c r="Q122" i="10" s="1"/>
  <c r="R121" i="10"/>
  <c r="T121" i="10" s="1"/>
  <c r="P121" i="10"/>
  <c r="Q121" i="10" s="1"/>
  <c r="R120" i="10"/>
  <c r="T120" i="10" s="1"/>
  <c r="P120" i="10"/>
  <c r="Q120" i="10" s="1"/>
  <c r="R119" i="10"/>
  <c r="T119" i="10" s="1"/>
  <c r="P119" i="10"/>
  <c r="Q119" i="10" s="1"/>
  <c r="R118" i="10"/>
  <c r="T118" i="10" s="1"/>
  <c r="P118" i="10"/>
  <c r="Q118" i="10" s="1"/>
  <c r="R117" i="10"/>
  <c r="T117" i="10" s="1"/>
  <c r="P117" i="10"/>
  <c r="Q117" i="10" s="1"/>
  <c r="R116" i="10"/>
  <c r="T116" i="10" s="1"/>
  <c r="P116" i="10"/>
  <c r="Q116" i="10" s="1"/>
  <c r="R115" i="10"/>
  <c r="T115" i="10" s="1"/>
  <c r="P115" i="10"/>
  <c r="Q115" i="10" s="1"/>
  <c r="R114" i="10"/>
  <c r="T114" i="10" s="1"/>
  <c r="P114" i="10"/>
  <c r="Q114" i="10" s="1"/>
  <c r="R113" i="10"/>
  <c r="T113" i="10" s="1"/>
  <c r="P113" i="10"/>
  <c r="Q113" i="10" s="1"/>
  <c r="R112" i="10"/>
  <c r="T112" i="10" s="1"/>
  <c r="P112" i="10"/>
  <c r="Q112" i="10" s="1"/>
  <c r="R111" i="10"/>
  <c r="T111" i="10" s="1"/>
  <c r="P111" i="10"/>
  <c r="Q111" i="10" s="1"/>
  <c r="R110" i="10"/>
  <c r="S110" i="10" s="1"/>
  <c r="P110" i="10"/>
  <c r="Q110" i="10" s="1"/>
  <c r="R109" i="10"/>
  <c r="S109" i="10" s="1"/>
  <c r="P109" i="10"/>
  <c r="Q109" i="10" s="1"/>
  <c r="R108" i="10"/>
  <c r="S108" i="10" s="1"/>
  <c r="P108" i="10"/>
  <c r="Q108" i="10" s="1"/>
  <c r="R107" i="10"/>
  <c r="T107" i="10" s="1"/>
  <c r="P107" i="10"/>
  <c r="Q107" i="10" s="1"/>
  <c r="R106" i="10"/>
  <c r="S106" i="10" s="1"/>
  <c r="P106" i="10"/>
  <c r="Q106" i="10" s="1"/>
  <c r="R105" i="10"/>
  <c r="T105" i="10" s="1"/>
  <c r="P105" i="10"/>
  <c r="Q105" i="10" s="1"/>
  <c r="R104" i="10"/>
  <c r="S104" i="10" s="1"/>
  <c r="P104" i="10"/>
  <c r="Q104" i="10" s="1"/>
  <c r="R103" i="10"/>
  <c r="T103" i="10" s="1"/>
  <c r="P103" i="10"/>
  <c r="Q103" i="10" s="1"/>
  <c r="R102" i="10"/>
  <c r="S102" i="10" s="1"/>
  <c r="P102" i="10"/>
  <c r="Q102" i="10" s="1"/>
  <c r="S101" i="10"/>
  <c r="R101" i="10"/>
  <c r="T101" i="10" s="1"/>
  <c r="P101" i="10"/>
  <c r="Q101" i="10" s="1"/>
  <c r="R100" i="10"/>
  <c r="S100" i="10" s="1"/>
  <c r="Q100" i="10"/>
  <c r="P100" i="10"/>
  <c r="R99" i="10"/>
  <c r="T99" i="10" s="1"/>
  <c r="P99" i="10"/>
  <c r="Q99" i="10" s="1"/>
  <c r="R98" i="10"/>
  <c r="S98" i="10" s="1"/>
  <c r="P98" i="10"/>
  <c r="Q98" i="10" s="1"/>
  <c r="R97" i="10"/>
  <c r="T97" i="10" s="1"/>
  <c r="P97" i="10"/>
  <c r="Q97" i="10" s="1"/>
  <c r="R96" i="10"/>
  <c r="S96" i="10" s="1"/>
  <c r="P96" i="10"/>
  <c r="Q96" i="10" s="1"/>
  <c r="R95" i="10"/>
  <c r="T95" i="10" s="1"/>
  <c r="P95" i="10"/>
  <c r="Q95" i="10" s="1"/>
  <c r="R94" i="10"/>
  <c r="S94" i="10" s="1"/>
  <c r="P94" i="10"/>
  <c r="Q94" i="10" s="1"/>
  <c r="R93" i="10"/>
  <c r="T93" i="10" s="1"/>
  <c r="P93" i="10"/>
  <c r="Q93" i="10" s="1"/>
  <c r="R92" i="10"/>
  <c r="P92" i="10"/>
  <c r="Q92" i="10" s="1"/>
  <c r="R91" i="10"/>
  <c r="T91" i="10" s="1"/>
  <c r="P91" i="10"/>
  <c r="Q91" i="10" s="1"/>
  <c r="V340" i="10"/>
  <c r="V336" i="10"/>
  <c r="V332" i="10"/>
  <c r="V328" i="10"/>
  <c r="V339" i="10"/>
  <c r="V335" i="10"/>
  <c r="V331" i="10"/>
  <c r="V327" i="10"/>
  <c r="Z322" i="10"/>
  <c r="V315" i="10"/>
  <c r="V311" i="10"/>
  <c r="V307" i="10"/>
  <c r="V303" i="10"/>
  <c r="V299" i="10"/>
  <c r="Z324" i="10"/>
  <c r="V318" i="10"/>
  <c r="V316" i="10"/>
  <c r="V312" i="10"/>
  <c r="V308" i="10"/>
  <c r="V304" i="10"/>
  <c r="V300" i="10"/>
  <c r="V293" i="10"/>
  <c r="V285" i="10"/>
  <c r="V277" i="10"/>
  <c r="V294" i="10"/>
  <c r="V286" i="10"/>
  <c r="V278" i="10"/>
  <c r="Z274" i="10"/>
  <c r="V292" i="10"/>
  <c r="V284" i="10"/>
  <c r="V322" i="10"/>
  <c r="Z273" i="10"/>
  <c r="V269" i="10"/>
  <c r="V265" i="10"/>
  <c r="V261" i="10"/>
  <c r="V257" i="10"/>
  <c r="V253" i="10"/>
  <c r="V273" i="10"/>
  <c r="Z270" i="10"/>
  <c r="Z266" i="10"/>
  <c r="Z262" i="10"/>
  <c r="Z258" i="10"/>
  <c r="Z254" i="10"/>
  <c r="Z250" i="10"/>
  <c r="Z246" i="10"/>
  <c r="Z242" i="10"/>
  <c r="V240" i="10"/>
  <c r="V232" i="10"/>
  <c r="V224" i="10"/>
  <c r="V220" i="10"/>
  <c r="V216" i="10"/>
  <c r="V212" i="10"/>
  <c r="V208" i="10"/>
  <c r="V204" i="10"/>
  <c r="V200" i="10"/>
  <c r="V196" i="10"/>
  <c r="V192" i="10"/>
  <c r="V188" i="10"/>
  <c r="V184" i="10"/>
  <c r="V180" i="10"/>
  <c r="V176" i="10"/>
  <c r="Z245" i="10"/>
  <c r="V238" i="10"/>
  <c r="V230" i="10"/>
  <c r="V279" i="10"/>
  <c r="V233" i="10"/>
  <c r="V225" i="10"/>
  <c r="V221" i="10"/>
  <c r="V217" i="10"/>
  <c r="V213" i="10"/>
  <c r="V209" i="10"/>
  <c r="Z338" i="10"/>
  <c r="Z334" i="10"/>
  <c r="Z330" i="10"/>
  <c r="Z326" i="10"/>
  <c r="Z337" i="10"/>
  <c r="Z333" i="10"/>
  <c r="Z329" i="10"/>
  <c r="Z325" i="10"/>
  <c r="V320" i="10"/>
  <c r="Z313" i="10"/>
  <c r="Z309" i="10"/>
  <c r="Z305" i="10"/>
  <c r="Z301" i="10"/>
  <c r="Z297" i="10"/>
  <c r="Z323" i="10"/>
  <c r="Z321" i="10"/>
  <c r="Z314" i="10"/>
  <c r="Z310" i="10"/>
  <c r="Z306" i="10"/>
  <c r="Z302" i="10"/>
  <c r="Z298" i="10"/>
  <c r="Z290" i="10"/>
  <c r="Z282" i="10"/>
  <c r="V324" i="10"/>
  <c r="Z293" i="10"/>
  <c r="Z285" i="10"/>
  <c r="Z277" i="10"/>
  <c r="V274" i="10"/>
  <c r="Z291" i="10"/>
  <c r="Z283" i="10"/>
  <c r="Z292" i="10"/>
  <c r="V272" i="10"/>
  <c r="Z267" i="10"/>
  <c r="Z263" i="10"/>
  <c r="Z259" i="10"/>
  <c r="Z255" i="10"/>
  <c r="Z251" i="10"/>
  <c r="Z272" i="10"/>
  <c r="V270" i="10"/>
  <c r="V266" i="10"/>
  <c r="V262" i="10"/>
  <c r="V258" i="10"/>
  <c r="V254" i="10"/>
  <c r="V250" i="10"/>
  <c r="V246" i="10"/>
  <c r="V242" i="10"/>
  <c r="Z239" i="10"/>
  <c r="Z231" i="10"/>
  <c r="Z222" i="10"/>
  <c r="Z218" i="10"/>
  <c r="Z214" i="10"/>
  <c r="Z210" i="10"/>
  <c r="Z206" i="10"/>
  <c r="Z202" i="10"/>
  <c r="Z198" i="10"/>
  <c r="Z194" i="10"/>
  <c r="Z190" i="10"/>
  <c r="Z186" i="10"/>
  <c r="Z182" i="10"/>
  <c r="Z178" i="10"/>
  <c r="V271" i="10"/>
  <c r="Z243" i="10"/>
  <c r="Z237" i="10"/>
  <c r="Z229" i="10"/>
  <c r="Z238" i="10"/>
  <c r="V338" i="10"/>
  <c r="V334" i="10"/>
  <c r="V330" i="10"/>
  <c r="V326" i="10"/>
  <c r="V337" i="10"/>
  <c r="V333" i="10"/>
  <c r="V329" i="10"/>
  <c r="V325" i="10"/>
  <c r="Z317" i="10"/>
  <c r="V313" i="10"/>
  <c r="V309" i="10"/>
  <c r="V305" i="10"/>
  <c r="V301" i="10"/>
  <c r="V297" i="10"/>
  <c r="V321" i="10"/>
  <c r="V319" i="10"/>
  <c r="V314" i="10"/>
  <c r="V310" i="10"/>
  <c r="V306" i="10"/>
  <c r="V302" i="10"/>
  <c r="V298" i="10"/>
  <c r="V288" i="10"/>
  <c r="V280" i="10"/>
  <c r="V317" i="10"/>
  <c r="V291" i="10"/>
  <c r="V283" i="10"/>
  <c r="Z276" i="10"/>
  <c r="V296" i="10"/>
  <c r="V289" i="10"/>
  <c r="V281" i="10"/>
  <c r="V287" i="10"/>
  <c r="Z271" i="10"/>
  <c r="V267" i="10"/>
  <c r="V263" i="10"/>
  <c r="V259" i="10"/>
  <c r="V255" i="10"/>
  <c r="V251" i="10"/>
  <c r="V282" i="10"/>
  <c r="Z268" i="10"/>
  <c r="Z264" i="10"/>
  <c r="Z260" i="10"/>
  <c r="Z256" i="10"/>
  <c r="Z252" i="10"/>
  <c r="Z248" i="10"/>
  <c r="Z244" i="10"/>
  <c r="Z319" i="10"/>
  <c r="V237" i="10"/>
  <c r="V229" i="10"/>
  <c r="V222" i="10"/>
  <c r="V218" i="10"/>
  <c r="V214" i="10"/>
  <c r="V210" i="10"/>
  <c r="V206" i="10"/>
  <c r="V202" i="10"/>
  <c r="V198" i="10"/>
  <c r="V194" i="10"/>
  <c r="V190" i="10"/>
  <c r="V186" i="10"/>
  <c r="V182" i="10"/>
  <c r="V178" i="10"/>
  <c r="Z249" i="10"/>
  <c r="Z241" i="10"/>
  <c r="V235" i="10"/>
  <c r="V227" i="10"/>
  <c r="V236" i="10"/>
  <c r="V228" i="10"/>
  <c r="V223" i="10"/>
  <c r="V219" i="10"/>
  <c r="V215" i="10"/>
  <c r="V211" i="10"/>
  <c r="Z340" i="10"/>
  <c r="Z339" i="10"/>
  <c r="V323" i="10"/>
  <c r="Z303" i="10"/>
  <c r="Z318" i="10"/>
  <c r="Z300" i="10"/>
  <c r="Z316" i="10"/>
  <c r="Z294" i="10"/>
  <c r="Z269" i="10"/>
  <c r="Z253" i="10"/>
  <c r="V264" i="10"/>
  <c r="V248" i="10"/>
  <c r="Z226" i="10"/>
  <c r="Z208" i="10"/>
  <c r="Z192" i="10"/>
  <c r="Z176" i="10"/>
  <c r="Z224" i="10"/>
  <c r="Z223" i="10"/>
  <c r="Z215" i="10"/>
  <c r="Z207" i="10"/>
  <c r="Z203" i="10"/>
  <c r="Z199" i="10"/>
  <c r="Z195" i="10"/>
  <c r="Z191" i="10"/>
  <c r="Z187" i="10"/>
  <c r="Z183" i="10"/>
  <c r="Z275" i="10"/>
  <c r="V243" i="10"/>
  <c r="V226" i="10"/>
  <c r="V167" i="10"/>
  <c r="V159" i="10"/>
  <c r="V153" i="10"/>
  <c r="V149" i="10"/>
  <c r="V145" i="10"/>
  <c r="V141" i="10"/>
  <c r="V137" i="10"/>
  <c r="V133" i="10"/>
  <c r="V129" i="10"/>
  <c r="V125" i="10"/>
  <c r="V121" i="10"/>
  <c r="V117" i="10"/>
  <c r="V113" i="10"/>
  <c r="V231" i="10"/>
  <c r="V175" i="10"/>
  <c r="Z167" i="10"/>
  <c r="Z159" i="10"/>
  <c r="Z118" i="10"/>
  <c r="V290" i="10"/>
  <c r="V171" i="10"/>
  <c r="V163" i="10"/>
  <c r="V155" i="10"/>
  <c r="V152" i="10"/>
  <c r="V148" i="10"/>
  <c r="V144" i="10"/>
  <c r="V140" i="10"/>
  <c r="V136" i="10"/>
  <c r="V132" i="10"/>
  <c r="V128" i="10"/>
  <c r="V124" i="10"/>
  <c r="V118" i="10"/>
  <c r="Z177" i="10"/>
  <c r="V107" i="10"/>
  <c r="V99" i="10"/>
  <c r="V91" i="10"/>
  <c r="Z175" i="10"/>
  <c r="Z160" i="10"/>
  <c r="Z107" i="10"/>
  <c r="Z99" i="10"/>
  <c r="Z91" i="10"/>
  <c r="Z95" i="10"/>
  <c r="Z108" i="10"/>
  <c r="Z100" i="10"/>
  <c r="Z92" i="10"/>
  <c r="V101" i="10"/>
  <c r="V150" i="10"/>
  <c r="V138" i="10"/>
  <c r="V126" i="10"/>
  <c r="V114" i="10"/>
  <c r="V94" i="10"/>
  <c r="Z110" i="10"/>
  <c r="Z94" i="10"/>
  <c r="Z105" i="10"/>
  <c r="V109" i="10"/>
  <c r="Z328" i="10"/>
  <c r="Z320" i="10"/>
  <c r="V276" i="10"/>
  <c r="V268" i="10"/>
  <c r="Z234" i="10"/>
  <c r="Z180" i="10"/>
  <c r="Z209" i="10"/>
  <c r="V197" i="10"/>
  <c r="V185" i="10"/>
  <c r="Z233" i="10"/>
  <c r="Z153" i="10"/>
  <c r="Z145" i="10"/>
  <c r="Z133" i="10"/>
  <c r="Z121" i="10"/>
  <c r="Z236" i="10"/>
  <c r="V162" i="10"/>
  <c r="Z173" i="10"/>
  <c r="Z157" i="10"/>
  <c r="Z144" i="10"/>
  <c r="Z132" i="10"/>
  <c r="V120" i="10"/>
  <c r="Z101" i="10"/>
  <c r="V161" i="10"/>
  <c r="V92" i="10"/>
  <c r="V158" i="10"/>
  <c r="Z106" i="10"/>
  <c r="Z336" i="10"/>
  <c r="Z335" i="10"/>
  <c r="Z315" i="10"/>
  <c r="Z299" i="10"/>
  <c r="Z312" i="10"/>
  <c r="Z296" i="10"/>
  <c r="Z288" i="10"/>
  <c r="Z286" i="10"/>
  <c r="Z265" i="10"/>
  <c r="V295" i="10"/>
  <c r="V260" i="10"/>
  <c r="V244" i="10"/>
  <c r="Z220" i="10"/>
  <c r="Z204" i="10"/>
  <c r="Z188" i="10"/>
  <c r="Z247" i="10"/>
  <c r="Z235" i="10"/>
  <c r="Z221" i="10"/>
  <c r="Z213" i="10"/>
  <c r="V207" i="10"/>
  <c r="V203" i="10"/>
  <c r="V199" i="10"/>
  <c r="V195" i="10"/>
  <c r="V191" i="10"/>
  <c r="V187" i="10"/>
  <c r="V183" i="10"/>
  <c r="V249" i="10"/>
  <c r="V241" i="10"/>
  <c r="Z174" i="10"/>
  <c r="Z166" i="10"/>
  <c r="Z158" i="10"/>
  <c r="Z151" i="10"/>
  <c r="Z147" i="10"/>
  <c r="Z143" i="10"/>
  <c r="Z139" i="10"/>
  <c r="Z135" i="10"/>
  <c r="Z131" i="10"/>
  <c r="Z127" i="10"/>
  <c r="Z123" i="10"/>
  <c r="Z119" i="10"/>
  <c r="Z115" i="10"/>
  <c r="Z111" i="10"/>
  <c r="Z225" i="10"/>
  <c r="V173" i="10"/>
  <c r="V165" i="10"/>
  <c r="V157" i="10"/>
  <c r="V116" i="10"/>
  <c r="Z289" i="10"/>
  <c r="Z170" i="10"/>
  <c r="Z162" i="10"/>
  <c r="Z154" i="10"/>
  <c r="Z150" i="10"/>
  <c r="Z146" i="10"/>
  <c r="Z142" i="10"/>
  <c r="Z138" i="10"/>
  <c r="Z134" i="10"/>
  <c r="Z130" i="10"/>
  <c r="Z126" i="10"/>
  <c r="Z122" i="10"/>
  <c r="Z116" i="10"/>
  <c r="V169" i="10"/>
  <c r="Z104" i="10"/>
  <c r="Z96" i="10"/>
  <c r="Z171" i="10"/>
  <c r="V174" i="10"/>
  <c r="Z155" i="10"/>
  <c r="V105" i="10"/>
  <c r="V97" i="10"/>
  <c r="Z179" i="10"/>
  <c r="V93" i="10"/>
  <c r="V106" i="10"/>
  <c r="V98" i="10"/>
  <c r="V234" i="10"/>
  <c r="V96" i="10"/>
  <c r="V154" i="10"/>
  <c r="V142" i="10"/>
  <c r="V134" i="10"/>
  <c r="V122" i="10"/>
  <c r="V102" i="10"/>
  <c r="Z168" i="10"/>
  <c r="Z102" i="10"/>
  <c r="V166" i="10"/>
  <c r="Z97" i="10"/>
  <c r="Z327" i="10"/>
  <c r="Z304" i="10"/>
  <c r="V275" i="10"/>
  <c r="V252" i="10"/>
  <c r="Z212" i="10"/>
  <c r="Z232" i="10"/>
  <c r="Z217" i="10"/>
  <c r="V201" i="10"/>
  <c r="V189" i="10"/>
  <c r="V245" i="10"/>
  <c r="Z161" i="10"/>
  <c r="Z149" i="10"/>
  <c r="Z137" i="10"/>
  <c r="Z125" i="10"/>
  <c r="Z113" i="10"/>
  <c r="V170" i="10"/>
  <c r="Z120" i="10"/>
  <c r="Z165" i="10"/>
  <c r="Z148" i="10"/>
  <c r="Z136" i="10"/>
  <c r="Z124" i="10"/>
  <c r="Z109" i="10"/>
  <c r="Z98" i="10"/>
  <c r="V108" i="10"/>
  <c r="Z103" i="10"/>
  <c r="V95" i="10"/>
  <c r="Z332" i="10"/>
  <c r="Z331" i="10"/>
  <c r="Z311" i="10"/>
  <c r="Z295" i="10"/>
  <c r="Z308" i="10"/>
  <c r="Z287" i="10"/>
  <c r="Z280" i="10"/>
  <c r="Z278" i="10"/>
  <c r="Z261" i="10"/>
  <c r="Z281" i="10"/>
  <c r="V256" i="10"/>
  <c r="Z284" i="10"/>
  <c r="Z216" i="10"/>
  <c r="Z200" i="10"/>
  <c r="Z184" i="10"/>
  <c r="Z240" i="10"/>
  <c r="Z230" i="10"/>
  <c r="Z219" i="10"/>
  <c r="Z211" i="10"/>
  <c r="Z205" i="10"/>
  <c r="Z201" i="10"/>
  <c r="Z197" i="10"/>
  <c r="Z193" i="10"/>
  <c r="Z189" i="10"/>
  <c r="Z185" i="10"/>
  <c r="Z181" i="10"/>
  <c r="V247" i="10"/>
  <c r="V239" i="10"/>
  <c r="V172" i="10"/>
  <c r="V164" i="10"/>
  <c r="V156" i="10"/>
  <c r="V151" i="10"/>
  <c r="V147" i="10"/>
  <c r="V143" i="10"/>
  <c r="V139" i="10"/>
  <c r="V135" i="10"/>
  <c r="V131" i="10"/>
  <c r="V127" i="10"/>
  <c r="V123" i="10"/>
  <c r="V119" i="10"/>
  <c r="V115" i="10"/>
  <c r="V111" i="10"/>
  <c r="V179" i="10"/>
  <c r="Z172" i="10"/>
  <c r="Z164" i="10"/>
  <c r="Z156" i="10"/>
  <c r="Z114" i="10"/>
  <c r="Z228" i="10"/>
  <c r="V168" i="10"/>
  <c r="V160" i="10"/>
  <c r="V146" i="10"/>
  <c r="V130" i="10"/>
  <c r="V110" i="10"/>
  <c r="V104" i="10"/>
  <c r="Z163" i="10"/>
  <c r="Z307" i="10"/>
  <c r="Z279" i="10"/>
  <c r="Z257" i="10"/>
  <c r="Z196" i="10"/>
  <c r="Z227" i="10"/>
  <c r="V205" i="10"/>
  <c r="V193" i="10"/>
  <c r="V181" i="10"/>
  <c r="Z169" i="10"/>
  <c r="Z141" i="10"/>
  <c r="Z129" i="10"/>
  <c r="Z117" i="10"/>
  <c r="V177" i="10"/>
  <c r="V112" i="10"/>
  <c r="Z152" i="10"/>
  <c r="Z140" i="10"/>
  <c r="Z128" i="10"/>
  <c r="Z112" i="10"/>
  <c r="Z93" i="10"/>
  <c r="V100" i="10"/>
  <c r="V103" i="10"/>
  <c r="AC423" i="10" l="1"/>
  <c r="Y423" i="10"/>
  <c r="AC405" i="10"/>
  <c r="S93" i="10"/>
  <c r="T226" i="10"/>
  <c r="U226" i="10" s="1"/>
  <c r="T248" i="10"/>
  <c r="U248" i="10" s="1"/>
  <c r="S313" i="10"/>
  <c r="S330" i="10"/>
  <c r="U374" i="10"/>
  <c r="U401" i="10"/>
  <c r="AC401" i="10" s="1"/>
  <c r="U372" i="10"/>
  <c r="U358" i="10"/>
  <c r="Y399" i="10"/>
  <c r="X394" i="10"/>
  <c r="X405" i="10"/>
  <c r="Y405" i="10" s="1"/>
  <c r="X368" i="10"/>
  <c r="Y368" i="10" s="1"/>
  <c r="S97" i="10"/>
  <c r="S103" i="10"/>
  <c r="U103" i="10" s="1"/>
  <c r="T274" i="10"/>
  <c r="S301" i="10"/>
  <c r="T327" i="10"/>
  <c r="Y428" i="10"/>
  <c r="U366" i="10"/>
  <c r="X377" i="10"/>
  <c r="U365" i="10"/>
  <c r="U389" i="10"/>
  <c r="AC389" i="10" s="1"/>
  <c r="U363" i="10"/>
  <c r="Y363" i="10" s="1"/>
  <c r="T143" i="10"/>
  <c r="U143" i="10" s="1"/>
  <c r="S215" i="10"/>
  <c r="U215" i="10" s="1"/>
  <c r="Y215" i="10" s="1"/>
  <c r="T238" i="10"/>
  <c r="U238" i="10" s="1"/>
  <c r="AC427" i="10"/>
  <c r="AC412" i="10"/>
  <c r="AC408" i="10"/>
  <c r="X413" i="10"/>
  <c r="Y397" i="10"/>
  <c r="Y389" i="10"/>
  <c r="AC363" i="10"/>
  <c r="AC359" i="10"/>
  <c r="X398" i="10"/>
  <c r="AC346" i="10"/>
  <c r="Y385" i="10"/>
  <c r="X380" i="10"/>
  <c r="X372" i="10"/>
  <c r="X345" i="10"/>
  <c r="U361" i="10"/>
  <c r="AC361" i="10" s="1"/>
  <c r="AC400" i="10"/>
  <c r="AC386" i="10"/>
  <c r="AC396" i="10"/>
  <c r="AC364" i="10"/>
  <c r="AC417" i="10"/>
  <c r="AC415" i="10"/>
  <c r="AC356" i="10"/>
  <c r="AC388" i="10"/>
  <c r="Y388" i="10"/>
  <c r="AC354" i="10"/>
  <c r="AC375" i="10"/>
  <c r="Y375" i="10"/>
  <c r="Y383" i="10"/>
  <c r="AC383" i="10"/>
  <c r="Y380" i="10"/>
  <c r="AC380" i="10"/>
  <c r="X417" i="10"/>
  <c r="Y417" i="10" s="1"/>
  <c r="T104" i="10"/>
  <c r="U104" i="10" s="1"/>
  <c r="S111" i="10"/>
  <c r="S125" i="10"/>
  <c r="U125" i="10" s="1"/>
  <c r="S137" i="10"/>
  <c r="S180" i="10"/>
  <c r="S196" i="10"/>
  <c r="S210" i="10"/>
  <c r="U210" i="10" s="1"/>
  <c r="T225" i="10"/>
  <c r="T278" i="10"/>
  <c r="U278" i="10" s="1"/>
  <c r="T292" i="10"/>
  <c r="U292" i="10" s="1"/>
  <c r="T321" i="10"/>
  <c r="U321" i="10" s="1"/>
  <c r="S326" i="10"/>
  <c r="AC419" i="10"/>
  <c r="Y419" i="10"/>
  <c r="AC414" i="10"/>
  <c r="Y414" i="10"/>
  <c r="U407" i="10"/>
  <c r="AC347" i="10"/>
  <c r="AC373" i="10"/>
  <c r="Y373" i="10"/>
  <c r="Y404" i="10"/>
  <c r="AC404" i="10"/>
  <c r="AC381" i="10"/>
  <c r="Y381" i="10"/>
  <c r="U403" i="10"/>
  <c r="U378" i="10"/>
  <c r="U370" i="10"/>
  <c r="X411" i="10"/>
  <c r="Y411" i="10" s="1"/>
  <c r="X366" i="10"/>
  <c r="X378" i="10"/>
  <c r="X370" i="10"/>
  <c r="X362" i="10"/>
  <c r="X356" i="10"/>
  <c r="Y356" i="10" s="1"/>
  <c r="AC421" i="10"/>
  <c r="Y421" i="10"/>
  <c r="S149" i="10"/>
  <c r="U149" i="10" s="1"/>
  <c r="T286" i="10"/>
  <c r="U286" i="10" s="1"/>
  <c r="S291" i="10"/>
  <c r="T294" i="10"/>
  <c r="U294" i="10" s="1"/>
  <c r="S297" i="10"/>
  <c r="S305" i="10"/>
  <c r="U305" i="10" s="1"/>
  <c r="S318" i="10"/>
  <c r="T325" i="10"/>
  <c r="U325" i="10" s="1"/>
  <c r="AC392" i="10"/>
  <c r="Y392" i="10"/>
  <c r="U406" i="10"/>
  <c r="AC394" i="10"/>
  <c r="Y394" i="10"/>
  <c r="AC343" i="10"/>
  <c r="AC371" i="10"/>
  <c r="Y371" i="10"/>
  <c r="AC349" i="10"/>
  <c r="AC379" i="10"/>
  <c r="Y379" i="10"/>
  <c r="AC398" i="10"/>
  <c r="Y398" i="10"/>
  <c r="AC374" i="10"/>
  <c r="Y372" i="10"/>
  <c r="AC372" i="10"/>
  <c r="AC358" i="10"/>
  <c r="Y366" i="10"/>
  <c r="AC366" i="10"/>
  <c r="X409" i="10"/>
  <c r="X401" i="10"/>
  <c r="X403" i="10"/>
  <c r="X400" i="10"/>
  <c r="Y400" i="10" s="1"/>
  <c r="X376" i="10"/>
  <c r="X349" i="10"/>
  <c r="Y349" i="10" s="1"/>
  <c r="X341" i="10"/>
  <c r="Y341" i="10" s="1"/>
  <c r="U93" i="10"/>
  <c r="T96" i="10"/>
  <c r="U96" i="10" s="1"/>
  <c r="S119" i="10"/>
  <c r="T135" i="10"/>
  <c r="U135" i="10" s="1"/>
  <c r="S139" i="10"/>
  <c r="U139" i="10" s="1"/>
  <c r="T165" i="10"/>
  <c r="U165" i="10" s="1"/>
  <c r="S170" i="10"/>
  <c r="T173" i="10"/>
  <c r="U173" i="10" s="1"/>
  <c r="S194" i="10"/>
  <c r="S202" i="10"/>
  <c r="AC425" i="10"/>
  <c r="Y425" i="10"/>
  <c r="AC390" i="10"/>
  <c r="Y390" i="10"/>
  <c r="AC411" i="10"/>
  <c r="Y362" i="10"/>
  <c r="AC362" i="10"/>
  <c r="AC341" i="10"/>
  <c r="AC413" i="10"/>
  <c r="Y413" i="10"/>
  <c r="AC409" i="10"/>
  <c r="Y409" i="10"/>
  <c r="Y345" i="10"/>
  <c r="AC345" i="10"/>
  <c r="AC384" i="10"/>
  <c r="Y384" i="10"/>
  <c r="AC377" i="10"/>
  <c r="Y377" i="10"/>
  <c r="AC382" i="10"/>
  <c r="Y376" i="10"/>
  <c r="AC376" i="10"/>
  <c r="X406" i="10"/>
  <c r="X407" i="10"/>
  <c r="X386" i="10"/>
  <c r="Y386" i="10" s="1"/>
  <c r="X358" i="10"/>
  <c r="Y358" i="10" s="1"/>
  <c r="X354" i="10"/>
  <c r="Y354" i="10" s="1"/>
  <c r="X343" i="10"/>
  <c r="Y343" i="10" s="1"/>
  <c r="X396" i="10"/>
  <c r="Y396" i="10" s="1"/>
  <c r="X382" i="10"/>
  <c r="Y382" i="10" s="1"/>
  <c r="X374" i="10"/>
  <c r="Y374" i="10" s="1"/>
  <c r="X347" i="10"/>
  <c r="Y347" i="10" s="1"/>
  <c r="X415" i="10"/>
  <c r="Y415" i="10" s="1"/>
  <c r="X364" i="10"/>
  <c r="Y364" i="10" s="1"/>
  <c r="S151" i="10"/>
  <c r="T151" i="10"/>
  <c r="T328" i="10"/>
  <c r="S328" i="10"/>
  <c r="T204" i="10"/>
  <c r="S204" i="10"/>
  <c r="S246" i="10"/>
  <c r="T246" i="10"/>
  <c r="S281" i="10"/>
  <c r="T281" i="10"/>
  <c r="T129" i="10"/>
  <c r="S129" i="10"/>
  <c r="S157" i="10"/>
  <c r="T157" i="10"/>
  <c r="T307" i="10"/>
  <c r="S307" i="10"/>
  <c r="S276" i="10"/>
  <c r="T276" i="10"/>
  <c r="T303" i="10"/>
  <c r="S303" i="10"/>
  <c r="T311" i="10"/>
  <c r="S311" i="10"/>
  <c r="T336" i="10"/>
  <c r="S336" i="10"/>
  <c r="T186" i="10"/>
  <c r="S186" i="10"/>
  <c r="S92" i="10"/>
  <c r="T92" i="10"/>
  <c r="T166" i="10"/>
  <c r="S166" i="10"/>
  <c r="S230" i="10"/>
  <c r="T230" i="10"/>
  <c r="T335" i="10"/>
  <c r="S105" i="10"/>
  <c r="U105" i="10" s="1"/>
  <c r="U119" i="10"/>
  <c r="S133" i="10"/>
  <c r="S153" i="10"/>
  <c r="U153" i="10" s="1"/>
  <c r="T106" i="10"/>
  <c r="U106" i="10" s="1"/>
  <c r="S117" i="10"/>
  <c r="S141" i="10"/>
  <c r="U141" i="10" s="1"/>
  <c r="S147" i="10"/>
  <c r="U147" i="10" s="1"/>
  <c r="T160" i="10"/>
  <c r="S174" i="10"/>
  <c r="S182" i="10"/>
  <c r="U182" i="10" s="1"/>
  <c r="S190" i="10"/>
  <c r="U190" i="10" s="1"/>
  <c r="S198" i="10"/>
  <c r="U198" i="10" s="1"/>
  <c r="S206" i="10"/>
  <c r="S214" i="10"/>
  <c r="U214" i="10" s="1"/>
  <c r="S218" i="10"/>
  <c r="U218" i="10" s="1"/>
  <c r="S219" i="10"/>
  <c r="U219" i="10" s="1"/>
  <c r="S221" i="10"/>
  <c r="U221" i="10" s="1"/>
  <c r="T233" i="10"/>
  <c r="U233" i="10" s="1"/>
  <c r="T234" i="10"/>
  <c r="U234" i="10" s="1"/>
  <c r="T244" i="10"/>
  <c r="U244" i="10" s="1"/>
  <c r="T289" i="10"/>
  <c r="U289" i="10" s="1"/>
  <c r="T322" i="10"/>
  <c r="T329" i="10"/>
  <c r="U329" i="10" s="1"/>
  <c r="S338" i="10"/>
  <c r="U338" i="10" s="1"/>
  <c r="T339" i="10"/>
  <c r="S340" i="10"/>
  <c r="U340" i="10" s="1"/>
  <c r="T100" i="10"/>
  <c r="U100" i="10" s="1"/>
  <c r="U101" i="10"/>
  <c r="S115" i="10"/>
  <c r="U115" i="10" s="1"/>
  <c r="S123" i="10"/>
  <c r="U123" i="10" s="1"/>
  <c r="S168" i="10"/>
  <c r="T168" i="10"/>
  <c r="T222" i="10"/>
  <c r="S222" i="10"/>
  <c r="U222" i="10" s="1"/>
  <c r="T251" i="10"/>
  <c r="S251" i="10"/>
  <c r="S262" i="10"/>
  <c r="T262" i="10"/>
  <c r="U262" i="10" s="1"/>
  <c r="T299" i="10"/>
  <c r="S299" i="10"/>
  <c r="S95" i="10"/>
  <c r="U95" i="10" s="1"/>
  <c r="U97" i="10"/>
  <c r="T98" i="10"/>
  <c r="U98" i="10" s="1"/>
  <c r="T108" i="10"/>
  <c r="U108" i="10" s="1"/>
  <c r="T109" i="10"/>
  <c r="U109" i="10" s="1"/>
  <c r="S113" i="10"/>
  <c r="U113" i="10" s="1"/>
  <c r="S121" i="10"/>
  <c r="U121" i="10" s="1"/>
  <c r="T127" i="10"/>
  <c r="U127" i="10" s="1"/>
  <c r="S131" i="10"/>
  <c r="U131" i="10" s="1"/>
  <c r="U133" i="10"/>
  <c r="S145" i="10"/>
  <c r="U145" i="10" s="1"/>
  <c r="S162" i="10"/>
  <c r="T217" i="10"/>
  <c r="S217" i="10"/>
  <c r="T239" i="10"/>
  <c r="U239" i="10" s="1"/>
  <c r="S239" i="10"/>
  <c r="T253" i="10"/>
  <c r="S253" i="10"/>
  <c r="S256" i="10"/>
  <c r="T256" i="10"/>
  <c r="T261" i="10"/>
  <c r="S261" i="10"/>
  <c r="S264" i="10"/>
  <c r="T264" i="10"/>
  <c r="T269" i="10"/>
  <c r="S269" i="10"/>
  <c r="S284" i="10"/>
  <c r="T284" i="10"/>
  <c r="T324" i="10"/>
  <c r="S324" i="10"/>
  <c r="S333" i="10"/>
  <c r="U333" i="10" s="1"/>
  <c r="T333" i="10"/>
  <c r="U117" i="10"/>
  <c r="T231" i="10"/>
  <c r="S231" i="10"/>
  <c r="S254" i="10"/>
  <c r="T254" i="10"/>
  <c r="T259" i="10"/>
  <c r="S259" i="10"/>
  <c r="T267" i="10"/>
  <c r="S267" i="10"/>
  <c r="S270" i="10"/>
  <c r="T270" i="10"/>
  <c r="T176" i="10"/>
  <c r="S176" i="10"/>
  <c r="T184" i="10"/>
  <c r="S184" i="10"/>
  <c r="T192" i="10"/>
  <c r="S192" i="10"/>
  <c r="T200" i="10"/>
  <c r="S200" i="10"/>
  <c r="T208" i="10"/>
  <c r="S208" i="10"/>
  <c r="T227" i="10"/>
  <c r="S227" i="10"/>
  <c r="S250" i="10"/>
  <c r="T250" i="10"/>
  <c r="T255" i="10"/>
  <c r="S255" i="10"/>
  <c r="S258" i="10"/>
  <c r="T258" i="10"/>
  <c r="T263" i="10"/>
  <c r="S263" i="10"/>
  <c r="S266" i="10"/>
  <c r="T266" i="10"/>
  <c r="T271" i="10"/>
  <c r="S271" i="10"/>
  <c r="T332" i="10"/>
  <c r="S332" i="10"/>
  <c r="U332" i="10" s="1"/>
  <c r="U137" i="10"/>
  <c r="S169" i="10"/>
  <c r="T169" i="10"/>
  <c r="T235" i="10"/>
  <c r="S235" i="10"/>
  <c r="S252" i="10"/>
  <c r="T252" i="10"/>
  <c r="T257" i="10"/>
  <c r="S257" i="10"/>
  <c r="S260" i="10"/>
  <c r="T260" i="10"/>
  <c r="T265" i="10"/>
  <c r="S265" i="10"/>
  <c r="S268" i="10"/>
  <c r="T268" i="10"/>
  <c r="T283" i="10"/>
  <c r="S283" i="10"/>
  <c r="U223" i="10"/>
  <c r="U311" i="10"/>
  <c r="U331" i="10"/>
  <c r="U339" i="10"/>
  <c r="U224" i="10"/>
  <c r="S315" i="10"/>
  <c r="U315" i="10" s="1"/>
  <c r="U318" i="10"/>
  <c r="T319" i="10"/>
  <c r="U319" i="10" s="1"/>
  <c r="U337" i="10"/>
  <c r="U220" i="10"/>
  <c r="U327" i="10"/>
  <c r="U335" i="10"/>
  <c r="W96" i="10"/>
  <c r="X96" i="10" s="1"/>
  <c r="Y96" i="10" s="1"/>
  <c r="W101" i="10"/>
  <c r="X101" i="10" s="1"/>
  <c r="AA106" i="10"/>
  <c r="AB106" i="10" s="1"/>
  <c r="W109" i="10"/>
  <c r="X109" i="10" s="1"/>
  <c r="W234" i="10"/>
  <c r="X234" i="10" s="1"/>
  <c r="AA92" i="10"/>
  <c r="AB92" i="10" s="1"/>
  <c r="W95" i="10"/>
  <c r="X95" i="10" s="1"/>
  <c r="AA97" i="10"/>
  <c r="AB97" i="10" s="1"/>
  <c r="W98" i="10"/>
  <c r="X98" i="10" s="1"/>
  <c r="AA100" i="10"/>
  <c r="AB100" i="10" s="1"/>
  <c r="W103" i="10"/>
  <c r="AA105" i="10"/>
  <c r="AB105" i="10" s="1"/>
  <c r="W106" i="10"/>
  <c r="X106" i="10" s="1"/>
  <c r="AA108" i="10"/>
  <c r="AB108" i="10" s="1"/>
  <c r="W158" i="10"/>
  <c r="W166" i="10"/>
  <c r="X166" i="10" s="1"/>
  <c r="W93" i="10"/>
  <c r="X93" i="10" s="1"/>
  <c r="AA95" i="10"/>
  <c r="AB95" i="10" s="1"/>
  <c r="AA103" i="10"/>
  <c r="AB103" i="10" s="1"/>
  <c r="AA163" i="10"/>
  <c r="AB163" i="10" s="1"/>
  <c r="AA179" i="10"/>
  <c r="AB179" i="10" s="1"/>
  <c r="AA91" i="10"/>
  <c r="AB91" i="10" s="1"/>
  <c r="W92" i="10"/>
  <c r="AA94" i="10"/>
  <c r="AB94" i="10" s="1"/>
  <c r="W97" i="10"/>
  <c r="X97" i="10" s="1"/>
  <c r="AA99" i="10"/>
  <c r="AB99" i="10" s="1"/>
  <c r="W100" i="10"/>
  <c r="X100" i="10" s="1"/>
  <c r="AA102" i="10"/>
  <c r="AB102" i="10" s="1"/>
  <c r="W105" i="10"/>
  <c r="AA107" i="10"/>
  <c r="AB107" i="10" s="1"/>
  <c r="W108" i="10"/>
  <c r="X108" i="10" s="1"/>
  <c r="AA110" i="10"/>
  <c r="AB110" i="10" s="1"/>
  <c r="AA155" i="10"/>
  <c r="AB155" i="10" s="1"/>
  <c r="AA160" i="10"/>
  <c r="AB160" i="10" s="1"/>
  <c r="W161" i="10"/>
  <c r="X161" i="10" s="1"/>
  <c r="AA168" i="10"/>
  <c r="AB168" i="10" s="1"/>
  <c r="W174" i="10"/>
  <c r="X174" i="10" s="1"/>
  <c r="AA175" i="10"/>
  <c r="AB175" i="10" s="1"/>
  <c r="AA98" i="10"/>
  <c r="AB98" i="10" s="1"/>
  <c r="W104" i="10"/>
  <c r="X104" i="10" s="1"/>
  <c r="Y104" i="10" s="1"/>
  <c r="AA171" i="10"/>
  <c r="AB171" i="10" s="1"/>
  <c r="W91" i="10"/>
  <c r="AA93" i="10"/>
  <c r="AB93" i="10" s="1"/>
  <c r="W94" i="10"/>
  <c r="X94" i="10" s="1"/>
  <c r="AA96" i="10"/>
  <c r="AB96" i="10" s="1"/>
  <c r="AC96" i="10" s="1"/>
  <c r="W99" i="10"/>
  <c r="AA101" i="10"/>
  <c r="AB101" i="10" s="1"/>
  <c r="W102" i="10"/>
  <c r="X102" i="10" s="1"/>
  <c r="AA104" i="10"/>
  <c r="AB104" i="10" s="1"/>
  <c r="W107" i="10"/>
  <c r="AA109" i="10"/>
  <c r="AB109" i="10" s="1"/>
  <c r="W110" i="10"/>
  <c r="X110" i="10" s="1"/>
  <c r="W169" i="10"/>
  <c r="AA177" i="10"/>
  <c r="AB177" i="10" s="1"/>
  <c r="AA112" i="10"/>
  <c r="AB112" i="10" s="1"/>
  <c r="W114" i="10"/>
  <c r="AA116" i="10"/>
  <c r="AB116" i="10" s="1"/>
  <c r="W118" i="10"/>
  <c r="W120" i="10"/>
  <c r="W122" i="10"/>
  <c r="AA122" i="10"/>
  <c r="AB122" i="10" s="1"/>
  <c r="W124" i="10"/>
  <c r="AA124" i="10"/>
  <c r="AB124" i="10" s="1"/>
  <c r="W126" i="10"/>
  <c r="AA126" i="10"/>
  <c r="AB126" i="10" s="1"/>
  <c r="W128" i="10"/>
  <c r="AA128" i="10"/>
  <c r="AB128" i="10" s="1"/>
  <c r="W130" i="10"/>
  <c r="AA130" i="10"/>
  <c r="AB130" i="10" s="1"/>
  <c r="W132" i="10"/>
  <c r="AA132" i="10"/>
  <c r="AB132" i="10" s="1"/>
  <c r="W134" i="10"/>
  <c r="AA134" i="10"/>
  <c r="AB134" i="10" s="1"/>
  <c r="W136" i="10"/>
  <c r="AA136" i="10"/>
  <c r="AB136" i="10" s="1"/>
  <c r="W138" i="10"/>
  <c r="AA138" i="10"/>
  <c r="AB138" i="10" s="1"/>
  <c r="W140" i="10"/>
  <c r="AA140" i="10"/>
  <c r="AB140" i="10" s="1"/>
  <c r="W142" i="10"/>
  <c r="AA142" i="10"/>
  <c r="AB142" i="10" s="1"/>
  <c r="W144" i="10"/>
  <c r="AA144" i="10"/>
  <c r="AB144" i="10" s="1"/>
  <c r="W146" i="10"/>
  <c r="AA146" i="10"/>
  <c r="AB146" i="10" s="1"/>
  <c r="W148" i="10"/>
  <c r="AA148" i="10"/>
  <c r="AB148" i="10" s="1"/>
  <c r="W150" i="10"/>
  <c r="AA150" i="10"/>
  <c r="AB150" i="10" s="1"/>
  <c r="W152" i="10"/>
  <c r="AA152" i="10"/>
  <c r="AB152" i="10" s="1"/>
  <c r="W154" i="10"/>
  <c r="AA154" i="10"/>
  <c r="AB154" i="10" s="1"/>
  <c r="W155" i="10"/>
  <c r="X155" i="10" s="1"/>
  <c r="AA157" i="10"/>
  <c r="AB157" i="10" s="1"/>
  <c r="W160" i="10"/>
  <c r="X160" i="10" s="1"/>
  <c r="AA162" i="10"/>
  <c r="AB162" i="10" s="1"/>
  <c r="W163" i="10"/>
  <c r="X163" i="10" s="1"/>
  <c r="AA165" i="10"/>
  <c r="AB165" i="10" s="1"/>
  <c r="AC165" i="10" s="1"/>
  <c r="W168" i="10"/>
  <c r="AA170" i="10"/>
  <c r="AB170" i="10" s="1"/>
  <c r="W171" i="10"/>
  <c r="X171" i="10" s="1"/>
  <c r="AA173" i="10"/>
  <c r="AB173" i="10" s="1"/>
  <c r="AA228" i="10"/>
  <c r="AB228" i="10" s="1"/>
  <c r="AA289" i="10"/>
  <c r="AB289" i="10" s="1"/>
  <c r="AC289" i="10" s="1"/>
  <c r="W290" i="10"/>
  <c r="X290" i="10" s="1"/>
  <c r="W112" i="10"/>
  <c r="AA114" i="10"/>
  <c r="AB114" i="10" s="1"/>
  <c r="W116" i="10"/>
  <c r="AA118" i="10"/>
  <c r="AB118" i="10" s="1"/>
  <c r="AA120" i="10"/>
  <c r="AB120" i="10" s="1"/>
  <c r="AA156" i="10"/>
  <c r="AB156" i="10" s="1"/>
  <c r="W157" i="10"/>
  <c r="X157" i="10" s="1"/>
  <c r="AA159" i="10"/>
  <c r="AB159" i="10" s="1"/>
  <c r="W162" i="10"/>
  <c r="X162" i="10" s="1"/>
  <c r="AA164" i="10"/>
  <c r="AB164" i="10" s="1"/>
  <c r="W165" i="10"/>
  <c r="X165" i="10" s="1"/>
  <c r="Y165" i="10" s="1"/>
  <c r="AA167" i="10"/>
  <c r="AB167" i="10" s="1"/>
  <c r="W170" i="10"/>
  <c r="AA172" i="10"/>
  <c r="AB172" i="10" s="1"/>
  <c r="W173" i="10"/>
  <c r="X173" i="10" s="1"/>
  <c r="W175" i="10"/>
  <c r="W177" i="10"/>
  <c r="W179" i="10"/>
  <c r="AA225" i="10"/>
  <c r="AB225" i="10" s="1"/>
  <c r="W231" i="10"/>
  <c r="AA236" i="10"/>
  <c r="AB236" i="10" s="1"/>
  <c r="W111" i="10"/>
  <c r="X111" i="10" s="1"/>
  <c r="AA111" i="10"/>
  <c r="AB111" i="10" s="1"/>
  <c r="W113" i="10"/>
  <c r="AA113" i="10"/>
  <c r="AB113" i="10" s="1"/>
  <c r="W115" i="10"/>
  <c r="X115" i="10" s="1"/>
  <c r="AA115" i="10"/>
  <c r="AB115" i="10" s="1"/>
  <c r="W117" i="10"/>
  <c r="X117" i="10" s="1"/>
  <c r="AA117" i="10"/>
  <c r="AB117" i="10" s="1"/>
  <c r="W119" i="10"/>
  <c r="X119" i="10" s="1"/>
  <c r="AA119" i="10"/>
  <c r="AB119" i="10" s="1"/>
  <c r="W121" i="10"/>
  <c r="AA121" i="10"/>
  <c r="AB121" i="10" s="1"/>
  <c r="W123" i="10"/>
  <c r="AA123" i="10"/>
  <c r="AB123" i="10" s="1"/>
  <c r="W125" i="10"/>
  <c r="AA125" i="10"/>
  <c r="AB125" i="10" s="1"/>
  <c r="W127" i="10"/>
  <c r="X127" i="10" s="1"/>
  <c r="AA127" i="10"/>
  <c r="AB127" i="10" s="1"/>
  <c r="AC127" i="10" s="1"/>
  <c r="W129" i="10"/>
  <c r="AA129" i="10"/>
  <c r="AB129" i="10" s="1"/>
  <c r="W131" i="10"/>
  <c r="X131" i="10" s="1"/>
  <c r="AA131" i="10"/>
  <c r="AB131" i="10" s="1"/>
  <c r="W133" i="10"/>
  <c r="X133" i="10" s="1"/>
  <c r="AA133" i="10"/>
  <c r="AB133" i="10" s="1"/>
  <c r="W135" i="10"/>
  <c r="X135" i="10" s="1"/>
  <c r="AA135" i="10"/>
  <c r="AB135" i="10" s="1"/>
  <c r="AC135" i="10" s="1"/>
  <c r="W137" i="10"/>
  <c r="X137" i="10" s="1"/>
  <c r="AA137" i="10"/>
  <c r="AB137" i="10" s="1"/>
  <c r="W139" i="10"/>
  <c r="X139" i="10" s="1"/>
  <c r="AA139" i="10"/>
  <c r="AB139" i="10" s="1"/>
  <c r="W141" i="10"/>
  <c r="AA141" i="10"/>
  <c r="AB141" i="10" s="1"/>
  <c r="W143" i="10"/>
  <c r="X143" i="10" s="1"/>
  <c r="AA143" i="10"/>
  <c r="AB143" i="10" s="1"/>
  <c r="AC143" i="10" s="1"/>
  <c r="W145" i="10"/>
  <c r="AA145" i="10"/>
  <c r="AB145" i="10" s="1"/>
  <c r="W147" i="10"/>
  <c r="AA147" i="10"/>
  <c r="AB147" i="10" s="1"/>
  <c r="W149" i="10"/>
  <c r="X149" i="10" s="1"/>
  <c r="AA149" i="10"/>
  <c r="AB149" i="10" s="1"/>
  <c r="W151" i="10"/>
  <c r="X151" i="10" s="1"/>
  <c r="AA151" i="10"/>
  <c r="AB151" i="10" s="1"/>
  <c r="W153" i="10"/>
  <c r="AA153" i="10"/>
  <c r="AB153" i="10" s="1"/>
  <c r="W156" i="10"/>
  <c r="AA158" i="10"/>
  <c r="AB158" i="10" s="1"/>
  <c r="W159" i="10"/>
  <c r="AA161" i="10"/>
  <c r="AB161" i="10" s="1"/>
  <c r="W164" i="10"/>
  <c r="AA166" i="10"/>
  <c r="AB166" i="10" s="1"/>
  <c r="W167" i="10"/>
  <c r="AA169" i="10"/>
  <c r="AB169" i="10" s="1"/>
  <c r="W172" i="10"/>
  <c r="AA174" i="10"/>
  <c r="AB174" i="10" s="1"/>
  <c r="W226" i="10"/>
  <c r="X226" i="10" s="1"/>
  <c r="Y226" i="10" s="1"/>
  <c r="AA233" i="10"/>
  <c r="AB233" i="10" s="1"/>
  <c r="W239" i="10"/>
  <c r="X239" i="10" s="1"/>
  <c r="W241" i="10"/>
  <c r="W243" i="10"/>
  <c r="W245" i="10"/>
  <c r="W247" i="10"/>
  <c r="W249" i="10"/>
  <c r="AA275" i="10"/>
  <c r="AB275" i="10" s="1"/>
  <c r="W181" i="10"/>
  <c r="AA181" i="10"/>
  <c r="AB181" i="10" s="1"/>
  <c r="W183" i="10"/>
  <c r="AA183" i="10"/>
  <c r="AB183" i="10" s="1"/>
  <c r="W185" i="10"/>
  <c r="AA185" i="10"/>
  <c r="AB185" i="10" s="1"/>
  <c r="W187" i="10"/>
  <c r="AA187" i="10"/>
  <c r="AB187" i="10" s="1"/>
  <c r="W189" i="10"/>
  <c r="AA189" i="10"/>
  <c r="AB189" i="10" s="1"/>
  <c r="W191" i="10"/>
  <c r="AA191" i="10"/>
  <c r="AB191" i="10" s="1"/>
  <c r="W193" i="10"/>
  <c r="AA193" i="10"/>
  <c r="AB193" i="10" s="1"/>
  <c r="W195" i="10"/>
  <c r="AA195" i="10"/>
  <c r="AB195" i="10" s="1"/>
  <c r="W197" i="10"/>
  <c r="AA197" i="10"/>
  <c r="AB197" i="10" s="1"/>
  <c r="W199" i="10"/>
  <c r="AA199" i="10"/>
  <c r="AB199" i="10" s="1"/>
  <c r="W201" i="10"/>
  <c r="AA201" i="10"/>
  <c r="AB201" i="10" s="1"/>
  <c r="W203" i="10"/>
  <c r="AA203" i="10"/>
  <c r="AB203" i="10" s="1"/>
  <c r="W205" i="10"/>
  <c r="AA205" i="10"/>
  <c r="AB205" i="10" s="1"/>
  <c r="W207" i="10"/>
  <c r="AA207" i="10"/>
  <c r="AB207" i="10" s="1"/>
  <c r="W209" i="10"/>
  <c r="AA209" i="10"/>
  <c r="AB209" i="10" s="1"/>
  <c r="W211" i="10"/>
  <c r="AA211" i="10"/>
  <c r="AB211" i="10" s="1"/>
  <c r="W213" i="10"/>
  <c r="AA213" i="10"/>
  <c r="AB213" i="10" s="1"/>
  <c r="W215" i="10"/>
  <c r="X215" i="10" s="1"/>
  <c r="AA215" i="10"/>
  <c r="AB215" i="10" s="1"/>
  <c r="W217" i="10"/>
  <c r="AA217" i="10"/>
  <c r="AB217" i="10" s="1"/>
  <c r="W219" i="10"/>
  <c r="AA219" i="10"/>
  <c r="AB219" i="10" s="1"/>
  <c r="W221" i="10"/>
  <c r="X221" i="10" s="1"/>
  <c r="AA221" i="10"/>
  <c r="AB221" i="10" s="1"/>
  <c r="W223" i="10"/>
  <c r="X223" i="10" s="1"/>
  <c r="AA223" i="10"/>
  <c r="AB223" i="10" s="1"/>
  <c r="W225" i="10"/>
  <c r="X225" i="10" s="1"/>
  <c r="AA227" i="10"/>
  <c r="AB227" i="10" s="1"/>
  <c r="W228" i="10"/>
  <c r="X228" i="10" s="1"/>
  <c r="AA230" i="10"/>
  <c r="AB230" i="10" s="1"/>
  <c r="W233" i="10"/>
  <c r="X233" i="10" s="1"/>
  <c r="AA235" i="10"/>
  <c r="AB235" i="10" s="1"/>
  <c r="W236" i="10"/>
  <c r="X236" i="10" s="1"/>
  <c r="AA238" i="10"/>
  <c r="AB238" i="10" s="1"/>
  <c r="AC238" i="10" s="1"/>
  <c r="W279" i="10"/>
  <c r="AA224" i="10"/>
  <c r="AB224" i="10" s="1"/>
  <c r="W227" i="10"/>
  <c r="AA229" i="10"/>
  <c r="AB229" i="10" s="1"/>
  <c r="W230" i="10"/>
  <c r="AA232" i="10"/>
  <c r="AB232" i="10" s="1"/>
  <c r="W235" i="10"/>
  <c r="AA237" i="10"/>
  <c r="AB237" i="10" s="1"/>
  <c r="W238" i="10"/>
  <c r="X238" i="10" s="1"/>
  <c r="Y238" i="10" s="1"/>
  <c r="AA240" i="10"/>
  <c r="AB240" i="10" s="1"/>
  <c r="AA241" i="10"/>
  <c r="AB241" i="10" s="1"/>
  <c r="AA243" i="10"/>
  <c r="AB243" i="10" s="1"/>
  <c r="AA245" i="10"/>
  <c r="AB245" i="10" s="1"/>
  <c r="AA247" i="10"/>
  <c r="AB247" i="10" s="1"/>
  <c r="AA249" i="10"/>
  <c r="AB249" i="10" s="1"/>
  <c r="W271" i="10"/>
  <c r="X271" i="10" s="1"/>
  <c r="W176" i="10"/>
  <c r="AA176" i="10"/>
  <c r="AB176" i="10" s="1"/>
  <c r="W178" i="10"/>
  <c r="X178" i="10" s="1"/>
  <c r="AA178" i="10"/>
  <c r="AB178" i="10" s="1"/>
  <c r="W180" i="10"/>
  <c r="X180" i="10" s="1"/>
  <c r="AA180" i="10"/>
  <c r="AB180" i="10" s="1"/>
  <c r="W182" i="10"/>
  <c r="AA182" i="10"/>
  <c r="AB182" i="10" s="1"/>
  <c r="W184" i="10"/>
  <c r="AA184" i="10"/>
  <c r="AB184" i="10" s="1"/>
  <c r="W186" i="10"/>
  <c r="X186" i="10" s="1"/>
  <c r="AA186" i="10"/>
  <c r="AB186" i="10" s="1"/>
  <c r="W188" i="10"/>
  <c r="X188" i="10" s="1"/>
  <c r="AA188" i="10"/>
  <c r="AB188" i="10" s="1"/>
  <c r="W190" i="10"/>
  <c r="X190" i="10" s="1"/>
  <c r="AA190" i="10"/>
  <c r="AB190" i="10" s="1"/>
  <c r="W192" i="10"/>
  <c r="AA192" i="10"/>
  <c r="AB192" i="10" s="1"/>
  <c r="W194" i="10"/>
  <c r="X194" i="10" s="1"/>
  <c r="AA194" i="10"/>
  <c r="AB194" i="10" s="1"/>
  <c r="W196" i="10"/>
  <c r="X196" i="10" s="1"/>
  <c r="AA196" i="10"/>
  <c r="AB196" i="10" s="1"/>
  <c r="W198" i="10"/>
  <c r="AA198" i="10"/>
  <c r="AB198" i="10" s="1"/>
  <c r="W200" i="10"/>
  <c r="AA200" i="10"/>
  <c r="AB200" i="10" s="1"/>
  <c r="W202" i="10"/>
  <c r="X202" i="10" s="1"/>
  <c r="AA202" i="10"/>
  <c r="AB202" i="10" s="1"/>
  <c r="W204" i="10"/>
  <c r="X204" i="10" s="1"/>
  <c r="AA204" i="10"/>
  <c r="AB204" i="10" s="1"/>
  <c r="W206" i="10"/>
  <c r="X206" i="10" s="1"/>
  <c r="AA206" i="10"/>
  <c r="AB206" i="10" s="1"/>
  <c r="W208" i="10"/>
  <c r="AA208" i="10"/>
  <c r="AB208" i="10" s="1"/>
  <c r="W210" i="10"/>
  <c r="X210" i="10" s="1"/>
  <c r="AA210" i="10"/>
  <c r="AB210" i="10" s="1"/>
  <c r="W212" i="10"/>
  <c r="X212" i="10" s="1"/>
  <c r="AA212" i="10"/>
  <c r="AB212" i="10" s="1"/>
  <c r="W214" i="10"/>
  <c r="AA214" i="10"/>
  <c r="AB214" i="10" s="1"/>
  <c r="W216" i="10"/>
  <c r="X216" i="10" s="1"/>
  <c r="Y216" i="10" s="1"/>
  <c r="AA216" i="10"/>
  <c r="AB216" i="10" s="1"/>
  <c r="AC216" i="10" s="1"/>
  <c r="W218" i="10"/>
  <c r="X218" i="10" s="1"/>
  <c r="AA218" i="10"/>
  <c r="AB218" i="10" s="1"/>
  <c r="W220" i="10"/>
  <c r="X220" i="10" s="1"/>
  <c r="AA220" i="10"/>
  <c r="AB220" i="10" s="1"/>
  <c r="W222" i="10"/>
  <c r="AA222" i="10"/>
  <c r="AB222" i="10" s="1"/>
  <c r="W224" i="10"/>
  <c r="X224" i="10" s="1"/>
  <c r="AA226" i="10"/>
  <c r="AB226" i="10" s="1"/>
  <c r="AC226" i="10" s="1"/>
  <c r="W229" i="10"/>
  <c r="AA231" i="10"/>
  <c r="AB231" i="10" s="1"/>
  <c r="W232" i="10"/>
  <c r="AA234" i="10"/>
  <c r="AB234" i="10" s="1"/>
  <c r="W237" i="10"/>
  <c r="AA239" i="10"/>
  <c r="AB239" i="10" s="1"/>
  <c r="W240" i="10"/>
  <c r="AA284" i="10"/>
  <c r="AB284" i="10" s="1"/>
  <c r="AA319" i="10"/>
  <c r="AB319" i="10" s="1"/>
  <c r="W242" i="10"/>
  <c r="X242" i="10" s="1"/>
  <c r="AA242" i="10"/>
  <c r="AB242" i="10" s="1"/>
  <c r="AC242" i="10" s="1"/>
  <c r="W244" i="10"/>
  <c r="X244" i="10" s="1"/>
  <c r="AA244" i="10"/>
  <c r="AB244" i="10" s="1"/>
  <c r="W246" i="10"/>
  <c r="X246" i="10" s="1"/>
  <c r="AA246" i="10"/>
  <c r="AB246" i="10" s="1"/>
  <c r="W248" i="10"/>
  <c r="X248" i="10" s="1"/>
  <c r="Y248" i="10" s="1"/>
  <c r="AA248" i="10"/>
  <c r="AB248" i="10" s="1"/>
  <c r="AC248" i="10" s="1"/>
  <c r="W250" i="10"/>
  <c r="X250" i="10" s="1"/>
  <c r="AA250" i="10"/>
  <c r="AB250" i="10" s="1"/>
  <c r="W252" i="10"/>
  <c r="AA252" i="10"/>
  <c r="AB252" i="10" s="1"/>
  <c r="W254" i="10"/>
  <c r="AA254" i="10"/>
  <c r="AB254" i="10" s="1"/>
  <c r="W256" i="10"/>
  <c r="AA256" i="10"/>
  <c r="AB256" i="10" s="1"/>
  <c r="W258" i="10"/>
  <c r="X258" i="10" s="1"/>
  <c r="AA258" i="10"/>
  <c r="AB258" i="10" s="1"/>
  <c r="W260" i="10"/>
  <c r="AA260" i="10"/>
  <c r="AB260" i="10" s="1"/>
  <c r="W262" i="10"/>
  <c r="X262" i="10" s="1"/>
  <c r="AA262" i="10"/>
  <c r="AB262" i="10" s="1"/>
  <c r="W264" i="10"/>
  <c r="AA264" i="10"/>
  <c r="AB264" i="10" s="1"/>
  <c r="W266" i="10"/>
  <c r="X266" i="10" s="1"/>
  <c r="AA266" i="10"/>
  <c r="AB266" i="10" s="1"/>
  <c r="W268" i="10"/>
  <c r="AA268" i="10"/>
  <c r="AB268" i="10" s="1"/>
  <c r="W270" i="10"/>
  <c r="AA270" i="10"/>
  <c r="AB270" i="10" s="1"/>
  <c r="AA281" i="10"/>
  <c r="AB281" i="10" s="1"/>
  <c r="W282" i="10"/>
  <c r="X282" i="10" s="1"/>
  <c r="AA272" i="10"/>
  <c r="AB272" i="10" s="1"/>
  <c r="W273" i="10"/>
  <c r="W295" i="10"/>
  <c r="W251" i="10"/>
  <c r="AA251" i="10"/>
  <c r="AB251" i="10" s="1"/>
  <c r="W253" i="10"/>
  <c r="AA253" i="10"/>
  <c r="AB253" i="10" s="1"/>
  <c r="W255" i="10"/>
  <c r="AA255" i="10"/>
  <c r="AB255" i="10" s="1"/>
  <c r="W257" i="10"/>
  <c r="AA257" i="10"/>
  <c r="AB257" i="10" s="1"/>
  <c r="W259" i="10"/>
  <c r="X259" i="10" s="1"/>
  <c r="AA259" i="10"/>
  <c r="AB259" i="10" s="1"/>
  <c r="W261" i="10"/>
  <c r="AA261" i="10"/>
  <c r="AB261" i="10" s="1"/>
  <c r="W263" i="10"/>
  <c r="AA263" i="10"/>
  <c r="AB263" i="10" s="1"/>
  <c r="W265" i="10"/>
  <c r="AA265" i="10"/>
  <c r="AB265" i="10" s="1"/>
  <c r="W267" i="10"/>
  <c r="AA267" i="10"/>
  <c r="AB267" i="10" s="1"/>
  <c r="W269" i="10"/>
  <c r="AA269" i="10"/>
  <c r="AB269" i="10" s="1"/>
  <c r="AA271" i="10"/>
  <c r="AB271" i="10" s="1"/>
  <c r="W272" i="10"/>
  <c r="AA273" i="10"/>
  <c r="AB273" i="10" s="1"/>
  <c r="W275" i="10"/>
  <c r="W287" i="10"/>
  <c r="AA292" i="10"/>
  <c r="AB292" i="10" s="1"/>
  <c r="AC292" i="10" s="1"/>
  <c r="W322" i="10"/>
  <c r="X322" i="10" s="1"/>
  <c r="AA278" i="10"/>
  <c r="AB278" i="10" s="1"/>
  <c r="AC278" i="10" s="1"/>
  <c r="W281" i="10"/>
  <c r="X281" i="10" s="1"/>
  <c r="AA283" i="10"/>
  <c r="AB283" i="10" s="1"/>
  <c r="W284" i="10"/>
  <c r="AA286" i="10"/>
  <c r="AB286" i="10" s="1"/>
  <c r="W289" i="10"/>
  <c r="X289" i="10" s="1"/>
  <c r="Y289" i="10" s="1"/>
  <c r="AA291" i="10"/>
  <c r="AB291" i="10" s="1"/>
  <c r="W292" i="10"/>
  <c r="X292" i="10" s="1"/>
  <c r="Y292" i="10" s="1"/>
  <c r="AA294" i="10"/>
  <c r="AB294" i="10" s="1"/>
  <c r="AC294" i="10" s="1"/>
  <c r="W296" i="10"/>
  <c r="W274" i="10"/>
  <c r="X274" i="10" s="1"/>
  <c r="AA274" i="10"/>
  <c r="AB274" i="10" s="1"/>
  <c r="W276" i="10"/>
  <c r="X276" i="10" s="1"/>
  <c r="AA276" i="10"/>
  <c r="AB276" i="10" s="1"/>
  <c r="AA277" i="10"/>
  <c r="AB277" i="10" s="1"/>
  <c r="W278" i="10"/>
  <c r="X278" i="10" s="1"/>
  <c r="Y278" i="10" s="1"/>
  <c r="AA280" i="10"/>
  <c r="AB280" i="10" s="1"/>
  <c r="W283" i="10"/>
  <c r="AA285" i="10"/>
  <c r="AB285" i="10" s="1"/>
  <c r="W286" i="10"/>
  <c r="X286" i="10" s="1"/>
  <c r="AA288" i="10"/>
  <c r="AB288" i="10" s="1"/>
  <c r="W291" i="10"/>
  <c r="X291" i="10" s="1"/>
  <c r="AA293" i="10"/>
  <c r="AB293" i="10" s="1"/>
  <c r="W294" i="10"/>
  <c r="X294" i="10" s="1"/>
  <c r="Y294" i="10" s="1"/>
  <c r="AA316" i="10"/>
  <c r="AB316" i="10" s="1"/>
  <c r="W317" i="10"/>
  <c r="X317" i="10" s="1"/>
  <c r="W324" i="10"/>
  <c r="X324" i="10" s="1"/>
  <c r="W277" i="10"/>
  <c r="AA279" i="10"/>
  <c r="AB279" i="10" s="1"/>
  <c r="W280" i="10"/>
  <c r="AA282" i="10"/>
  <c r="AB282" i="10" s="1"/>
  <c r="W285" i="10"/>
  <c r="AA287" i="10"/>
  <c r="AB287" i="10" s="1"/>
  <c r="W288" i="10"/>
  <c r="AA290" i="10"/>
  <c r="AB290" i="10" s="1"/>
  <c r="W293" i="10"/>
  <c r="AA296" i="10"/>
  <c r="AB296" i="10" s="1"/>
  <c r="W298" i="10"/>
  <c r="AA298" i="10"/>
  <c r="AB298" i="10" s="1"/>
  <c r="W300" i="10"/>
  <c r="AA300" i="10"/>
  <c r="AB300" i="10" s="1"/>
  <c r="W302" i="10"/>
  <c r="AA302" i="10"/>
  <c r="AB302" i="10" s="1"/>
  <c r="W304" i="10"/>
  <c r="AA304" i="10"/>
  <c r="AB304" i="10" s="1"/>
  <c r="W306" i="10"/>
  <c r="AA306" i="10"/>
  <c r="AB306" i="10" s="1"/>
  <c r="W308" i="10"/>
  <c r="AA308" i="10"/>
  <c r="AB308" i="10" s="1"/>
  <c r="W310" i="10"/>
  <c r="AA310" i="10"/>
  <c r="AB310" i="10" s="1"/>
  <c r="W312" i="10"/>
  <c r="AA312" i="10"/>
  <c r="AB312" i="10" s="1"/>
  <c r="W314" i="10"/>
  <c r="AA314" i="10"/>
  <c r="AB314" i="10" s="1"/>
  <c r="W316" i="10"/>
  <c r="AA318" i="10"/>
  <c r="AB318" i="10" s="1"/>
  <c r="W319" i="10"/>
  <c r="X319" i="10" s="1"/>
  <c r="Y319" i="10" s="1"/>
  <c r="AA321" i="10"/>
  <c r="AB321" i="10" s="1"/>
  <c r="W318" i="10"/>
  <c r="X318" i="10" s="1"/>
  <c r="AA320" i="10"/>
  <c r="AB320" i="10" s="1"/>
  <c r="W321" i="10"/>
  <c r="X321" i="10" s="1"/>
  <c r="Y321" i="10" s="1"/>
  <c r="AA323" i="10"/>
  <c r="AB323" i="10" s="1"/>
  <c r="AA324" i="10"/>
  <c r="AB324" i="10" s="1"/>
  <c r="AA295" i="10"/>
  <c r="AB295" i="10" s="1"/>
  <c r="W297" i="10"/>
  <c r="X297" i="10" s="1"/>
  <c r="AA297" i="10"/>
  <c r="AB297" i="10" s="1"/>
  <c r="W299" i="10"/>
  <c r="AA299" i="10"/>
  <c r="AB299" i="10" s="1"/>
  <c r="W301" i="10"/>
  <c r="X301" i="10" s="1"/>
  <c r="AA301" i="10"/>
  <c r="AB301" i="10" s="1"/>
  <c r="W303" i="10"/>
  <c r="AA303" i="10"/>
  <c r="AB303" i="10" s="1"/>
  <c r="W305" i="10"/>
  <c r="X305" i="10" s="1"/>
  <c r="AA305" i="10"/>
  <c r="AB305" i="10" s="1"/>
  <c r="W307" i="10"/>
  <c r="AA307" i="10"/>
  <c r="AB307" i="10" s="1"/>
  <c r="W309" i="10"/>
  <c r="X309" i="10" s="1"/>
  <c r="AA309" i="10"/>
  <c r="AB309" i="10" s="1"/>
  <c r="W311" i="10"/>
  <c r="X311" i="10" s="1"/>
  <c r="AA311" i="10"/>
  <c r="AB311" i="10" s="1"/>
  <c r="W313" i="10"/>
  <c r="X313" i="10" s="1"/>
  <c r="AA313" i="10"/>
  <c r="AB313" i="10" s="1"/>
  <c r="W315" i="10"/>
  <c r="X315" i="10" s="1"/>
  <c r="AA315" i="10"/>
  <c r="AB315" i="10" s="1"/>
  <c r="AA317" i="10"/>
  <c r="AB317" i="10" s="1"/>
  <c r="W320" i="10"/>
  <c r="AA322" i="10"/>
  <c r="AB322" i="10" s="1"/>
  <c r="W323" i="10"/>
  <c r="W325" i="10"/>
  <c r="X325" i="10" s="1"/>
  <c r="Y325" i="10" s="1"/>
  <c r="AA325" i="10"/>
  <c r="AB325" i="10" s="1"/>
  <c r="AC325" i="10" s="1"/>
  <c r="W327" i="10"/>
  <c r="X327" i="10" s="1"/>
  <c r="AA327" i="10"/>
  <c r="AB327" i="10" s="1"/>
  <c r="W329" i="10"/>
  <c r="X329" i="10" s="1"/>
  <c r="AA329" i="10"/>
  <c r="AB329" i="10" s="1"/>
  <c r="W331" i="10"/>
  <c r="X331" i="10" s="1"/>
  <c r="AA331" i="10"/>
  <c r="AB331" i="10" s="1"/>
  <c r="AC331" i="10" s="1"/>
  <c r="W333" i="10"/>
  <c r="AA333" i="10"/>
  <c r="AB333" i="10" s="1"/>
  <c r="W335" i="10"/>
  <c r="X335" i="10" s="1"/>
  <c r="Y335" i="10" s="1"/>
  <c r="AA335" i="10"/>
  <c r="AB335" i="10" s="1"/>
  <c r="AC335" i="10" s="1"/>
  <c r="W337" i="10"/>
  <c r="X337" i="10" s="1"/>
  <c r="AA337" i="10"/>
  <c r="AB337" i="10" s="1"/>
  <c r="W339" i="10"/>
  <c r="X339" i="10" s="1"/>
  <c r="Y339" i="10" s="1"/>
  <c r="AA339" i="10"/>
  <c r="AB339" i="10" s="1"/>
  <c r="AC339" i="10" s="1"/>
  <c r="W326" i="10"/>
  <c r="X326" i="10" s="1"/>
  <c r="AA326" i="10"/>
  <c r="AB326" i="10" s="1"/>
  <c r="W328" i="10"/>
  <c r="AA328" i="10"/>
  <c r="AB328" i="10" s="1"/>
  <c r="W330" i="10"/>
  <c r="X330" i="10" s="1"/>
  <c r="AA330" i="10"/>
  <c r="AB330" i="10" s="1"/>
  <c r="W332" i="10"/>
  <c r="AA332" i="10"/>
  <c r="AB332" i="10" s="1"/>
  <c r="W334" i="10"/>
  <c r="X334" i="10" s="1"/>
  <c r="AA334" i="10"/>
  <c r="AB334" i="10" s="1"/>
  <c r="W336" i="10"/>
  <c r="AA336" i="10"/>
  <c r="AB336" i="10" s="1"/>
  <c r="W338" i="10"/>
  <c r="AA338" i="10"/>
  <c r="AB338" i="10" s="1"/>
  <c r="W340" i="10"/>
  <c r="X340" i="10" s="1"/>
  <c r="AA340" i="10"/>
  <c r="AB340" i="10" s="1"/>
  <c r="Y98" i="10"/>
  <c r="T156" i="10"/>
  <c r="S156" i="10"/>
  <c r="S159" i="10"/>
  <c r="T159" i="10"/>
  <c r="S167" i="10"/>
  <c r="T167" i="10"/>
  <c r="T237" i="10"/>
  <c r="S237" i="10"/>
  <c r="S91" i="10"/>
  <c r="U91" i="10" s="1"/>
  <c r="T94" i="10"/>
  <c r="U94" i="10" s="1"/>
  <c r="S99" i="10"/>
  <c r="U99" i="10" s="1"/>
  <c r="T102" i="10"/>
  <c r="U102" i="10" s="1"/>
  <c r="S107" i="10"/>
  <c r="U107" i="10" s="1"/>
  <c r="T110" i="10"/>
  <c r="U110" i="10" s="1"/>
  <c r="U160" i="10"/>
  <c r="T175" i="10"/>
  <c r="S175" i="10"/>
  <c r="U111" i="10"/>
  <c r="T164" i="10"/>
  <c r="S164" i="10"/>
  <c r="U170" i="10"/>
  <c r="T172" i="10"/>
  <c r="S172" i="10"/>
  <c r="T177" i="10"/>
  <c r="S177" i="10"/>
  <c r="AC109" i="10"/>
  <c r="Y109" i="10"/>
  <c r="Y143" i="10"/>
  <c r="T179" i="10"/>
  <c r="S179" i="10"/>
  <c r="U162" i="10"/>
  <c r="U178" i="10"/>
  <c r="U180" i="10"/>
  <c r="U186" i="10"/>
  <c r="U188" i="10"/>
  <c r="U194" i="10"/>
  <c r="U196" i="10"/>
  <c r="U202" i="10"/>
  <c r="U204" i="10"/>
  <c r="U206" i="10"/>
  <c r="U212" i="10"/>
  <c r="U225" i="10"/>
  <c r="S232" i="10"/>
  <c r="T232" i="10"/>
  <c r="S112" i="10"/>
  <c r="U112" i="10" s="1"/>
  <c r="S114" i="10"/>
  <c r="U114" i="10" s="1"/>
  <c r="S116" i="10"/>
  <c r="U116" i="10" s="1"/>
  <c r="S118" i="10"/>
  <c r="U118" i="10" s="1"/>
  <c r="S120" i="10"/>
  <c r="U120" i="10" s="1"/>
  <c r="S122" i="10"/>
  <c r="U122" i="10" s="1"/>
  <c r="S124" i="10"/>
  <c r="U124" i="10" s="1"/>
  <c r="S126" i="10"/>
  <c r="U126" i="10" s="1"/>
  <c r="S128" i="10"/>
  <c r="U128" i="10" s="1"/>
  <c r="S130" i="10"/>
  <c r="U130" i="10" s="1"/>
  <c r="S132" i="10"/>
  <c r="U132" i="10" s="1"/>
  <c r="S134" i="10"/>
  <c r="U134" i="10" s="1"/>
  <c r="S136" i="10"/>
  <c r="U136" i="10" s="1"/>
  <c r="S138" i="10"/>
  <c r="U138" i="10" s="1"/>
  <c r="S140" i="10"/>
  <c r="U140" i="10" s="1"/>
  <c r="S142" i="10"/>
  <c r="U142" i="10" s="1"/>
  <c r="S144" i="10"/>
  <c r="U144" i="10" s="1"/>
  <c r="S146" i="10"/>
  <c r="U146" i="10" s="1"/>
  <c r="S148" i="10"/>
  <c r="U148" i="10" s="1"/>
  <c r="S150" i="10"/>
  <c r="U150" i="10" s="1"/>
  <c r="S152" i="10"/>
  <c r="U152" i="10" s="1"/>
  <c r="S154" i="10"/>
  <c r="U154" i="10" s="1"/>
  <c r="S158" i="10"/>
  <c r="U158" i="10" s="1"/>
  <c r="T161" i="10"/>
  <c r="U161" i="10" s="1"/>
  <c r="Y233" i="10"/>
  <c r="S240" i="10"/>
  <c r="T240" i="10"/>
  <c r="T155" i="10"/>
  <c r="U155" i="10" s="1"/>
  <c r="T163" i="10"/>
  <c r="U163" i="10" s="1"/>
  <c r="U166" i="10"/>
  <c r="T171" i="10"/>
  <c r="U171" i="10" s="1"/>
  <c r="U174" i="10"/>
  <c r="T229" i="10"/>
  <c r="S229" i="10"/>
  <c r="Y242" i="10"/>
  <c r="S181" i="10"/>
  <c r="U181" i="10" s="1"/>
  <c r="S183" i="10"/>
  <c r="U183" i="10" s="1"/>
  <c r="S185" i="10"/>
  <c r="U185" i="10" s="1"/>
  <c r="S187" i="10"/>
  <c r="U187" i="10" s="1"/>
  <c r="S189" i="10"/>
  <c r="U189" i="10" s="1"/>
  <c r="S191" i="10"/>
  <c r="U191" i="10" s="1"/>
  <c r="S193" i="10"/>
  <c r="U193" i="10" s="1"/>
  <c r="S195" i="10"/>
  <c r="U195" i="10" s="1"/>
  <c r="S197" i="10"/>
  <c r="U197" i="10" s="1"/>
  <c r="S199" i="10"/>
  <c r="U199" i="10" s="1"/>
  <c r="S201" i="10"/>
  <c r="U201" i="10" s="1"/>
  <c r="S203" i="10"/>
  <c r="U203" i="10" s="1"/>
  <c r="S205" i="10"/>
  <c r="U205" i="10" s="1"/>
  <c r="S207" i="10"/>
  <c r="U207" i="10" s="1"/>
  <c r="S209" i="10"/>
  <c r="U209" i="10" s="1"/>
  <c r="S211" i="10"/>
  <c r="U211" i="10" s="1"/>
  <c r="S213" i="10"/>
  <c r="U213" i="10" s="1"/>
  <c r="S272" i="10"/>
  <c r="T272" i="10"/>
  <c r="T228" i="10"/>
  <c r="U228" i="10" s="1"/>
  <c r="T236" i="10"/>
  <c r="U236" i="10" s="1"/>
  <c r="S241" i="10"/>
  <c r="U241" i="10" s="1"/>
  <c r="S243" i="10"/>
  <c r="U243" i="10" s="1"/>
  <c r="S245" i="10"/>
  <c r="U245" i="10" s="1"/>
  <c r="S247" i="10"/>
  <c r="U247" i="10" s="1"/>
  <c r="S249" i="10"/>
  <c r="U249" i="10" s="1"/>
  <c r="T273" i="10"/>
  <c r="S273" i="10"/>
  <c r="T293" i="10"/>
  <c r="S293" i="10"/>
  <c r="U274" i="10"/>
  <c r="T275" i="10"/>
  <c r="S275" i="10"/>
  <c r="T285" i="10"/>
  <c r="S285" i="10"/>
  <c r="S288" i="10"/>
  <c r="T288" i="10"/>
  <c r="S323" i="10"/>
  <c r="T323" i="10"/>
  <c r="T277" i="10"/>
  <c r="S277" i="10"/>
  <c r="S280" i="10"/>
  <c r="T280" i="10"/>
  <c r="U291" i="10"/>
  <c r="U301" i="10"/>
  <c r="U309" i="10"/>
  <c r="S279" i="10"/>
  <c r="U279" i="10" s="1"/>
  <c r="T282" i="10"/>
  <c r="U282" i="10" s="1"/>
  <c r="S287" i="10"/>
  <c r="U287" i="10" s="1"/>
  <c r="T290" i="10"/>
  <c r="U290" i="10" s="1"/>
  <c r="S295" i="10"/>
  <c r="U295" i="10" s="1"/>
  <c r="T320" i="10"/>
  <c r="S320" i="10"/>
  <c r="T296" i="10"/>
  <c r="S296" i="10"/>
  <c r="U297" i="10"/>
  <c r="U313" i="10"/>
  <c r="AC319" i="10"/>
  <c r="S298" i="10"/>
  <c r="U298" i="10" s="1"/>
  <c r="S300" i="10"/>
  <c r="U300" i="10" s="1"/>
  <c r="S302" i="10"/>
  <c r="U302" i="10" s="1"/>
  <c r="S304" i="10"/>
  <c r="U304" i="10" s="1"/>
  <c r="S306" i="10"/>
  <c r="U306" i="10" s="1"/>
  <c r="S308" i="10"/>
  <c r="U308" i="10" s="1"/>
  <c r="S310" i="10"/>
  <c r="U310" i="10" s="1"/>
  <c r="S312" i="10"/>
  <c r="U312" i="10" s="1"/>
  <c r="S314" i="10"/>
  <c r="U314" i="10" s="1"/>
  <c r="S316" i="10"/>
  <c r="U316" i="10" s="1"/>
  <c r="T317" i="10"/>
  <c r="U317" i="10" s="1"/>
  <c r="U326" i="10"/>
  <c r="U330" i="10"/>
  <c r="U334" i="10"/>
  <c r="U322" i="10"/>
  <c r="AJ1" i="13"/>
  <c r="AI1" i="13"/>
  <c r="AH1" i="13"/>
  <c r="AC234" i="10" l="1"/>
  <c r="Y139" i="10"/>
  <c r="AC365" i="10"/>
  <c r="Y365" i="10"/>
  <c r="AC93" i="10"/>
  <c r="AC103" i="10"/>
  <c r="X103" i="10"/>
  <c r="Y103" i="10" s="1"/>
  <c r="U184" i="10"/>
  <c r="U259" i="10"/>
  <c r="U231" i="10"/>
  <c r="U276" i="10"/>
  <c r="Y276" i="10" s="1"/>
  <c r="U157" i="10"/>
  <c r="AC157" i="10" s="1"/>
  <c r="Y173" i="10"/>
  <c r="Y135" i="10"/>
  <c r="Y361" i="10"/>
  <c r="X231" i="10"/>
  <c r="Y401" i="10"/>
  <c r="AC276" i="10"/>
  <c r="Y157" i="10"/>
  <c r="AC104" i="10"/>
  <c r="X105" i="10"/>
  <c r="Y93" i="10"/>
  <c r="U92" i="10"/>
  <c r="U336" i="10"/>
  <c r="U303" i="10"/>
  <c r="U307" i="10"/>
  <c r="AC307" i="10" s="1"/>
  <c r="U129" i="10"/>
  <c r="U246" i="10"/>
  <c r="U328" i="10"/>
  <c r="AC318" i="10"/>
  <c r="U208" i="10"/>
  <c r="U192" i="10"/>
  <c r="U176" i="10"/>
  <c r="AC403" i="10"/>
  <c r="Y403" i="10"/>
  <c r="X336" i="10"/>
  <c r="X332" i="10"/>
  <c r="X328" i="10"/>
  <c r="Y328" i="10" s="1"/>
  <c r="X307" i="10"/>
  <c r="X303" i="10"/>
  <c r="Y303" i="10" s="1"/>
  <c r="Y318" i="10"/>
  <c r="Y286" i="10"/>
  <c r="AC246" i="10"/>
  <c r="X208" i="10"/>
  <c r="X192" i="10"/>
  <c r="X176" i="10"/>
  <c r="Y176" i="10" s="1"/>
  <c r="X230" i="10"/>
  <c r="AC233" i="10"/>
  <c r="AC149" i="10"/>
  <c r="AC125" i="10"/>
  <c r="X170" i="10"/>
  <c r="Y170" i="10" s="1"/>
  <c r="AC173" i="10"/>
  <c r="X92" i="10"/>
  <c r="Y92" i="10" s="1"/>
  <c r="U324" i="10"/>
  <c r="AC324" i="10" s="1"/>
  <c r="U281" i="10"/>
  <c r="AC281" i="10" s="1"/>
  <c r="AC407" i="10"/>
  <c r="Y407" i="10"/>
  <c r="AC139" i="10"/>
  <c r="Y378" i="10"/>
  <c r="AC378" i="10"/>
  <c r="AC286" i="10"/>
  <c r="AC329" i="10"/>
  <c r="AC321" i="10"/>
  <c r="X270" i="10"/>
  <c r="AC239" i="10"/>
  <c r="AC215" i="10"/>
  <c r="Y149" i="10"/>
  <c r="X145" i="10"/>
  <c r="Y145" i="10" s="1"/>
  <c r="X125" i="10"/>
  <c r="Y125" i="10" s="1"/>
  <c r="X121" i="10"/>
  <c r="AC100" i="10"/>
  <c r="U283" i="10"/>
  <c r="U235" i="10"/>
  <c r="U227" i="10"/>
  <c r="AC227" i="10" s="1"/>
  <c r="U200" i="10"/>
  <c r="AC200" i="10" s="1"/>
  <c r="AC406" i="10"/>
  <c r="Y406" i="10"/>
  <c r="Y370" i="10"/>
  <c r="AC370" i="10"/>
  <c r="AC119" i="10"/>
  <c r="Y97" i="10"/>
  <c r="Y262" i="10"/>
  <c r="AC123" i="10"/>
  <c r="Y327" i="10"/>
  <c r="AC105" i="10"/>
  <c r="Y137" i="10"/>
  <c r="Y119" i="10"/>
  <c r="AC337" i="10"/>
  <c r="X254" i="10"/>
  <c r="Y246" i="10"/>
  <c r="AC222" i="10"/>
  <c r="AC214" i="10"/>
  <c r="X153" i="10"/>
  <c r="Y153" i="10" s="1"/>
  <c r="X141" i="10"/>
  <c r="Y141" i="10" s="1"/>
  <c r="Y133" i="10"/>
  <c r="X129" i="10"/>
  <c r="Y129" i="10" s="1"/>
  <c r="Y117" i="10"/>
  <c r="X113" i="10"/>
  <c r="Y113" i="10" s="1"/>
  <c r="AC92" i="10"/>
  <c r="Y220" i="10"/>
  <c r="Y329" i="10"/>
  <c r="Y224" i="10"/>
  <c r="U159" i="10"/>
  <c r="AC159" i="10" s="1"/>
  <c r="Y337" i="10"/>
  <c r="X283" i="10"/>
  <c r="Y283" i="10" s="1"/>
  <c r="X222" i="10"/>
  <c r="Y222" i="10" s="1"/>
  <c r="X214" i="10"/>
  <c r="Y214" i="10" s="1"/>
  <c r="X182" i="10"/>
  <c r="X235" i="10"/>
  <c r="Y235" i="10" s="1"/>
  <c r="Y106" i="10"/>
  <c r="U151" i="10"/>
  <c r="AC327" i="10"/>
  <c r="Y331" i="10"/>
  <c r="AC223" i="10"/>
  <c r="AC98" i="10"/>
  <c r="Y234" i="10"/>
  <c r="U230" i="10"/>
  <c r="AC218" i="10"/>
  <c r="Y218" i="10"/>
  <c r="AC147" i="10"/>
  <c r="Y121" i="10"/>
  <c r="X338" i="10"/>
  <c r="Y338" i="10" s="1"/>
  <c r="X267" i="10"/>
  <c r="X227" i="10"/>
  <c r="X169" i="10"/>
  <c r="U271" i="10"/>
  <c r="AC271" i="10" s="1"/>
  <c r="Y223" i="10"/>
  <c r="AC106" i="10"/>
  <c r="Y105" i="10"/>
  <c r="AC311" i="10"/>
  <c r="X268" i="10"/>
  <c r="X260" i="10"/>
  <c r="X252" i="10"/>
  <c r="Y244" i="10"/>
  <c r="AC221" i="10"/>
  <c r="X147" i="10"/>
  <c r="Y147" i="10" s="1"/>
  <c r="X123" i="10"/>
  <c r="Y123" i="10" s="1"/>
  <c r="X168" i="10"/>
  <c r="AC97" i="10"/>
  <c r="U265" i="10"/>
  <c r="AC265" i="10" s="1"/>
  <c r="U257" i="10"/>
  <c r="AC257" i="10" s="1"/>
  <c r="Y271" i="10"/>
  <c r="AC219" i="10"/>
  <c r="U179" i="10"/>
  <c r="X263" i="10"/>
  <c r="X255" i="10"/>
  <c r="AC244" i="10"/>
  <c r="X198" i="10"/>
  <c r="Y198" i="10" s="1"/>
  <c r="X219" i="10"/>
  <c r="Y219" i="10" s="1"/>
  <c r="U263" i="10"/>
  <c r="U267" i="10"/>
  <c r="Y267" i="10" s="1"/>
  <c r="U261" i="10"/>
  <c r="AC261" i="10" s="1"/>
  <c r="U217" i="10"/>
  <c r="AC217" i="10" s="1"/>
  <c r="Y311" i="10"/>
  <c r="X269" i="10"/>
  <c r="X265" i="10"/>
  <c r="Y265" i="10" s="1"/>
  <c r="X261" i="10"/>
  <c r="X257" i="10"/>
  <c r="X253" i="10"/>
  <c r="AC262" i="10"/>
  <c r="X200" i="10"/>
  <c r="X184" i="10"/>
  <c r="Y184" i="10" s="1"/>
  <c r="Y221" i="10"/>
  <c r="X217" i="10"/>
  <c r="AC145" i="10"/>
  <c r="AC141" i="10"/>
  <c r="AC137" i="10"/>
  <c r="AC133" i="10"/>
  <c r="AC129" i="10"/>
  <c r="AC117" i="10"/>
  <c r="Y100" i="10"/>
  <c r="Y315" i="10"/>
  <c r="AC303" i="10"/>
  <c r="U268" i="10"/>
  <c r="U260" i="10"/>
  <c r="AC260" i="10" s="1"/>
  <c r="U252" i="10"/>
  <c r="U169" i="10"/>
  <c r="AC169" i="10" s="1"/>
  <c r="AC259" i="10"/>
  <c r="AC231" i="10"/>
  <c r="Y127" i="10"/>
  <c r="AC108" i="10"/>
  <c r="U299" i="10"/>
  <c r="AC299" i="10" s="1"/>
  <c r="U168" i="10"/>
  <c r="AC168" i="10" s="1"/>
  <c r="Y101" i="10"/>
  <c r="Y131" i="10"/>
  <c r="AC131" i="10"/>
  <c r="AC95" i="10"/>
  <c r="Y95" i="10"/>
  <c r="AC115" i="10"/>
  <c r="Y115" i="10"/>
  <c r="AC333" i="10"/>
  <c r="U280" i="10"/>
  <c r="AC280" i="10" s="1"/>
  <c r="Y259" i="10"/>
  <c r="U177" i="10"/>
  <c r="U237" i="10"/>
  <c r="AC237" i="10" s="1"/>
  <c r="X333" i="10"/>
  <c r="Y333" i="10" s="1"/>
  <c r="X251" i="10"/>
  <c r="U254" i="10"/>
  <c r="Y254" i="10" s="1"/>
  <c r="U251" i="10"/>
  <c r="U167" i="10"/>
  <c r="AC167" i="10" s="1"/>
  <c r="AC315" i="10"/>
  <c r="X264" i="10"/>
  <c r="X256" i="10"/>
  <c r="AC220" i="10"/>
  <c r="AC224" i="10"/>
  <c r="X247" i="10"/>
  <c r="Y247" i="10" s="1"/>
  <c r="Y239" i="10"/>
  <c r="X164" i="10"/>
  <c r="X156" i="10"/>
  <c r="X179" i="10"/>
  <c r="Y179" i="10" s="1"/>
  <c r="X154" i="10"/>
  <c r="X150" i="10"/>
  <c r="Y150" i="10" s="1"/>
  <c r="X146" i="10"/>
  <c r="Y146" i="10" s="1"/>
  <c r="X142" i="10"/>
  <c r="Y142" i="10" s="1"/>
  <c r="X138" i="10"/>
  <c r="X134" i="10"/>
  <c r="X130" i="10"/>
  <c r="Y130" i="10" s="1"/>
  <c r="X126" i="10"/>
  <c r="Y126" i="10" s="1"/>
  <c r="X122" i="10"/>
  <c r="Y122" i="10" s="1"/>
  <c r="X114" i="10"/>
  <c r="U255" i="10"/>
  <c r="U269" i="10"/>
  <c r="AC269" i="10" s="1"/>
  <c r="U253" i="10"/>
  <c r="AC253" i="10" s="1"/>
  <c r="U240" i="10"/>
  <c r="X299" i="10"/>
  <c r="X312" i="10"/>
  <c r="X304" i="10"/>
  <c r="X293" i="10"/>
  <c r="X285" i="10"/>
  <c r="X284" i="10"/>
  <c r="Y253" i="10"/>
  <c r="X240" i="10"/>
  <c r="X209" i="10"/>
  <c r="Y209" i="10" s="1"/>
  <c r="X201" i="10"/>
  <c r="Y201" i="10" s="1"/>
  <c r="X193" i="10"/>
  <c r="Y193" i="10" s="1"/>
  <c r="X185" i="10"/>
  <c r="Y185" i="10" s="1"/>
  <c r="X245" i="10"/>
  <c r="Y245" i="10" s="1"/>
  <c r="AC153" i="10"/>
  <c r="AC121" i="10"/>
  <c r="AC113" i="10"/>
  <c r="X177" i="10"/>
  <c r="AC101" i="10"/>
  <c r="Y108" i="10"/>
  <c r="X158" i="10"/>
  <c r="Y158" i="10" s="1"/>
  <c r="U266" i="10"/>
  <c r="Y266" i="10" s="1"/>
  <c r="U258" i="10"/>
  <c r="Y258" i="10" s="1"/>
  <c r="U250" i="10"/>
  <c r="Y250" i="10" s="1"/>
  <c r="U270" i="10"/>
  <c r="Y270" i="10" s="1"/>
  <c r="U284" i="10"/>
  <c r="Y284" i="10" s="1"/>
  <c r="U264" i="10"/>
  <c r="U256" i="10"/>
  <c r="AC308" i="10"/>
  <c r="AC279" i="10"/>
  <c r="AC146" i="10"/>
  <c r="AC114" i="10"/>
  <c r="Y114" i="10"/>
  <c r="AC245" i="10"/>
  <c r="AC144" i="10"/>
  <c r="AC128" i="10"/>
  <c r="AC112" i="10"/>
  <c r="AC304" i="10"/>
  <c r="Y304" i="10"/>
  <c r="AC243" i="10"/>
  <c r="AC150" i="10"/>
  <c r="AC134" i="10"/>
  <c r="Y134" i="10"/>
  <c r="AC126" i="10"/>
  <c r="AC118" i="10"/>
  <c r="AC316" i="10"/>
  <c r="AC300" i="10"/>
  <c r="AC295" i="10"/>
  <c r="AC247" i="10"/>
  <c r="AC154" i="10"/>
  <c r="Y154" i="10"/>
  <c r="AC138" i="10"/>
  <c r="Y138" i="10"/>
  <c r="AC298" i="10"/>
  <c r="AC152" i="10"/>
  <c r="AC136" i="10"/>
  <c r="AC120" i="10"/>
  <c r="AC249" i="10"/>
  <c r="AC241" i="10"/>
  <c r="AC132" i="10"/>
  <c r="AC124" i="10"/>
  <c r="AC107" i="10"/>
  <c r="AC328" i="10"/>
  <c r="AC309" i="10"/>
  <c r="Y309" i="10"/>
  <c r="AC207" i="10"/>
  <c r="AC191" i="10"/>
  <c r="AC206" i="10"/>
  <c r="Y206" i="10"/>
  <c r="AC190" i="10"/>
  <c r="Y190" i="10"/>
  <c r="AC179" i="10"/>
  <c r="AC158" i="10"/>
  <c r="AC148" i="10"/>
  <c r="AC142" i="10"/>
  <c r="AC130" i="10"/>
  <c r="AC340" i="10"/>
  <c r="Y340" i="10"/>
  <c r="AC326" i="10"/>
  <c r="Y326" i="10"/>
  <c r="AC306" i="10"/>
  <c r="Y290" i="10"/>
  <c r="AC290" i="10"/>
  <c r="AC301" i="10"/>
  <c r="Y301" i="10"/>
  <c r="U277" i="10"/>
  <c r="AC312" i="10"/>
  <c r="Y312" i="10"/>
  <c r="AC287" i="10"/>
  <c r="AC205" i="10"/>
  <c r="AC189" i="10"/>
  <c r="Y155" i="10"/>
  <c r="AC155" i="10"/>
  <c r="Y161" i="10"/>
  <c r="AC161" i="10"/>
  <c r="AC204" i="10"/>
  <c r="Y204" i="10"/>
  <c r="AC188" i="10"/>
  <c r="Y188" i="10"/>
  <c r="AC160" i="10"/>
  <c r="Y160" i="10"/>
  <c r="AC140" i="10"/>
  <c r="X277" i="10"/>
  <c r="X273" i="10"/>
  <c r="X213" i="10"/>
  <c r="Y213" i="10" s="1"/>
  <c r="X205" i="10"/>
  <c r="Y205" i="10" s="1"/>
  <c r="AC322" i="10"/>
  <c r="Y322" i="10"/>
  <c r="AC332" i="10"/>
  <c r="Y332" i="10"/>
  <c r="Y324" i="10"/>
  <c r="AC305" i="10"/>
  <c r="Y305" i="10"/>
  <c r="U296" i="10"/>
  <c r="AC291" i="10"/>
  <c r="Y291" i="10"/>
  <c r="AC274" i="10"/>
  <c r="Y274" i="10"/>
  <c r="Y228" i="10"/>
  <c r="AC228" i="10"/>
  <c r="U272" i="10"/>
  <c r="AC211" i="10"/>
  <c r="AC203" i="10"/>
  <c r="AC195" i="10"/>
  <c r="AC187" i="10"/>
  <c r="AC235" i="10"/>
  <c r="Y171" i="10"/>
  <c r="AC171" i="10"/>
  <c r="AC240" i="10"/>
  <c r="AC225" i="10"/>
  <c r="Y225" i="10"/>
  <c r="AC210" i="10"/>
  <c r="Y210" i="10"/>
  <c r="AC202" i="10"/>
  <c r="Y202" i="10"/>
  <c r="AC194" i="10"/>
  <c r="Y194" i="10"/>
  <c r="AC186" i="10"/>
  <c r="Y186" i="10"/>
  <c r="AC178" i="10"/>
  <c r="Y178" i="10"/>
  <c r="AC170" i="10"/>
  <c r="U164" i="10"/>
  <c r="Y102" i="10"/>
  <c r="AC102" i="10"/>
  <c r="X320" i="10"/>
  <c r="X272" i="10"/>
  <c r="X243" i="10"/>
  <c r="Y243" i="10" s="1"/>
  <c r="X167" i="10"/>
  <c r="X159" i="10"/>
  <c r="Y159" i="10" s="1"/>
  <c r="X175" i="10"/>
  <c r="X152" i="10"/>
  <c r="Y152" i="10" s="1"/>
  <c r="X148" i="10"/>
  <c r="Y148" i="10" s="1"/>
  <c r="X144" i="10"/>
  <c r="Y144" i="10" s="1"/>
  <c r="X140" i="10"/>
  <c r="Y140" i="10" s="1"/>
  <c r="X136" i="10"/>
  <c r="Y136" i="10" s="1"/>
  <c r="X132" i="10"/>
  <c r="Y132" i="10" s="1"/>
  <c r="X128" i="10"/>
  <c r="Y128" i="10" s="1"/>
  <c r="X124" i="10"/>
  <c r="Y124" i="10" s="1"/>
  <c r="X118" i="10"/>
  <c r="Y118" i="10" s="1"/>
  <c r="X107" i="10"/>
  <c r="Y107" i="10" s="1"/>
  <c r="X99" i="10"/>
  <c r="Y99" i="10" s="1"/>
  <c r="X91" i="10"/>
  <c r="Y91" i="10" s="1"/>
  <c r="AC336" i="10"/>
  <c r="Y336" i="10"/>
  <c r="AC297" i="10"/>
  <c r="Y297" i="10"/>
  <c r="AC199" i="10"/>
  <c r="AC183" i="10"/>
  <c r="Y163" i="10"/>
  <c r="AC163" i="10"/>
  <c r="AC198" i="10"/>
  <c r="AC182" i="10"/>
  <c r="Y182" i="10"/>
  <c r="AC162" i="10"/>
  <c r="Y162" i="10"/>
  <c r="AC116" i="10"/>
  <c r="AC99" i="10"/>
  <c r="AC91" i="10"/>
  <c r="X323" i="10"/>
  <c r="X275" i="10"/>
  <c r="X295" i="10"/>
  <c r="Y295" i="10" s="1"/>
  <c r="X172" i="10"/>
  <c r="AC334" i="10"/>
  <c r="Y334" i="10"/>
  <c r="AC314" i="10"/>
  <c r="AC313" i="10"/>
  <c r="Y313" i="10"/>
  <c r="U275" i="10"/>
  <c r="U273" i="10"/>
  <c r="Y236" i="10"/>
  <c r="AC236" i="10"/>
  <c r="AC213" i="10"/>
  <c r="AC197" i="10"/>
  <c r="AC181" i="10"/>
  <c r="AC174" i="10"/>
  <c r="Y174" i="10"/>
  <c r="AC212" i="10"/>
  <c r="Y212" i="10"/>
  <c r="AC196" i="10"/>
  <c r="Y196" i="10"/>
  <c r="AC180" i="10"/>
  <c r="Y180" i="10"/>
  <c r="U172" i="10"/>
  <c r="Y94" i="10"/>
  <c r="AC94" i="10"/>
  <c r="AC122" i="10"/>
  <c r="X316" i="10"/>
  <c r="Y316" i="10" s="1"/>
  <c r="X308" i="10"/>
  <c r="Y308" i="10" s="1"/>
  <c r="X300" i="10"/>
  <c r="Y300" i="10" s="1"/>
  <c r="X232" i="10"/>
  <c r="X279" i="10"/>
  <c r="Y279" i="10" s="1"/>
  <c r="X197" i="10"/>
  <c r="Y197" i="10" s="1"/>
  <c r="X189" i="10"/>
  <c r="Y189" i="10" s="1"/>
  <c r="X181" i="10"/>
  <c r="Y181" i="10" s="1"/>
  <c r="X112" i="10"/>
  <c r="Y112" i="10" s="1"/>
  <c r="X120" i="10"/>
  <c r="Y120" i="10" s="1"/>
  <c r="AC338" i="10"/>
  <c r="AC330" i="10"/>
  <c r="Y330" i="10"/>
  <c r="Y317" i="10"/>
  <c r="AC317" i="10"/>
  <c r="AC310" i="10"/>
  <c r="AC302" i="10"/>
  <c r="U320" i="10"/>
  <c r="Y282" i="10"/>
  <c r="AC282" i="10"/>
  <c r="AC283" i="10"/>
  <c r="U323" i="10"/>
  <c r="U288" i="10"/>
  <c r="U285" i="10"/>
  <c r="U293" i="10"/>
  <c r="AC209" i="10"/>
  <c r="AC201" i="10"/>
  <c r="AC193" i="10"/>
  <c r="AC185" i="10"/>
  <c r="U229" i="10"/>
  <c r="AC166" i="10"/>
  <c r="Y166" i="10"/>
  <c r="U232" i="10"/>
  <c r="AC208" i="10"/>
  <c r="Y208" i="10"/>
  <c r="AC192" i="10"/>
  <c r="AC184" i="10"/>
  <c r="AC176" i="10"/>
  <c r="AC111" i="10"/>
  <c r="Y111" i="10"/>
  <c r="U175" i="10"/>
  <c r="AC110" i="10"/>
  <c r="Y110" i="10"/>
  <c r="U156" i="10"/>
  <c r="X314" i="10"/>
  <c r="Y314" i="10" s="1"/>
  <c r="X310" i="10"/>
  <c r="Y310" i="10" s="1"/>
  <c r="X306" i="10"/>
  <c r="Y306" i="10" s="1"/>
  <c r="X302" i="10"/>
  <c r="Y302" i="10" s="1"/>
  <c r="X298" i="10"/>
  <c r="Y298" i="10" s="1"/>
  <c r="X288" i="10"/>
  <c r="X280" i="10"/>
  <c r="Y280" i="10" s="1"/>
  <c r="X296" i="10"/>
  <c r="X287" i="10"/>
  <c r="Y287" i="10" s="1"/>
  <c r="X237" i="10"/>
  <c r="X229" i="10"/>
  <c r="X211" i="10"/>
  <c r="Y211" i="10" s="1"/>
  <c r="X207" i="10"/>
  <c r="Y207" i="10" s="1"/>
  <c r="X203" i="10"/>
  <c r="Y203" i="10" s="1"/>
  <c r="X199" i="10"/>
  <c r="Y199" i="10" s="1"/>
  <c r="X195" i="10"/>
  <c r="Y195" i="10" s="1"/>
  <c r="X191" i="10"/>
  <c r="Y191" i="10" s="1"/>
  <c r="X187" i="10"/>
  <c r="Y187" i="10" s="1"/>
  <c r="X183" i="10"/>
  <c r="Y183" i="10" s="1"/>
  <c r="X249" i="10"/>
  <c r="Y249" i="10" s="1"/>
  <c r="X241" i="10"/>
  <c r="Y241" i="10" s="1"/>
  <c r="X116" i="10"/>
  <c r="Y116" i="10" s="1"/>
  <c r="AK1" i="10"/>
  <c r="AJ1" i="10"/>
  <c r="AI1" i="10"/>
  <c r="AJ2" i="10"/>
  <c r="AI2" i="10"/>
  <c r="Y227" i="10" l="1"/>
  <c r="Y217" i="10"/>
  <c r="Y231" i="10"/>
  <c r="Y192" i="10"/>
  <c r="Y307" i="10"/>
  <c r="Y281" i="10"/>
  <c r="Y167" i="10"/>
  <c r="Y200" i="10"/>
  <c r="Y168" i="10"/>
  <c r="Y230" i="10"/>
  <c r="AC230" i="10"/>
  <c r="Y177" i="10"/>
  <c r="AC177" i="10"/>
  <c r="Y299" i="10"/>
  <c r="AC254" i="10"/>
  <c r="Y240" i="10"/>
  <c r="AC151" i="10"/>
  <c r="Y151" i="10"/>
  <c r="Y252" i="10"/>
  <c r="AC252" i="10"/>
  <c r="Y237" i="10"/>
  <c r="Y269" i="10"/>
  <c r="Y260" i="10"/>
  <c r="Y268" i="10"/>
  <c r="AC268" i="10"/>
  <c r="Y257" i="10"/>
  <c r="AC267" i="10"/>
  <c r="Y169" i="10"/>
  <c r="Y261" i="10"/>
  <c r="AC263" i="10"/>
  <c r="Y263" i="10"/>
  <c r="AC264" i="10"/>
  <c r="Y264" i="10"/>
  <c r="AC250" i="10"/>
  <c r="AC270" i="10"/>
  <c r="Y255" i="10"/>
  <c r="AC255" i="10"/>
  <c r="AC258" i="10"/>
  <c r="Y256" i="10"/>
  <c r="AC256" i="10"/>
  <c r="AC266" i="10"/>
  <c r="AC284" i="10"/>
  <c r="AC251" i="10"/>
  <c r="Y251" i="10"/>
  <c r="AC156" i="10"/>
  <c r="Y156" i="10"/>
  <c r="AC273" i="10"/>
  <c r="Y273" i="10"/>
  <c r="AC164" i="10"/>
  <c r="Y164" i="10"/>
  <c r="AC275" i="10"/>
  <c r="Y275" i="10"/>
  <c r="AC272" i="10"/>
  <c r="Y272" i="10"/>
  <c r="AC277" i="10"/>
  <c r="Y277" i="10"/>
  <c r="Y232" i="10"/>
  <c r="AC232" i="10"/>
  <c r="Y288" i="10"/>
  <c r="AC288" i="10"/>
  <c r="AC293" i="10"/>
  <c r="Y293" i="10"/>
  <c r="AC320" i="10"/>
  <c r="Y320" i="10"/>
  <c r="AC296" i="10"/>
  <c r="Y296" i="10"/>
  <c r="AC229" i="10"/>
  <c r="Y229" i="10"/>
  <c r="AC285" i="10"/>
  <c r="Y285" i="10"/>
  <c r="Y175" i="10"/>
  <c r="AC175" i="10"/>
  <c r="Y323" i="10"/>
  <c r="AC323" i="10"/>
  <c r="AC172" i="10"/>
  <c r="Y172" i="10"/>
  <c r="AH2" i="10"/>
  <c r="AI8" i="10" s="1"/>
  <c r="R31" i="13"/>
  <c r="AK1" i="13"/>
  <c r="AJ2" i="13"/>
  <c r="AI2" i="13"/>
  <c r="AJ8" i="10" l="1"/>
  <c r="AH9" i="10"/>
  <c r="AH2" i="13"/>
  <c r="AH8" i="13" s="1"/>
  <c r="R70" i="13"/>
  <c r="T70" i="13" s="1"/>
  <c r="Q70" i="13"/>
  <c r="R69" i="13"/>
  <c r="T69" i="13" s="1"/>
  <c r="Q69" i="13"/>
  <c r="R68" i="13"/>
  <c r="T68" i="13" s="1"/>
  <c r="Q68" i="13"/>
  <c r="R67" i="13"/>
  <c r="T67" i="13" s="1"/>
  <c r="Q67" i="13"/>
  <c r="R66" i="13"/>
  <c r="T66" i="13" s="1"/>
  <c r="Q66" i="13"/>
  <c r="R65" i="13"/>
  <c r="T65" i="13" s="1"/>
  <c r="Q65" i="13"/>
  <c r="R64" i="13"/>
  <c r="T64" i="13" s="1"/>
  <c r="Q64" i="13"/>
  <c r="R63" i="13"/>
  <c r="Q63" i="13"/>
  <c r="R62" i="13"/>
  <c r="T62" i="13" s="1"/>
  <c r="Q62" i="13"/>
  <c r="R61" i="13"/>
  <c r="T61" i="13" s="1"/>
  <c r="Q61" i="13"/>
  <c r="R60" i="13"/>
  <c r="T60" i="13" s="1"/>
  <c r="Q60" i="13"/>
  <c r="R59" i="13"/>
  <c r="T59" i="13" s="1"/>
  <c r="Q59" i="13"/>
  <c r="R58" i="13"/>
  <c r="T58" i="13" s="1"/>
  <c r="Q58" i="13"/>
  <c r="R57" i="13"/>
  <c r="T57" i="13" s="1"/>
  <c r="Q57" i="13"/>
  <c r="R56" i="13"/>
  <c r="T56" i="13" s="1"/>
  <c r="Q56" i="13"/>
  <c r="R55" i="13"/>
  <c r="Q55" i="13"/>
  <c r="R54" i="13"/>
  <c r="T54" i="13" s="1"/>
  <c r="Q54" i="13"/>
  <c r="R53" i="13"/>
  <c r="T53" i="13" s="1"/>
  <c r="Q53" i="13"/>
  <c r="R52" i="13"/>
  <c r="S52" i="13" s="1"/>
  <c r="Q52" i="13"/>
  <c r="R51" i="13"/>
  <c r="T51" i="13" s="1"/>
  <c r="Q51" i="13"/>
  <c r="R50" i="13"/>
  <c r="Q50" i="13"/>
  <c r="R49" i="13"/>
  <c r="T49" i="13" s="1"/>
  <c r="Q49" i="13"/>
  <c r="R48" i="13"/>
  <c r="S48" i="13" s="1"/>
  <c r="Q48" i="13"/>
  <c r="R47" i="13"/>
  <c r="S47" i="13" s="1"/>
  <c r="Q47" i="13"/>
  <c r="R46" i="13"/>
  <c r="S46" i="13" s="1"/>
  <c r="Q46" i="13"/>
  <c r="R45" i="13"/>
  <c r="Q45" i="13"/>
  <c r="R44" i="13"/>
  <c r="S44" i="13" s="1"/>
  <c r="Q44" i="13"/>
  <c r="R43" i="13"/>
  <c r="T43" i="13" s="1"/>
  <c r="Q43" i="13"/>
  <c r="R42" i="13"/>
  <c r="S42" i="13" s="1"/>
  <c r="Q42" i="13"/>
  <c r="R41" i="13"/>
  <c r="Q41" i="13"/>
  <c r="R40" i="13"/>
  <c r="S40" i="13" s="1"/>
  <c r="Q40" i="13"/>
  <c r="AJ9" i="10" l="1"/>
  <c r="AI9" i="10"/>
  <c r="AK9" i="10" s="1"/>
  <c r="AK8" i="10"/>
  <c r="AH10" i="10"/>
  <c r="AJ8" i="13"/>
  <c r="AI8" i="13"/>
  <c r="AH9" i="13"/>
  <c r="AJ9" i="13" s="1"/>
  <c r="T47" i="13"/>
  <c r="U47" i="13" s="1"/>
  <c r="S69" i="13"/>
  <c r="U69" i="13" s="1"/>
  <c r="S49" i="13"/>
  <c r="U49" i="13" s="1"/>
  <c r="T52" i="13"/>
  <c r="U52" i="13" s="1"/>
  <c r="S61" i="13"/>
  <c r="U61" i="13" s="1"/>
  <c r="S53" i="13"/>
  <c r="U53" i="13" s="1"/>
  <c r="S59" i="13"/>
  <c r="U59" i="13" s="1"/>
  <c r="S67" i="13"/>
  <c r="U67" i="13" s="1"/>
  <c r="T44" i="13"/>
  <c r="U44" i="13" s="1"/>
  <c r="S57" i="13"/>
  <c r="U57" i="13" s="1"/>
  <c r="S65" i="13"/>
  <c r="U65" i="13" s="1"/>
  <c r="S45" i="13"/>
  <c r="T45" i="13"/>
  <c r="T55" i="13"/>
  <c r="S55" i="13"/>
  <c r="T63" i="13"/>
  <c r="S63" i="13"/>
  <c r="S50" i="13"/>
  <c r="T50" i="13"/>
  <c r="T42" i="13"/>
  <c r="U42" i="13" s="1"/>
  <c r="T41" i="13"/>
  <c r="S41" i="13"/>
  <c r="S43" i="13"/>
  <c r="U43" i="13" s="1"/>
  <c r="T46" i="13"/>
  <c r="U46" i="13" s="1"/>
  <c r="S51" i="13"/>
  <c r="U51" i="13" s="1"/>
  <c r="T40" i="13"/>
  <c r="U40" i="13" s="1"/>
  <c r="T48" i="13"/>
  <c r="U48" i="13" s="1"/>
  <c r="S54" i="13"/>
  <c r="U54" i="13" s="1"/>
  <c r="S56" i="13"/>
  <c r="U56" i="13" s="1"/>
  <c r="S58" i="13"/>
  <c r="U58" i="13" s="1"/>
  <c r="S60" i="13"/>
  <c r="U60" i="13" s="1"/>
  <c r="S62" i="13"/>
  <c r="U62" i="13" s="1"/>
  <c r="S64" i="13"/>
  <c r="U64" i="13" s="1"/>
  <c r="S66" i="13"/>
  <c r="U66" i="13" s="1"/>
  <c r="S68" i="13"/>
  <c r="U68" i="13" s="1"/>
  <c r="S70" i="13"/>
  <c r="U70" i="13" s="1"/>
  <c r="R90" i="10"/>
  <c r="T90" i="10" s="1"/>
  <c r="P90" i="10"/>
  <c r="Q90" i="10" s="1"/>
  <c r="R89" i="10"/>
  <c r="T89" i="10" s="1"/>
  <c r="P89" i="10"/>
  <c r="Q89" i="10" s="1"/>
  <c r="R88" i="10"/>
  <c r="S88" i="10" s="1"/>
  <c r="P88" i="10"/>
  <c r="Q88" i="10" s="1"/>
  <c r="R87" i="10"/>
  <c r="T87" i="10" s="1"/>
  <c r="P87" i="10"/>
  <c r="Q87" i="10" s="1"/>
  <c r="R86" i="10"/>
  <c r="S86" i="10" s="1"/>
  <c r="P86" i="10"/>
  <c r="Q86" i="10" s="1"/>
  <c r="R85" i="10"/>
  <c r="S85" i="10" s="1"/>
  <c r="P85" i="10"/>
  <c r="Q85" i="10" s="1"/>
  <c r="R84" i="10"/>
  <c r="S84" i="10" s="1"/>
  <c r="P84" i="10"/>
  <c r="Q84" i="10" s="1"/>
  <c r="R83" i="10"/>
  <c r="T83" i="10" s="1"/>
  <c r="P83" i="10"/>
  <c r="Q83" i="10" s="1"/>
  <c r="R82" i="10"/>
  <c r="S82" i="10" s="1"/>
  <c r="P82" i="10"/>
  <c r="Q82" i="10" s="1"/>
  <c r="R81" i="10"/>
  <c r="T81" i="10" s="1"/>
  <c r="P81" i="10"/>
  <c r="Q81" i="10" s="1"/>
  <c r="R80" i="10"/>
  <c r="S80" i="10" s="1"/>
  <c r="P80" i="10"/>
  <c r="Q80" i="10" s="1"/>
  <c r="R79" i="10"/>
  <c r="S79" i="10" s="1"/>
  <c r="P79" i="10"/>
  <c r="Q79" i="10" s="1"/>
  <c r="R78" i="10"/>
  <c r="S78" i="10" s="1"/>
  <c r="P78" i="10"/>
  <c r="Q78" i="10" s="1"/>
  <c r="R77" i="10"/>
  <c r="S77" i="10" s="1"/>
  <c r="P77" i="10"/>
  <c r="Q77" i="10" s="1"/>
  <c r="R76" i="10"/>
  <c r="S76" i="10" s="1"/>
  <c r="P76" i="10"/>
  <c r="Q76" i="10" s="1"/>
  <c r="R75" i="10"/>
  <c r="T75" i="10" s="1"/>
  <c r="P75" i="10"/>
  <c r="Q75" i="10" s="1"/>
  <c r="R74" i="10"/>
  <c r="S74" i="10" s="1"/>
  <c r="P74" i="10"/>
  <c r="Q74" i="10" s="1"/>
  <c r="R73" i="10"/>
  <c r="T73" i="10" s="1"/>
  <c r="P73" i="10"/>
  <c r="Q73" i="10" s="1"/>
  <c r="R72" i="10"/>
  <c r="S72" i="10" s="1"/>
  <c r="P72" i="10"/>
  <c r="Q72" i="10" s="1"/>
  <c r="R71" i="10"/>
  <c r="S71" i="10" s="1"/>
  <c r="P71" i="10"/>
  <c r="Q71" i="10" s="1"/>
  <c r="R70" i="10"/>
  <c r="S70" i="10" s="1"/>
  <c r="P70" i="10"/>
  <c r="Q70" i="10" s="1"/>
  <c r="R69" i="10"/>
  <c r="S69" i="10" s="1"/>
  <c r="P69" i="10"/>
  <c r="Q69" i="10" s="1"/>
  <c r="R68" i="10"/>
  <c r="S68" i="10" s="1"/>
  <c r="P68" i="10"/>
  <c r="Q68" i="10" s="1"/>
  <c r="R67" i="10"/>
  <c r="T67" i="10" s="1"/>
  <c r="P67" i="10"/>
  <c r="Q67" i="10" s="1"/>
  <c r="R66" i="10"/>
  <c r="T66" i="10" s="1"/>
  <c r="P66" i="10"/>
  <c r="Q66" i="10" s="1"/>
  <c r="R65" i="10"/>
  <c r="S65" i="10" s="1"/>
  <c r="P65" i="10"/>
  <c r="Q65" i="10" s="1"/>
  <c r="R64" i="10"/>
  <c r="T64" i="10" s="1"/>
  <c r="P64" i="10"/>
  <c r="Q64" i="10" s="1"/>
  <c r="R63" i="10"/>
  <c r="S63" i="10" s="1"/>
  <c r="P63" i="10"/>
  <c r="Q63" i="10" s="1"/>
  <c r="R62" i="10"/>
  <c r="T62" i="10" s="1"/>
  <c r="P62" i="10"/>
  <c r="Q62" i="10" s="1"/>
  <c r="R61" i="10"/>
  <c r="T61" i="10" s="1"/>
  <c r="P61" i="10"/>
  <c r="Q61" i="10" s="1"/>
  <c r="R60" i="10"/>
  <c r="T60" i="10" s="1"/>
  <c r="P60" i="10"/>
  <c r="Q60" i="10" s="1"/>
  <c r="R59" i="10"/>
  <c r="T59" i="10" s="1"/>
  <c r="P59" i="10"/>
  <c r="Q59" i="10" s="1"/>
  <c r="R58" i="10"/>
  <c r="T58" i="10" s="1"/>
  <c r="P58" i="10"/>
  <c r="Q58" i="10" s="1"/>
  <c r="R57" i="10"/>
  <c r="S57" i="10" s="1"/>
  <c r="P57" i="10"/>
  <c r="Q57" i="10" s="1"/>
  <c r="R56" i="10"/>
  <c r="T56" i="10" s="1"/>
  <c r="P56" i="10"/>
  <c r="Q56" i="10" s="1"/>
  <c r="R55" i="10"/>
  <c r="S55" i="10" s="1"/>
  <c r="P55" i="10"/>
  <c r="Q55" i="10" s="1"/>
  <c r="R54" i="10"/>
  <c r="S54" i="10" s="1"/>
  <c r="P54" i="10"/>
  <c r="Q54" i="10" s="1"/>
  <c r="R53" i="10"/>
  <c r="S53" i="10" s="1"/>
  <c r="P53" i="10"/>
  <c r="Q53" i="10" s="1"/>
  <c r="R52" i="10"/>
  <c r="S52" i="10" s="1"/>
  <c r="P52" i="10"/>
  <c r="Q52" i="10" s="1"/>
  <c r="R51" i="10"/>
  <c r="S51" i="10" s="1"/>
  <c r="P51" i="10"/>
  <c r="Q51" i="10" s="1"/>
  <c r="R50" i="10"/>
  <c r="S50" i="10" s="1"/>
  <c r="P50" i="10"/>
  <c r="Q50" i="10" s="1"/>
  <c r="R49" i="10"/>
  <c r="S49" i="10" s="1"/>
  <c r="P49" i="10"/>
  <c r="Q49" i="10" s="1"/>
  <c r="R48" i="10"/>
  <c r="S48" i="10" s="1"/>
  <c r="P48" i="10"/>
  <c r="Q48" i="10" s="1"/>
  <c r="R47" i="10"/>
  <c r="T47" i="10" s="1"/>
  <c r="P47" i="10"/>
  <c r="Q47" i="10" s="1"/>
  <c r="R46" i="10"/>
  <c r="S46" i="10" s="1"/>
  <c r="P46" i="10"/>
  <c r="Q46" i="10" s="1"/>
  <c r="R45" i="10"/>
  <c r="T45" i="10" s="1"/>
  <c r="P45" i="10"/>
  <c r="Q45" i="10" s="1"/>
  <c r="R44" i="10"/>
  <c r="S44" i="10" s="1"/>
  <c r="P44" i="10"/>
  <c r="Q44" i="10" s="1"/>
  <c r="R43" i="10"/>
  <c r="T43" i="10" s="1"/>
  <c r="P43" i="10"/>
  <c r="Q43" i="10" s="1"/>
  <c r="R42" i="10"/>
  <c r="S42" i="10" s="1"/>
  <c r="P42" i="10"/>
  <c r="Q42" i="10" s="1"/>
  <c r="R41" i="10"/>
  <c r="T41" i="10" s="1"/>
  <c r="P41" i="10"/>
  <c r="Q41" i="10" s="1"/>
  <c r="R40" i="10"/>
  <c r="S40" i="10" s="1"/>
  <c r="P40" i="10"/>
  <c r="Q40" i="10" s="1"/>
  <c r="R39" i="10"/>
  <c r="T39" i="10" s="1"/>
  <c r="P39" i="10"/>
  <c r="Q39" i="10" s="1"/>
  <c r="R38" i="10"/>
  <c r="S38" i="10" s="1"/>
  <c r="P38" i="10"/>
  <c r="Q38" i="10" s="1"/>
  <c r="R37" i="10"/>
  <c r="T37" i="10" s="1"/>
  <c r="P37" i="10"/>
  <c r="Q37" i="10" s="1"/>
  <c r="R36" i="10"/>
  <c r="S36" i="10" s="1"/>
  <c r="P36" i="10"/>
  <c r="Q36" i="10" s="1"/>
  <c r="R35" i="10"/>
  <c r="T35" i="10" s="1"/>
  <c r="P35" i="10"/>
  <c r="Q35" i="10" s="1"/>
  <c r="R34" i="10"/>
  <c r="S34" i="10" s="1"/>
  <c r="P34" i="10"/>
  <c r="Q34" i="10" s="1"/>
  <c r="R33" i="10"/>
  <c r="T33" i="10" s="1"/>
  <c r="P33" i="10"/>
  <c r="Q33" i="10" s="1"/>
  <c r="Z55" i="13"/>
  <c r="Z52" i="13"/>
  <c r="Z40" i="13"/>
  <c r="V44" i="13"/>
  <c r="V52" i="13"/>
  <c r="Z47" i="13"/>
  <c r="Z64" i="13"/>
  <c r="Z50" i="13"/>
  <c r="Z69" i="13"/>
  <c r="Z61" i="13"/>
  <c r="Z49" i="13"/>
  <c r="V58" i="13"/>
  <c r="V62" i="13"/>
  <c r="Z67" i="13"/>
  <c r="Z54" i="13"/>
  <c r="Z70" i="13"/>
  <c r="V65" i="13"/>
  <c r="V64" i="13"/>
  <c r="Z65" i="13"/>
  <c r="V54" i="13"/>
  <c r="Z53" i="13"/>
  <c r="Z68" i="13"/>
  <c r="V63" i="13"/>
  <c r="Z63" i="13"/>
  <c r="V51" i="13"/>
  <c r="V61" i="13"/>
  <c r="Z43" i="13"/>
  <c r="V69" i="13"/>
  <c r="V47" i="13"/>
  <c r="Z57" i="13"/>
  <c r="Z56" i="13"/>
  <c r="V59" i="13"/>
  <c r="V57" i="13"/>
  <c r="Z59" i="13"/>
  <c r="V56" i="13"/>
  <c r="V41" i="13"/>
  <c r="Z46" i="13"/>
  <c r="Z45" i="13"/>
  <c r="Z60" i="13"/>
  <c r="V45" i="13"/>
  <c r="V60" i="13"/>
  <c r="V50" i="13"/>
  <c r="V43" i="13"/>
  <c r="V49" i="13"/>
  <c r="Z42" i="13"/>
  <c r="V68" i="13"/>
  <c r="Z62" i="13"/>
  <c r="V67" i="13"/>
  <c r="V42" i="13"/>
  <c r="V46" i="13"/>
  <c r="V66" i="13"/>
  <c r="Z51" i="13"/>
  <c r="V55" i="13"/>
  <c r="V53" i="13"/>
  <c r="Z41" i="13"/>
  <c r="Z58" i="13"/>
  <c r="Z66" i="13"/>
  <c r="V48" i="13"/>
  <c r="Z48" i="13"/>
  <c r="Z44" i="13"/>
  <c r="V40" i="13"/>
  <c r="V70" i="13"/>
  <c r="Z82" i="10"/>
  <c r="V86" i="10"/>
  <c r="V90" i="10"/>
  <c r="Z76" i="10"/>
  <c r="Z52" i="10"/>
  <c r="V36" i="10"/>
  <c r="V74" i="10"/>
  <c r="V46" i="10"/>
  <c r="Z61" i="10"/>
  <c r="Z71" i="10"/>
  <c r="Z51" i="10"/>
  <c r="V51" i="10"/>
  <c r="Z77" i="10"/>
  <c r="V75" i="10"/>
  <c r="Z78" i="10"/>
  <c r="Z84" i="10"/>
  <c r="V38" i="10"/>
  <c r="V42" i="10"/>
  <c r="V82" i="10"/>
  <c r="Z60" i="10"/>
  <c r="Z50" i="10"/>
  <c r="V52" i="10"/>
  <c r="V63" i="10"/>
  <c r="Z72" i="10"/>
  <c r="Z66" i="10"/>
  <c r="Z87" i="10"/>
  <c r="Z85" i="10"/>
  <c r="V78" i="10"/>
  <c r="Z68" i="10"/>
  <c r="Z53" i="10"/>
  <c r="V68" i="10"/>
  <c r="V62" i="10"/>
  <c r="V72" i="10"/>
  <c r="V59" i="10"/>
  <c r="V48" i="10"/>
  <c r="Z58" i="10"/>
  <c r="V66" i="10"/>
  <c r="V43" i="10"/>
  <c r="V80" i="10"/>
  <c r="Z80" i="10"/>
  <c r="Z47" i="10"/>
  <c r="V77" i="10"/>
  <c r="V64" i="10"/>
  <c r="Z55" i="10"/>
  <c r="Z37" i="10"/>
  <c r="V33" i="10"/>
  <c r="V73" i="10"/>
  <c r="V57" i="10"/>
  <c r="Z54" i="10"/>
  <c r="V56" i="10"/>
  <c r="V45" i="10"/>
  <c r="Z88" i="10"/>
  <c r="Z56" i="10"/>
  <c r="V83" i="10"/>
  <c r="Z41" i="10"/>
  <c r="V34" i="10"/>
  <c r="Z90" i="10"/>
  <c r="V41" i="10"/>
  <c r="Z45" i="10"/>
  <c r="Z48" i="10"/>
  <c r="V71" i="10"/>
  <c r="Z36" i="10"/>
  <c r="Z79" i="10"/>
  <c r="Z34" i="10"/>
  <c r="V60" i="10"/>
  <c r="V88" i="10"/>
  <c r="Z49" i="10"/>
  <c r="V89" i="10"/>
  <c r="Z43" i="10"/>
  <c r="V47" i="10"/>
  <c r="V79" i="10"/>
  <c r="Z39" i="10"/>
  <c r="Z83" i="10"/>
  <c r="V54" i="10"/>
  <c r="Z46" i="10"/>
  <c r="V61" i="10"/>
  <c r="Z57" i="10"/>
  <c r="V35" i="10"/>
  <c r="V69" i="10"/>
  <c r="Z63" i="10"/>
  <c r="V85" i="10"/>
  <c r="V84" i="10"/>
  <c r="Z89" i="10"/>
  <c r="V50" i="10"/>
  <c r="Z62" i="10"/>
  <c r="V37" i="10"/>
  <c r="V76" i="10"/>
  <c r="V67" i="10"/>
  <c r="Z64" i="10"/>
  <c r="Z69" i="10"/>
  <c r="Z74" i="10"/>
  <c r="Z33" i="10"/>
  <c r="Z40" i="10"/>
  <c r="V40" i="10"/>
  <c r="V58" i="10"/>
  <c r="Z38" i="10"/>
  <c r="V55" i="10"/>
  <c r="Z73" i="10"/>
  <c r="Z81" i="10"/>
  <c r="Z86" i="10"/>
  <c r="V87" i="10"/>
  <c r="Z42" i="10"/>
  <c r="V49" i="10"/>
  <c r="Z70" i="10"/>
  <c r="Z35" i="10"/>
  <c r="Z59" i="10"/>
  <c r="V81" i="10"/>
  <c r="V70" i="10"/>
  <c r="V39" i="10"/>
  <c r="Z65" i="10"/>
  <c r="Z75" i="10"/>
  <c r="V53" i="10"/>
  <c r="V44" i="10"/>
  <c r="Z67" i="10"/>
  <c r="Z44" i="10"/>
  <c r="V65" i="10"/>
  <c r="W70" i="13" l="1"/>
  <c r="X70" i="13" s="1"/>
  <c r="Y70" i="13" s="1"/>
  <c r="W40" i="13"/>
  <c r="X40" i="13" s="1"/>
  <c r="Y40" i="13" s="1"/>
  <c r="AA44" i="13"/>
  <c r="AB44" i="13" s="1"/>
  <c r="AA48" i="13"/>
  <c r="AB48" i="13" s="1"/>
  <c r="AC48" i="13" s="1"/>
  <c r="W48" i="13"/>
  <c r="X48" i="13" s="1"/>
  <c r="Y48" i="13" s="1"/>
  <c r="AA66" i="13"/>
  <c r="AB66" i="13" s="1"/>
  <c r="AA58" i="13"/>
  <c r="AB58" i="13" s="1"/>
  <c r="AA41" i="13"/>
  <c r="AB41" i="13" s="1"/>
  <c r="W53" i="13"/>
  <c r="X53" i="13" s="1"/>
  <c r="Y53" i="13" s="1"/>
  <c r="W55" i="13"/>
  <c r="X55" i="13" s="1"/>
  <c r="AA51" i="13"/>
  <c r="AB51" i="13" s="1"/>
  <c r="AC51" i="13" s="1"/>
  <c r="W66" i="13"/>
  <c r="X66" i="13" s="1"/>
  <c r="Y66" i="13" s="1"/>
  <c r="W46" i="13"/>
  <c r="X46" i="13" s="1"/>
  <c r="W42" i="13"/>
  <c r="X42" i="13" s="1"/>
  <c r="W67" i="13"/>
  <c r="X67" i="13" s="1"/>
  <c r="AA62" i="13"/>
  <c r="AB62" i="13" s="1"/>
  <c r="W68" i="13"/>
  <c r="X68" i="13" s="1"/>
  <c r="AA42" i="13"/>
  <c r="AB42" i="13" s="1"/>
  <c r="AC42" i="13" s="1"/>
  <c r="W49" i="13"/>
  <c r="X49" i="13" s="1"/>
  <c r="Y49" i="13" s="1"/>
  <c r="W43" i="13"/>
  <c r="X43" i="13" s="1"/>
  <c r="Y43" i="13" s="1"/>
  <c r="W50" i="13"/>
  <c r="X50" i="13" s="1"/>
  <c r="W60" i="13"/>
  <c r="X60" i="13" s="1"/>
  <c r="W45" i="13"/>
  <c r="X45" i="13" s="1"/>
  <c r="AA60" i="13"/>
  <c r="AB60" i="13" s="1"/>
  <c r="AC60" i="13" s="1"/>
  <c r="AA45" i="13"/>
  <c r="AB45" i="13" s="1"/>
  <c r="AA46" i="13"/>
  <c r="AB46" i="13" s="1"/>
  <c r="W41" i="13"/>
  <c r="X41" i="13" s="1"/>
  <c r="W56" i="13"/>
  <c r="X56" i="13" s="1"/>
  <c r="AA59" i="13"/>
  <c r="AB59" i="13" s="1"/>
  <c r="W57" i="13"/>
  <c r="X57" i="13" s="1"/>
  <c r="W59" i="13"/>
  <c r="X59" i="13" s="1"/>
  <c r="AA56" i="13"/>
  <c r="AB56" i="13" s="1"/>
  <c r="AC56" i="13" s="1"/>
  <c r="AA57" i="13"/>
  <c r="AB57" i="13" s="1"/>
  <c r="W47" i="13"/>
  <c r="X47" i="13" s="1"/>
  <c r="Y47" i="13" s="1"/>
  <c r="W69" i="13"/>
  <c r="X69" i="13" s="1"/>
  <c r="AA43" i="13"/>
  <c r="AB43" i="13" s="1"/>
  <c r="W61" i="13"/>
  <c r="X61" i="13" s="1"/>
  <c r="Y61" i="13" s="1"/>
  <c r="W51" i="13"/>
  <c r="X51" i="13" s="1"/>
  <c r="AA63" i="13"/>
  <c r="AB63" i="13" s="1"/>
  <c r="W63" i="13"/>
  <c r="X63" i="13" s="1"/>
  <c r="AA68" i="13"/>
  <c r="AB68" i="13" s="1"/>
  <c r="AA53" i="13"/>
  <c r="AB53" i="13" s="1"/>
  <c r="W54" i="13"/>
  <c r="X54" i="13" s="1"/>
  <c r="AA65" i="13"/>
  <c r="AB65" i="13" s="1"/>
  <c r="W64" i="13"/>
  <c r="X64" i="13" s="1"/>
  <c r="W65" i="13"/>
  <c r="X65" i="13" s="1"/>
  <c r="Y65" i="13" s="1"/>
  <c r="AA70" i="13"/>
  <c r="AB70" i="13" s="1"/>
  <c r="AA54" i="13"/>
  <c r="AB54" i="13" s="1"/>
  <c r="AA67" i="13"/>
  <c r="AB67" i="13" s="1"/>
  <c r="W62" i="13"/>
  <c r="X62" i="13" s="1"/>
  <c r="Y62" i="13" s="1"/>
  <c r="W58" i="13"/>
  <c r="X58" i="13" s="1"/>
  <c r="AA49" i="13"/>
  <c r="AB49" i="13" s="1"/>
  <c r="AA61" i="13"/>
  <c r="AB61" i="13" s="1"/>
  <c r="AA69" i="13"/>
  <c r="AB69" i="13" s="1"/>
  <c r="AA50" i="13"/>
  <c r="AB50" i="13" s="1"/>
  <c r="AA64" i="13"/>
  <c r="AB64" i="13" s="1"/>
  <c r="AC64" i="13" s="1"/>
  <c r="AA47" i="13"/>
  <c r="AB47" i="13" s="1"/>
  <c r="W52" i="13"/>
  <c r="X52" i="13" s="1"/>
  <c r="W44" i="13"/>
  <c r="X44" i="13" s="1"/>
  <c r="Y44" i="13" s="1"/>
  <c r="AA40" i="13"/>
  <c r="AB40" i="13" s="1"/>
  <c r="AC40" i="13" s="1"/>
  <c r="AA52" i="13"/>
  <c r="AB52" i="13" s="1"/>
  <c r="AA55" i="13"/>
  <c r="AB55" i="13" s="1"/>
  <c r="AK8" i="13"/>
  <c r="T70" i="10"/>
  <c r="U70" i="10" s="1"/>
  <c r="T63" i="10"/>
  <c r="U63" i="10" s="1"/>
  <c r="T52" i="10"/>
  <c r="U52" i="10" s="1"/>
  <c r="T69" i="10"/>
  <c r="U69" i="10" s="1"/>
  <c r="AI10" i="10"/>
  <c r="AJ10" i="10"/>
  <c r="T34" i="10"/>
  <c r="T49" i="10"/>
  <c r="U49" i="10" s="1"/>
  <c r="T40" i="10"/>
  <c r="U40" i="10" s="1"/>
  <c r="S66" i="10"/>
  <c r="U66" i="10" s="1"/>
  <c r="T46" i="10"/>
  <c r="U46" i="10" s="1"/>
  <c r="T65" i="10"/>
  <c r="U65" i="10" s="1"/>
  <c r="T79" i="10"/>
  <c r="U79" i="10" s="1"/>
  <c r="T77" i="10"/>
  <c r="U77" i="10" s="1"/>
  <c r="T78" i="10"/>
  <c r="U78" i="10" s="1"/>
  <c r="T85" i="10"/>
  <c r="U85" i="10" s="1"/>
  <c r="T86" i="10"/>
  <c r="U86" i="10" s="1"/>
  <c r="S61" i="10"/>
  <c r="U61" i="10" s="1"/>
  <c r="T57" i="10"/>
  <c r="U57" i="10" s="1"/>
  <c r="T71" i="10"/>
  <c r="U71" i="10" s="1"/>
  <c r="T74" i="10"/>
  <c r="U74" i="10" s="1"/>
  <c r="T38" i="10"/>
  <c r="U38" i="10" s="1"/>
  <c r="T48" i="10"/>
  <c r="U48" i="10" s="1"/>
  <c r="AH11" i="10"/>
  <c r="T42" i="10"/>
  <c r="U42" i="10" s="1"/>
  <c r="T55" i="10"/>
  <c r="U55" i="10" s="1"/>
  <c r="S67" i="10"/>
  <c r="U67" i="10" s="1"/>
  <c r="S75" i="10"/>
  <c r="U75" i="10" s="1"/>
  <c r="T82" i="10"/>
  <c r="U82" i="10" s="1"/>
  <c r="U45" i="13"/>
  <c r="Y45" i="13" s="1"/>
  <c r="AH10" i="13"/>
  <c r="AJ10" i="13" s="1"/>
  <c r="AI9" i="13"/>
  <c r="AK9" i="13" s="1"/>
  <c r="Y42" i="13"/>
  <c r="AC44" i="13"/>
  <c r="Y52" i="13"/>
  <c r="AC52" i="13"/>
  <c r="AC47" i="13"/>
  <c r="AC49" i="13"/>
  <c r="AC69" i="13"/>
  <c r="AC61" i="13"/>
  <c r="Y69" i="13"/>
  <c r="Y57" i="13"/>
  <c r="AC59" i="13"/>
  <c r="Y59" i="13"/>
  <c r="AC67" i="13"/>
  <c r="Y67" i="13"/>
  <c r="AC65" i="13"/>
  <c r="AC57" i="13"/>
  <c r="U50" i="13"/>
  <c r="U55" i="13"/>
  <c r="U41" i="13"/>
  <c r="U63" i="13"/>
  <c r="Y68" i="13"/>
  <c r="AC68" i="13"/>
  <c r="AC66" i="13"/>
  <c r="Y58" i="13"/>
  <c r="AC58" i="13"/>
  <c r="Y51" i="13"/>
  <c r="Y64" i="13"/>
  <c r="Y56" i="13"/>
  <c r="AC43" i="13"/>
  <c r="Y60" i="13"/>
  <c r="AC70" i="13"/>
  <c r="AC62" i="13"/>
  <c r="Y54" i="13"/>
  <c r="AC54" i="13"/>
  <c r="AC45" i="13"/>
  <c r="Y46" i="13"/>
  <c r="AC46" i="13"/>
  <c r="AC53" i="13"/>
  <c r="T44" i="10"/>
  <c r="U44" i="10" s="1"/>
  <c r="T53" i="10"/>
  <c r="U53" i="10" s="1"/>
  <c r="S59" i="10"/>
  <c r="U59" i="10" s="1"/>
  <c r="S87" i="10"/>
  <c r="U87" i="10" s="1"/>
  <c r="T36" i="10"/>
  <c r="U36" i="10" s="1"/>
  <c r="AA33" i="10"/>
  <c r="AB33" i="10" s="1"/>
  <c r="AA35" i="10"/>
  <c r="AB35" i="10" s="1"/>
  <c r="W37" i="10"/>
  <c r="W39" i="10"/>
  <c r="AA39" i="10"/>
  <c r="AB39" i="10" s="1"/>
  <c r="W41" i="10"/>
  <c r="AA41" i="10"/>
  <c r="AB41" i="10" s="1"/>
  <c r="W43" i="10"/>
  <c r="AA43" i="10"/>
  <c r="AB43" i="10" s="1"/>
  <c r="W47" i="10"/>
  <c r="AA49" i="10"/>
  <c r="AB49" i="10" s="1"/>
  <c r="W50" i="10"/>
  <c r="X50" i="10" s="1"/>
  <c r="AA52" i="10"/>
  <c r="AB52" i="10" s="1"/>
  <c r="W54" i="10"/>
  <c r="X54" i="10" s="1"/>
  <c r="W35" i="10"/>
  <c r="AA37" i="10"/>
  <c r="AB37" i="10" s="1"/>
  <c r="AA46" i="10"/>
  <c r="AB46" i="10" s="1"/>
  <c r="W49" i="10"/>
  <c r="X49" i="10" s="1"/>
  <c r="AA51" i="10"/>
  <c r="AB51" i="10" s="1"/>
  <c r="W53" i="10"/>
  <c r="X53" i="10" s="1"/>
  <c r="AA54" i="10"/>
  <c r="AB54" i="10" s="1"/>
  <c r="W33" i="10"/>
  <c r="AA34" i="10"/>
  <c r="AB34" i="10" s="1"/>
  <c r="W36" i="10"/>
  <c r="X36" i="10" s="1"/>
  <c r="W38" i="10"/>
  <c r="X38" i="10" s="1"/>
  <c r="W40" i="10"/>
  <c r="X40" i="10" s="1"/>
  <c r="AA40" i="10"/>
  <c r="AB40" i="10" s="1"/>
  <c r="W42" i="10"/>
  <c r="X42" i="10" s="1"/>
  <c r="AA42" i="10"/>
  <c r="AB42" i="10" s="1"/>
  <c r="W44" i="10"/>
  <c r="X44" i="10" s="1"/>
  <c r="AA44" i="10"/>
  <c r="AB44" i="10" s="1"/>
  <c r="AA45" i="10"/>
  <c r="AB45" i="10" s="1"/>
  <c r="W46" i="10"/>
  <c r="X46" i="10" s="1"/>
  <c r="AA48" i="10"/>
  <c r="AB48" i="10" s="1"/>
  <c r="AC48" i="10" s="1"/>
  <c r="AA50" i="10"/>
  <c r="AB50" i="10" s="1"/>
  <c r="W52" i="10"/>
  <c r="X52" i="10" s="1"/>
  <c r="W34" i="10"/>
  <c r="X34" i="10" s="1"/>
  <c r="AA36" i="10"/>
  <c r="AB36" i="10" s="1"/>
  <c r="AA38" i="10"/>
  <c r="AB38" i="10" s="1"/>
  <c r="W45" i="10"/>
  <c r="AA47" i="10"/>
  <c r="AB47" i="10" s="1"/>
  <c r="W48" i="10"/>
  <c r="X48" i="10" s="1"/>
  <c r="Y48" i="10" s="1"/>
  <c r="W51" i="10"/>
  <c r="X51" i="10" s="1"/>
  <c r="AA53" i="10"/>
  <c r="AB53" i="10" s="1"/>
  <c r="W56" i="10"/>
  <c r="AA56" i="10"/>
  <c r="AB56" i="10" s="1"/>
  <c r="W58" i="10"/>
  <c r="AA58" i="10"/>
  <c r="AB58" i="10" s="1"/>
  <c r="W60" i="10"/>
  <c r="AA60" i="10"/>
  <c r="AB60" i="10" s="1"/>
  <c r="W62" i="10"/>
  <c r="AA62" i="10"/>
  <c r="AB62" i="10" s="1"/>
  <c r="W64" i="10"/>
  <c r="AA64" i="10"/>
  <c r="AB64" i="10" s="1"/>
  <c r="W66" i="10"/>
  <c r="AA66" i="10"/>
  <c r="AB66" i="10" s="1"/>
  <c r="W69" i="10"/>
  <c r="X69" i="10" s="1"/>
  <c r="AA71" i="10"/>
  <c r="AB71" i="10" s="1"/>
  <c r="W72" i="10"/>
  <c r="X72" i="10" s="1"/>
  <c r="AA74" i="10"/>
  <c r="AB74" i="10" s="1"/>
  <c r="W77" i="10"/>
  <c r="X77" i="10" s="1"/>
  <c r="AA79" i="10"/>
  <c r="AB79" i="10" s="1"/>
  <c r="W80" i="10"/>
  <c r="X80" i="10" s="1"/>
  <c r="AA82" i="10"/>
  <c r="AB82" i="10" s="1"/>
  <c r="W85" i="10"/>
  <c r="X85" i="10" s="1"/>
  <c r="AA87" i="10"/>
  <c r="AB87" i="10" s="1"/>
  <c r="AA68" i="10"/>
  <c r="AB68" i="10" s="1"/>
  <c r="W71" i="10"/>
  <c r="X71" i="10" s="1"/>
  <c r="AA73" i="10"/>
  <c r="AB73" i="10" s="1"/>
  <c r="W74" i="10"/>
  <c r="X74" i="10" s="1"/>
  <c r="AA76" i="10"/>
  <c r="AB76" i="10" s="1"/>
  <c r="W79" i="10"/>
  <c r="X79" i="10" s="1"/>
  <c r="AA81" i="10"/>
  <c r="AB81" i="10" s="1"/>
  <c r="W82" i="10"/>
  <c r="X82" i="10" s="1"/>
  <c r="AA84" i="10"/>
  <c r="AB84" i="10" s="1"/>
  <c r="W87" i="10"/>
  <c r="W55" i="10"/>
  <c r="X55" i="10" s="1"/>
  <c r="AA55" i="10"/>
  <c r="AB55" i="10" s="1"/>
  <c r="W57" i="10"/>
  <c r="X57" i="10" s="1"/>
  <c r="AA57" i="10"/>
  <c r="AB57" i="10" s="1"/>
  <c r="W59" i="10"/>
  <c r="AA59" i="10"/>
  <c r="AB59" i="10" s="1"/>
  <c r="W61" i="10"/>
  <c r="AA61" i="10"/>
  <c r="AB61" i="10" s="1"/>
  <c r="W63" i="10"/>
  <c r="X63" i="10" s="1"/>
  <c r="AA63" i="10"/>
  <c r="AB63" i="10" s="1"/>
  <c r="W65" i="10"/>
  <c r="X65" i="10" s="1"/>
  <c r="AA65" i="10"/>
  <c r="AB65" i="10" s="1"/>
  <c r="AA67" i="10"/>
  <c r="AB67" i="10" s="1"/>
  <c r="W68" i="10"/>
  <c r="X68" i="10" s="1"/>
  <c r="AA70" i="10"/>
  <c r="AB70" i="10" s="1"/>
  <c r="AC70" i="10" s="1"/>
  <c r="W73" i="10"/>
  <c r="AA75" i="10"/>
  <c r="AB75" i="10" s="1"/>
  <c r="W76" i="10"/>
  <c r="X76" i="10" s="1"/>
  <c r="AA78" i="10"/>
  <c r="AB78" i="10" s="1"/>
  <c r="W81" i="10"/>
  <c r="AA83" i="10"/>
  <c r="AB83" i="10" s="1"/>
  <c r="W84" i="10"/>
  <c r="X84" i="10" s="1"/>
  <c r="AA86" i="10"/>
  <c r="AB86" i="10" s="1"/>
  <c r="W67" i="10"/>
  <c r="AA69" i="10"/>
  <c r="AB69" i="10" s="1"/>
  <c r="W70" i="10"/>
  <c r="X70" i="10" s="1"/>
  <c r="AA72" i="10"/>
  <c r="AB72" i="10" s="1"/>
  <c r="W75" i="10"/>
  <c r="AA77" i="10"/>
  <c r="AB77" i="10" s="1"/>
  <c r="W78" i="10"/>
  <c r="X78" i="10" s="1"/>
  <c r="Y78" i="10" s="1"/>
  <c r="AA80" i="10"/>
  <c r="AB80" i="10" s="1"/>
  <c r="W83" i="10"/>
  <c r="AA85" i="10"/>
  <c r="AB85" i="10" s="1"/>
  <c r="W86" i="10"/>
  <c r="X86" i="10" s="1"/>
  <c r="W89" i="10"/>
  <c r="W88" i="10"/>
  <c r="X88" i="10" s="1"/>
  <c r="AA88" i="10"/>
  <c r="AB88" i="10" s="1"/>
  <c r="W90" i="10"/>
  <c r="AA90" i="10"/>
  <c r="AB90" i="10" s="1"/>
  <c r="AA89" i="10"/>
  <c r="AB89" i="10" s="1"/>
  <c r="U34" i="10"/>
  <c r="S33" i="10"/>
  <c r="U33" i="10" s="1"/>
  <c r="AC33" i="10" s="1"/>
  <c r="S35" i="10"/>
  <c r="U35" i="10" s="1"/>
  <c r="S37" i="10"/>
  <c r="U37" i="10" s="1"/>
  <c r="S39" i="10"/>
  <c r="U39" i="10" s="1"/>
  <c r="S41" i="10"/>
  <c r="U41" i="10" s="1"/>
  <c r="S43" i="10"/>
  <c r="U43" i="10" s="1"/>
  <c r="S45" i="10"/>
  <c r="U45" i="10" s="1"/>
  <c r="S47" i="10"/>
  <c r="U47" i="10" s="1"/>
  <c r="T50" i="10"/>
  <c r="U50" i="10" s="1"/>
  <c r="T51" i="10"/>
  <c r="U51" i="10" s="1"/>
  <c r="T54" i="10"/>
  <c r="U54" i="10" s="1"/>
  <c r="T68" i="10"/>
  <c r="U68" i="10" s="1"/>
  <c r="S73" i="10"/>
  <c r="U73" i="10" s="1"/>
  <c r="T76" i="10"/>
  <c r="U76" i="10" s="1"/>
  <c r="S81" i="10"/>
  <c r="U81" i="10" s="1"/>
  <c r="T84" i="10"/>
  <c r="U84" i="10" s="1"/>
  <c r="S56" i="10"/>
  <c r="U56" i="10" s="1"/>
  <c r="S58" i="10"/>
  <c r="U58" i="10" s="1"/>
  <c r="S60" i="10"/>
  <c r="U60" i="10" s="1"/>
  <c r="S62" i="10"/>
  <c r="U62" i="10" s="1"/>
  <c r="S64" i="10"/>
  <c r="U64" i="10" s="1"/>
  <c r="S83" i="10"/>
  <c r="U83" i="10" s="1"/>
  <c r="T72" i="10"/>
  <c r="U72" i="10" s="1"/>
  <c r="T80" i="10"/>
  <c r="U80" i="10" s="1"/>
  <c r="T88" i="10"/>
  <c r="U88" i="10" s="1"/>
  <c r="S89" i="10"/>
  <c r="U89" i="10" s="1"/>
  <c r="S90" i="10"/>
  <c r="U90" i="10" s="1"/>
  <c r="R7" i="10"/>
  <c r="S7" i="10" s="1"/>
  <c r="P7" i="10"/>
  <c r="Q7" i="10" s="1"/>
  <c r="AC84" i="10" l="1"/>
  <c r="AC50" i="10"/>
  <c r="AC54" i="10"/>
  <c r="AC77" i="10"/>
  <c r="AC73" i="10"/>
  <c r="Y70" i="10"/>
  <c r="AC62" i="10"/>
  <c r="AC55" i="10"/>
  <c r="AC89" i="10"/>
  <c r="AC58" i="10"/>
  <c r="AC45" i="10"/>
  <c r="AC37" i="10"/>
  <c r="AC57" i="10"/>
  <c r="AC71" i="10"/>
  <c r="AC78" i="10"/>
  <c r="Y55" i="10"/>
  <c r="Y46" i="10"/>
  <c r="AC46" i="10"/>
  <c r="AC72" i="10"/>
  <c r="AC34" i="10"/>
  <c r="Y65" i="10"/>
  <c r="AC44" i="10"/>
  <c r="X67" i="10"/>
  <c r="Y67" i="10" s="1"/>
  <c r="AJ11" i="10"/>
  <c r="AI11" i="10"/>
  <c r="AC60" i="10"/>
  <c r="AC35" i="10"/>
  <c r="AC36" i="10"/>
  <c r="X59" i="10"/>
  <c r="Y59" i="10" s="1"/>
  <c r="Y74" i="10"/>
  <c r="Y86" i="10"/>
  <c r="AC79" i="10"/>
  <c r="X75" i="10"/>
  <c r="Y75" i="10" s="1"/>
  <c r="AC61" i="10"/>
  <c r="AC64" i="10"/>
  <c r="AC56" i="10"/>
  <c r="X61" i="10"/>
  <c r="Y61" i="10" s="1"/>
  <c r="X66" i="10"/>
  <c r="Y66" i="10" s="1"/>
  <c r="Y82" i="10"/>
  <c r="AC42" i="10"/>
  <c r="Y63" i="10"/>
  <c r="AC69" i="10"/>
  <c r="AC81" i="10"/>
  <c r="AC52" i="10"/>
  <c r="AC39" i="10"/>
  <c r="AC74" i="10"/>
  <c r="AK10" i="10"/>
  <c r="AC83" i="10"/>
  <c r="AC47" i="10"/>
  <c r="AC86" i="10"/>
  <c r="AC65" i="10"/>
  <c r="AC87" i="10"/>
  <c r="AC85" i="10"/>
  <c r="AC88" i="10"/>
  <c r="AC43" i="10"/>
  <c r="AC82" i="10"/>
  <c r="Y53" i="10"/>
  <c r="T7" i="10"/>
  <c r="U7" i="10" s="1"/>
  <c r="AC63" i="10"/>
  <c r="AH12" i="10"/>
  <c r="AH11" i="13"/>
  <c r="AJ11" i="13" s="1"/>
  <c r="AI10" i="13"/>
  <c r="AK10" i="13" s="1"/>
  <c r="AC50" i="13"/>
  <c r="Y50" i="13"/>
  <c r="AC55" i="13"/>
  <c r="Y55" i="13"/>
  <c r="Y63" i="13"/>
  <c r="AC63" i="13"/>
  <c r="AC41" i="13"/>
  <c r="Y41" i="13"/>
  <c r="AC59" i="10"/>
  <c r="AC90" i="10"/>
  <c r="AC41" i="10"/>
  <c r="AC75" i="10"/>
  <c r="AC68" i="10"/>
  <c r="AC38" i="10"/>
  <c r="AC67" i="10"/>
  <c r="AC53" i="10"/>
  <c r="AC80" i="10"/>
  <c r="AC76" i="10"/>
  <c r="AC51" i="10"/>
  <c r="AC49" i="10"/>
  <c r="AC40" i="10"/>
  <c r="X83" i="10"/>
  <c r="Y83" i="10" s="1"/>
  <c r="X81" i="10"/>
  <c r="Y81" i="10" s="1"/>
  <c r="X87" i="10"/>
  <c r="Y87" i="10" s="1"/>
  <c r="X45" i="10"/>
  <c r="Y45" i="10" s="1"/>
  <c r="X43" i="10"/>
  <c r="Y43" i="10" s="1"/>
  <c r="AC66" i="10"/>
  <c r="X62" i="10"/>
  <c r="Y62" i="10" s="1"/>
  <c r="X58" i="10"/>
  <c r="Y58" i="10" s="1"/>
  <c r="X35" i="10"/>
  <c r="Y35" i="10" s="1"/>
  <c r="X37" i="10"/>
  <c r="Y37" i="10" s="1"/>
  <c r="Y36" i="10"/>
  <c r="Y88" i="10"/>
  <c r="Y51" i="10"/>
  <c r="Y49" i="10"/>
  <c r="Y34" i="10"/>
  <c r="Y77" i="10"/>
  <c r="Y80" i="10"/>
  <c r="Y79" i="10"/>
  <c r="Y68" i="10"/>
  <c r="Y50" i="10"/>
  <c r="Y44" i="10"/>
  <c r="Y38" i="10"/>
  <c r="X90" i="10"/>
  <c r="Y90" i="10" s="1"/>
  <c r="X33" i="10"/>
  <c r="Y33" i="10" s="1"/>
  <c r="X47" i="10"/>
  <c r="Y47" i="10" s="1"/>
  <c r="X41" i="10"/>
  <c r="Y41" i="10" s="1"/>
  <c r="Y84" i="10"/>
  <c r="Y54" i="10"/>
  <c r="Y52" i="10"/>
  <c r="X73" i="10"/>
  <c r="Y73" i="10" s="1"/>
  <c r="X39" i="10"/>
  <c r="Y39" i="10" s="1"/>
  <c r="Y85" i="10"/>
  <c r="Y71" i="10"/>
  <c r="Y40" i="10"/>
  <c r="X89" i="10"/>
  <c r="Y89" i="10" s="1"/>
  <c r="Y69" i="10"/>
  <c r="Y72" i="10"/>
  <c r="Y76" i="10"/>
  <c r="Y57" i="10"/>
  <c r="Y42" i="10"/>
  <c r="X64" i="10"/>
  <c r="Y64" i="10" s="1"/>
  <c r="X60" i="10"/>
  <c r="Y60" i="10" s="1"/>
  <c r="X56" i="10"/>
  <c r="Y56" i="10" s="1"/>
  <c r="P26" i="10"/>
  <c r="AH12" i="13" l="1"/>
  <c r="AH13" i="13" s="1"/>
  <c r="AI11" i="13"/>
  <c r="AJ12" i="10"/>
  <c r="AI12" i="10"/>
  <c r="AK11" i="10"/>
  <c r="AH13" i="10"/>
  <c r="AK11" i="13"/>
  <c r="AI12" i="13"/>
  <c r="R39" i="13"/>
  <c r="S39" i="13" s="1"/>
  <c r="Q39" i="13"/>
  <c r="R38" i="13"/>
  <c r="T38" i="13" s="1"/>
  <c r="Q38" i="13"/>
  <c r="R37" i="13"/>
  <c r="S37" i="13" s="1"/>
  <c r="Q37" i="13"/>
  <c r="R36" i="13"/>
  <c r="T36" i="13" s="1"/>
  <c r="Q36" i="13"/>
  <c r="R35" i="13"/>
  <c r="Q35" i="13"/>
  <c r="R34" i="13"/>
  <c r="S34" i="13" s="1"/>
  <c r="Q34" i="13"/>
  <c r="R33" i="13"/>
  <c r="S33" i="13" s="1"/>
  <c r="Q33" i="13"/>
  <c r="R32" i="13"/>
  <c r="Q32" i="13"/>
  <c r="S31" i="13"/>
  <c r="Q31" i="13"/>
  <c r="R30" i="13"/>
  <c r="T30" i="13" s="1"/>
  <c r="Q30" i="13"/>
  <c r="R29" i="13"/>
  <c r="S29" i="13" s="1"/>
  <c r="Q29" i="13"/>
  <c r="R28" i="13"/>
  <c r="S28" i="13" s="1"/>
  <c r="Q28" i="13"/>
  <c r="R27" i="13"/>
  <c r="Q27" i="13"/>
  <c r="R26" i="13"/>
  <c r="S26" i="13" s="1"/>
  <c r="Q26" i="13"/>
  <c r="R25" i="13"/>
  <c r="S25" i="13" s="1"/>
  <c r="Q25" i="13"/>
  <c r="R24" i="13"/>
  <c r="Q24" i="13"/>
  <c r="R23" i="13"/>
  <c r="S23" i="13" s="1"/>
  <c r="Q23" i="13"/>
  <c r="R22" i="13"/>
  <c r="Q22" i="13"/>
  <c r="R21" i="13"/>
  <c r="S21" i="13" s="1"/>
  <c r="Q21" i="13"/>
  <c r="R20" i="13"/>
  <c r="S20" i="13" s="1"/>
  <c r="Q20" i="13"/>
  <c r="R19" i="13"/>
  <c r="Q19" i="13"/>
  <c r="R18" i="13"/>
  <c r="S18" i="13" s="1"/>
  <c r="Q18" i="13"/>
  <c r="R17" i="13"/>
  <c r="S17" i="13" s="1"/>
  <c r="Q17" i="13"/>
  <c r="R16" i="13"/>
  <c r="Q16" i="13"/>
  <c r="R15" i="13"/>
  <c r="Q15" i="13"/>
  <c r="R14" i="13"/>
  <c r="S14" i="13" s="1"/>
  <c r="Q14" i="13"/>
  <c r="R13" i="13"/>
  <c r="Q13" i="13"/>
  <c r="R12" i="13"/>
  <c r="T12" i="13" s="1"/>
  <c r="Q12" i="13"/>
  <c r="R11" i="13"/>
  <c r="Q11" i="13"/>
  <c r="R10" i="13"/>
  <c r="S10" i="13" s="1"/>
  <c r="Q10" i="13"/>
  <c r="R9" i="13"/>
  <c r="Q9" i="13"/>
  <c r="R8" i="13"/>
  <c r="T8" i="13" s="1"/>
  <c r="Q8" i="13"/>
  <c r="R7" i="13"/>
  <c r="S7" i="13" s="1"/>
  <c r="Q7" i="13"/>
  <c r="R6" i="13"/>
  <c r="Q6" i="13"/>
  <c r="R5" i="13"/>
  <c r="S5" i="13" s="1"/>
  <c r="Q5" i="13"/>
  <c r="R27" i="10"/>
  <c r="P27" i="10"/>
  <c r="Q27" i="10" s="1"/>
  <c r="R4" i="10"/>
  <c r="P4" i="10"/>
  <c r="Q4" i="10" s="1"/>
  <c r="R32" i="10"/>
  <c r="T32" i="10" s="1"/>
  <c r="P32" i="10"/>
  <c r="Q32" i="10" s="1"/>
  <c r="R20" i="10"/>
  <c r="P20" i="10"/>
  <c r="Q20" i="10" s="1"/>
  <c r="R10" i="10"/>
  <c r="P10" i="10"/>
  <c r="Q10" i="10" s="1"/>
  <c r="R28" i="10"/>
  <c r="S28" i="10" s="1"/>
  <c r="P28" i="10"/>
  <c r="Q28" i="10" s="1"/>
  <c r="R17" i="10"/>
  <c r="P17" i="10"/>
  <c r="Q17" i="10" s="1"/>
  <c r="R13" i="10"/>
  <c r="S13" i="10" s="1"/>
  <c r="P13" i="10"/>
  <c r="Q13" i="10" s="1"/>
  <c r="R9" i="10"/>
  <c r="S9" i="10" s="1"/>
  <c r="P9" i="10"/>
  <c r="Q9" i="10" s="1"/>
  <c r="R30" i="10"/>
  <c r="T30" i="10" s="1"/>
  <c r="P30" i="10"/>
  <c r="Q30" i="10" s="1"/>
  <c r="R5" i="10"/>
  <c r="S5" i="10" s="1"/>
  <c r="P5" i="10"/>
  <c r="Q5" i="10" s="1"/>
  <c r="R23" i="10"/>
  <c r="T23" i="10" s="1"/>
  <c r="P23" i="10"/>
  <c r="Q23" i="10" s="1"/>
  <c r="R21" i="10"/>
  <c r="T21" i="10" s="1"/>
  <c r="P21" i="10"/>
  <c r="Q21" i="10" s="1"/>
  <c r="R6" i="10"/>
  <c r="T6" i="10" s="1"/>
  <c r="P6" i="10"/>
  <c r="Q6" i="10" s="1"/>
  <c r="R16" i="10"/>
  <c r="P16" i="10"/>
  <c r="Q16" i="10" s="1"/>
  <c r="R18" i="10"/>
  <c r="S18" i="10" s="1"/>
  <c r="P18" i="10"/>
  <c r="Q18" i="10" s="1"/>
  <c r="R31" i="10"/>
  <c r="T31" i="10" s="1"/>
  <c r="P31" i="10"/>
  <c r="Q31" i="10" s="1"/>
  <c r="R29" i="10"/>
  <c r="P29" i="10"/>
  <c r="Q29" i="10" s="1"/>
  <c r="R8" i="10"/>
  <c r="T8" i="10" s="1"/>
  <c r="P8" i="10"/>
  <c r="Q8" i="10" s="1"/>
  <c r="R24" i="10"/>
  <c r="T24" i="10" s="1"/>
  <c r="P24" i="10"/>
  <c r="Q24" i="10" s="1"/>
  <c r="R15" i="10"/>
  <c r="T15" i="10" s="1"/>
  <c r="P15" i="10"/>
  <c r="Q15" i="10" s="1"/>
  <c r="R12" i="10"/>
  <c r="P12" i="10"/>
  <c r="Q12" i="10" s="1"/>
  <c r="R19" i="10"/>
  <c r="T19" i="10" s="1"/>
  <c r="P19" i="10"/>
  <c r="Q19" i="10" s="1"/>
  <c r="R14" i="10"/>
  <c r="P14" i="10"/>
  <c r="Q14" i="10" s="1"/>
  <c r="R25" i="10"/>
  <c r="S25" i="10" s="1"/>
  <c r="P25" i="10"/>
  <c r="Q25" i="10" s="1"/>
  <c r="R11" i="10"/>
  <c r="T11" i="10" s="1"/>
  <c r="P11" i="10"/>
  <c r="Q11" i="10" s="1"/>
  <c r="R22" i="10"/>
  <c r="T22" i="10" s="1"/>
  <c r="P22" i="10"/>
  <c r="Q22" i="10" s="1"/>
  <c r="Z13" i="10"/>
  <c r="Z25" i="10"/>
  <c r="Z17" i="10"/>
  <c r="V21" i="10"/>
  <c r="V20" i="10"/>
  <c r="Z4" i="10"/>
  <c r="V10" i="10"/>
  <c r="V12" i="10"/>
  <c r="Z12" i="10"/>
  <c r="Z28" i="10"/>
  <c r="V29" i="10"/>
  <c r="V19" i="10"/>
  <c r="V9" i="10"/>
  <c r="Z7" i="10"/>
  <c r="V24" i="13"/>
  <c r="V9" i="13"/>
  <c r="V12" i="13"/>
  <c r="V36" i="13"/>
  <c r="Z26" i="13"/>
  <c r="V23" i="13"/>
  <c r="Z12" i="13"/>
  <c r="Z39" i="13"/>
  <c r="Z23" i="13"/>
  <c r="V8" i="13"/>
  <c r="Z20" i="13"/>
  <c r="V5" i="13"/>
  <c r="V21" i="13"/>
  <c r="Z11" i="13"/>
  <c r="Z37" i="13"/>
  <c r="V16" i="13"/>
  <c r="Z9" i="13"/>
  <c r="Z22" i="13"/>
  <c r="Z16" i="13"/>
  <c r="V33" i="13"/>
  <c r="Z38" i="13"/>
  <c r="V13" i="13"/>
  <c r="Z27" i="10"/>
  <c r="Z32" i="10"/>
  <c r="Z24" i="10"/>
  <c r="V11" i="10"/>
  <c r="Z14" i="10"/>
  <c r="Z19" i="10"/>
  <c r="V32" i="10"/>
  <c r="Z22" i="10"/>
  <c r="Z23" i="10"/>
  <c r="V4" i="10"/>
  <c r="V7" i="10"/>
  <c r="Z15" i="10"/>
  <c r="Z9" i="10"/>
  <c r="V17" i="10"/>
  <c r="V26" i="13"/>
  <c r="V17" i="13"/>
  <c r="Z33" i="13"/>
  <c r="Z34" i="13"/>
  <c r="V30" i="13"/>
  <c r="Z36" i="13"/>
  <c r="V32" i="13"/>
  <c r="V38" i="13"/>
  <c r="Z17" i="13"/>
  <c r="Z14" i="13"/>
  <c r="V34" i="13"/>
  <c r="V27" i="13"/>
  <c r="V25" i="13"/>
  <c r="V6" i="13"/>
  <c r="Z25" i="13"/>
  <c r="Z19" i="13"/>
  <c r="Z16" i="10"/>
  <c r="Z18" i="10"/>
  <c r="Z31" i="10"/>
  <c r="V6" i="10"/>
  <c r="Z11" i="10"/>
  <c r="Z21" i="10"/>
  <c r="V27" i="10"/>
  <c r="V28" i="10"/>
  <c r="Z10" i="10"/>
  <c r="Z29" i="10"/>
  <c r="V30" i="10"/>
  <c r="V25" i="10"/>
  <c r="V23" i="10"/>
  <c r="V31" i="10"/>
  <c r="Z10" i="13"/>
  <c r="V11" i="13"/>
  <c r="Z24" i="13"/>
  <c r="V18" i="13"/>
  <c r="V10" i="13"/>
  <c r="Z35" i="13"/>
  <c r="V19" i="13"/>
  <c r="V39" i="13"/>
  <c r="Z7" i="13"/>
  <c r="Z29" i="13"/>
  <c r="V7" i="13"/>
  <c r="Z28" i="13"/>
  <c r="Z15" i="13"/>
  <c r="Z8" i="13"/>
  <c r="Z5" i="13"/>
  <c r="Z18" i="13"/>
  <c r="V20" i="13"/>
  <c r="V14" i="13"/>
  <c r="Z32" i="13"/>
  <c r="V28" i="13"/>
  <c r="V31" i="13"/>
  <c r="Z20" i="10"/>
  <c r="V22" i="10"/>
  <c r="V13" i="10"/>
  <c r="Z8" i="10"/>
  <c r="V24" i="10"/>
  <c r="V15" i="10"/>
  <c r="V5" i="10"/>
  <c r="V14" i="10"/>
  <c r="V16" i="10"/>
  <c r="Z5" i="10"/>
  <c r="Z6" i="10"/>
  <c r="Z30" i="10"/>
  <c r="V8" i="10"/>
  <c r="V18" i="10"/>
  <c r="Z6" i="13"/>
  <c r="V22" i="13"/>
  <c r="V29" i="13"/>
  <c r="V15" i="13"/>
  <c r="Z27" i="13"/>
  <c r="V37" i="13"/>
  <c r="Z21" i="13"/>
  <c r="Z13" i="13"/>
  <c r="Z30" i="13"/>
  <c r="V35" i="13"/>
  <c r="Z31" i="13"/>
  <c r="AJ12" i="13" l="1"/>
  <c r="AK12" i="10"/>
  <c r="AJ13" i="10"/>
  <c r="AI13" i="10"/>
  <c r="AH14" i="10"/>
  <c r="AJ13" i="13"/>
  <c r="AI13" i="13"/>
  <c r="AK12" i="13"/>
  <c r="AH14" i="13"/>
  <c r="S36" i="13"/>
  <c r="U36" i="13" s="1"/>
  <c r="T14" i="13"/>
  <c r="U14" i="13" s="1"/>
  <c r="S12" i="13"/>
  <c r="U12" i="13" s="1"/>
  <c r="T26" i="13"/>
  <c r="U26" i="13" s="1"/>
  <c r="T18" i="13"/>
  <c r="U18" i="13" s="1"/>
  <c r="T23" i="13"/>
  <c r="U23" i="13" s="1"/>
  <c r="T28" i="13"/>
  <c r="U28" i="13" s="1"/>
  <c r="T17" i="13"/>
  <c r="U17" i="13" s="1"/>
  <c r="T7" i="13"/>
  <c r="U7" i="13" s="1"/>
  <c r="T10" i="13"/>
  <c r="U10" i="13" s="1"/>
  <c r="T20" i="13"/>
  <c r="U20" i="13" s="1"/>
  <c r="T21" i="13"/>
  <c r="U21" i="13" s="1"/>
  <c r="T29" i="13"/>
  <c r="U29" i="13" s="1"/>
  <c r="S30" i="13"/>
  <c r="U30" i="13" s="1"/>
  <c r="T33" i="13"/>
  <c r="U33" i="13" s="1"/>
  <c r="S38" i="13"/>
  <c r="U38" i="13" s="1"/>
  <c r="S8" i="13"/>
  <c r="U8" i="13" s="1"/>
  <c r="T31" i="13"/>
  <c r="U31" i="13" s="1"/>
  <c r="T34" i="13"/>
  <c r="U34" i="13" s="1"/>
  <c r="T39" i="13"/>
  <c r="U39" i="13" s="1"/>
  <c r="S15" i="10"/>
  <c r="U15" i="10" s="1"/>
  <c r="S22" i="10"/>
  <c r="U22" i="10" s="1"/>
  <c r="T18" i="10"/>
  <c r="U18" i="10" s="1"/>
  <c r="T25" i="10"/>
  <c r="U25" i="10" s="1"/>
  <c r="S31" i="10"/>
  <c r="U31" i="10" s="1"/>
  <c r="T9" i="10"/>
  <c r="U9" i="10" s="1"/>
  <c r="S8" i="10"/>
  <c r="U8" i="10" s="1"/>
  <c r="S19" i="10"/>
  <c r="U19" i="10" s="1"/>
  <c r="S23" i="10"/>
  <c r="U23" i="10" s="1"/>
  <c r="T5" i="10"/>
  <c r="U5" i="10" s="1"/>
  <c r="S21" i="10"/>
  <c r="U21" i="10" s="1"/>
  <c r="S30" i="10"/>
  <c r="U30" i="10" s="1"/>
  <c r="T28" i="10"/>
  <c r="U28" i="10" s="1"/>
  <c r="S32" i="10"/>
  <c r="U32" i="10" s="1"/>
  <c r="S6" i="10"/>
  <c r="U6" i="10" s="1"/>
  <c r="AA36" i="13"/>
  <c r="AB36" i="13" s="1"/>
  <c r="AA5" i="13"/>
  <c r="AB5" i="13" s="1"/>
  <c r="AA18" i="13"/>
  <c r="AB18" i="13" s="1"/>
  <c r="W27" i="13"/>
  <c r="X27" i="13" s="1"/>
  <c r="W8" i="13"/>
  <c r="X8" i="13" s="1"/>
  <c r="AA29" i="13"/>
  <c r="AB29" i="13" s="1"/>
  <c r="AC29" i="13" s="1"/>
  <c r="W32" i="13"/>
  <c r="X32" i="13" s="1"/>
  <c r="W21" i="13"/>
  <c r="X21" i="13" s="1"/>
  <c r="W5" i="13"/>
  <c r="X5" i="13" s="1"/>
  <c r="AA7" i="13"/>
  <c r="AB7" i="13" s="1"/>
  <c r="AC7" i="13" s="1"/>
  <c r="W11" i="13"/>
  <c r="X11" i="13" s="1"/>
  <c r="W13" i="13"/>
  <c r="X13" i="13" s="1"/>
  <c r="W15" i="13"/>
  <c r="X15" i="13" s="1"/>
  <c r="W19" i="13"/>
  <c r="X19" i="13" s="1"/>
  <c r="AA21" i="13"/>
  <c r="AB21" i="13" s="1"/>
  <c r="W24" i="13"/>
  <c r="X24" i="13" s="1"/>
  <c r="AA28" i="13"/>
  <c r="AB28" i="13" s="1"/>
  <c r="AA31" i="13"/>
  <c r="AB31" i="13" s="1"/>
  <c r="W34" i="13"/>
  <c r="X34" i="13" s="1"/>
  <c r="W37" i="13"/>
  <c r="X37" i="13" s="1"/>
  <c r="AA6" i="13"/>
  <c r="AB6" i="13" s="1"/>
  <c r="W7" i="13"/>
  <c r="X7" i="13" s="1"/>
  <c r="Y7" i="13" s="1"/>
  <c r="AA9" i="13"/>
  <c r="AB9" i="13" s="1"/>
  <c r="W16" i="13"/>
  <c r="X16" i="13" s="1"/>
  <c r="AA20" i="13"/>
  <c r="AB20" i="13" s="1"/>
  <c r="AA23" i="13"/>
  <c r="AB23" i="13" s="1"/>
  <c r="W26" i="13"/>
  <c r="X26" i="13" s="1"/>
  <c r="AA34" i="13"/>
  <c r="AB34" i="13" s="1"/>
  <c r="AA37" i="13"/>
  <c r="AB37" i="13" s="1"/>
  <c r="W6" i="13"/>
  <c r="X6" i="13" s="1"/>
  <c r="AA8" i="13"/>
  <c r="AB8" i="13" s="1"/>
  <c r="W9" i="13"/>
  <c r="X9" i="13" s="1"/>
  <c r="AA11" i="13"/>
  <c r="AB11" i="13" s="1"/>
  <c r="AA13" i="13"/>
  <c r="AB13" i="13" s="1"/>
  <c r="AA15" i="13"/>
  <c r="AB15" i="13" s="1"/>
  <c r="W18" i="13"/>
  <c r="X18" i="13" s="1"/>
  <c r="AA26" i="13"/>
  <c r="AB26" i="13" s="1"/>
  <c r="W29" i="13"/>
  <c r="X29" i="13" s="1"/>
  <c r="Y29" i="13" s="1"/>
  <c r="W35" i="13"/>
  <c r="X35" i="13" s="1"/>
  <c r="AA39" i="13"/>
  <c r="AB39" i="13" s="1"/>
  <c r="AC39" i="13" s="1"/>
  <c r="AA17" i="13"/>
  <c r="AB17" i="13" s="1"/>
  <c r="W20" i="13"/>
  <c r="X20" i="13" s="1"/>
  <c r="AA22" i="13"/>
  <c r="AB22" i="13" s="1"/>
  <c r="W23" i="13"/>
  <c r="X23" i="13" s="1"/>
  <c r="Y23" i="13" s="1"/>
  <c r="AA25" i="13"/>
  <c r="AB25" i="13" s="1"/>
  <c r="W28" i="13"/>
  <c r="X28" i="13" s="1"/>
  <c r="AA30" i="13"/>
  <c r="AB30" i="13" s="1"/>
  <c r="W31" i="13"/>
  <c r="X31" i="13" s="1"/>
  <c r="AA33" i="13"/>
  <c r="AB33" i="13" s="1"/>
  <c r="W36" i="13"/>
  <c r="X36" i="13" s="1"/>
  <c r="AA38" i="13"/>
  <c r="AB38" i="13" s="1"/>
  <c r="W39" i="13"/>
  <c r="X39" i="13" s="1"/>
  <c r="W10" i="13"/>
  <c r="X10" i="13" s="1"/>
  <c r="AA10" i="13"/>
  <c r="AB10" i="13" s="1"/>
  <c r="W12" i="13"/>
  <c r="X12" i="13" s="1"/>
  <c r="AA12" i="13"/>
  <c r="AB12" i="13" s="1"/>
  <c r="W14" i="13"/>
  <c r="X14" i="13" s="1"/>
  <c r="AA14" i="13"/>
  <c r="AB14" i="13" s="1"/>
  <c r="AA16" i="13"/>
  <c r="AB16" i="13" s="1"/>
  <c r="W17" i="13"/>
  <c r="X17" i="13" s="1"/>
  <c r="AA19" i="13"/>
  <c r="AB19" i="13" s="1"/>
  <c r="W22" i="13"/>
  <c r="X22" i="13" s="1"/>
  <c r="AA24" i="13"/>
  <c r="AB24" i="13" s="1"/>
  <c r="W25" i="13"/>
  <c r="X25" i="13" s="1"/>
  <c r="AA27" i="13"/>
  <c r="AB27" i="13" s="1"/>
  <c r="W30" i="13"/>
  <c r="X30" i="13" s="1"/>
  <c r="AA32" i="13"/>
  <c r="AB32" i="13" s="1"/>
  <c r="W33" i="13"/>
  <c r="X33" i="13" s="1"/>
  <c r="AA35" i="13"/>
  <c r="AB35" i="13" s="1"/>
  <c r="W38" i="13"/>
  <c r="X38" i="13" s="1"/>
  <c r="S19" i="13"/>
  <c r="T19" i="13"/>
  <c r="T12" i="10"/>
  <c r="S12" i="10"/>
  <c r="S9" i="13"/>
  <c r="T9" i="13"/>
  <c r="T22" i="13"/>
  <c r="S22" i="13"/>
  <c r="S4" i="10"/>
  <c r="T4" i="10"/>
  <c r="T14" i="10"/>
  <c r="S14" i="10"/>
  <c r="T24" i="13"/>
  <c r="S24" i="13"/>
  <c r="T10" i="10"/>
  <c r="S10" i="10"/>
  <c r="T6" i="13"/>
  <c r="S6" i="13"/>
  <c r="T16" i="13"/>
  <c r="S16" i="13"/>
  <c r="S35" i="13"/>
  <c r="T35" i="13"/>
  <c r="S24" i="10"/>
  <c r="U24" i="10" s="1"/>
  <c r="T13" i="10"/>
  <c r="U13" i="10" s="1"/>
  <c r="T5" i="13"/>
  <c r="U5" i="13" s="1"/>
  <c r="T11" i="13"/>
  <c r="S11" i="13"/>
  <c r="T13" i="13"/>
  <c r="S13" i="13"/>
  <c r="T15" i="13"/>
  <c r="S15" i="13"/>
  <c r="T25" i="13"/>
  <c r="U25" i="13" s="1"/>
  <c r="S27" i="13"/>
  <c r="T27" i="13"/>
  <c r="T32" i="13"/>
  <c r="S32" i="13"/>
  <c r="T37" i="13"/>
  <c r="U37" i="13" s="1"/>
  <c r="AA19" i="10"/>
  <c r="AB19" i="10" s="1"/>
  <c r="W11" i="10"/>
  <c r="AA12" i="10"/>
  <c r="AB12" i="10" s="1"/>
  <c r="AA16" i="10"/>
  <c r="AB16" i="10" s="1"/>
  <c r="AA11" i="10"/>
  <c r="AB11" i="10" s="1"/>
  <c r="W19" i="10"/>
  <c r="X19" i="10" s="1"/>
  <c r="W12" i="10"/>
  <c r="AA24" i="10"/>
  <c r="AB24" i="10" s="1"/>
  <c r="W7" i="10"/>
  <c r="X7" i="10" s="1"/>
  <c r="AA4" i="10"/>
  <c r="AB4" i="10" s="1"/>
  <c r="W22" i="10"/>
  <c r="AA22" i="10"/>
  <c r="AB22" i="10" s="1"/>
  <c r="W25" i="10"/>
  <c r="X25" i="10" s="1"/>
  <c r="AA25" i="10"/>
  <c r="AB25" i="10" s="1"/>
  <c r="W14" i="10"/>
  <c r="AA14" i="10"/>
  <c r="AB14" i="10" s="1"/>
  <c r="AA29" i="10"/>
  <c r="AB29" i="10" s="1"/>
  <c r="W10" i="10"/>
  <c r="W24" i="10"/>
  <c r="AA9" i="10"/>
  <c r="AB9" i="10" s="1"/>
  <c r="AA13" i="10"/>
  <c r="AB13" i="10" s="1"/>
  <c r="W29" i="10"/>
  <c r="W16" i="10"/>
  <c r="AA7" i="10"/>
  <c r="AB7" i="10" s="1"/>
  <c r="AC7" i="10" s="1"/>
  <c r="W30" i="10"/>
  <c r="W27" i="10"/>
  <c r="W15" i="10"/>
  <c r="X15" i="10" s="1"/>
  <c r="AA15" i="10"/>
  <c r="AB15" i="10" s="1"/>
  <c r="W8" i="10"/>
  <c r="AA8" i="10"/>
  <c r="AB8" i="10" s="1"/>
  <c r="W31" i="10"/>
  <c r="X31" i="10" s="1"/>
  <c r="AA31" i="10"/>
  <c r="AB31" i="10" s="1"/>
  <c r="W18" i="10"/>
  <c r="X18" i="10" s="1"/>
  <c r="AA18" i="10"/>
  <c r="AB18" i="10" s="1"/>
  <c r="W6" i="10"/>
  <c r="AA6" i="10"/>
  <c r="AB6" i="10" s="1"/>
  <c r="W21" i="10"/>
  <c r="AA21" i="10"/>
  <c r="AB21" i="10" s="1"/>
  <c r="W5" i="10"/>
  <c r="X5" i="10" s="1"/>
  <c r="AA5" i="10"/>
  <c r="AB5" i="10" s="1"/>
  <c r="W9" i="10"/>
  <c r="X9" i="10" s="1"/>
  <c r="W13" i="10"/>
  <c r="X13" i="10" s="1"/>
  <c r="AA28" i="10"/>
  <c r="AB28" i="10" s="1"/>
  <c r="AA32" i="10"/>
  <c r="AB32" i="10" s="1"/>
  <c r="W4" i="10"/>
  <c r="AA17" i="10"/>
  <c r="AB17" i="10" s="1"/>
  <c r="W28" i="10"/>
  <c r="X28" i="10" s="1"/>
  <c r="AA20" i="10"/>
  <c r="AB20" i="10" s="1"/>
  <c r="W32" i="10"/>
  <c r="AA27" i="10"/>
  <c r="AB27" i="10" s="1"/>
  <c r="W23" i="10"/>
  <c r="X23" i="10" s="1"/>
  <c r="AA23" i="10"/>
  <c r="AB23" i="10" s="1"/>
  <c r="AA30" i="10"/>
  <c r="AB30" i="10" s="1"/>
  <c r="W17" i="10"/>
  <c r="AA10" i="10"/>
  <c r="AB10" i="10" s="1"/>
  <c r="W20" i="10"/>
  <c r="T29" i="10"/>
  <c r="S29" i="10"/>
  <c r="T17" i="10"/>
  <c r="S17" i="10"/>
  <c r="S11" i="10"/>
  <c r="U11" i="10" s="1"/>
  <c r="AC11" i="10" s="1"/>
  <c r="T16" i="10"/>
  <c r="S16" i="10"/>
  <c r="S20" i="10"/>
  <c r="T20" i="10"/>
  <c r="T27" i="10"/>
  <c r="S27" i="10"/>
  <c r="X6" i="10" l="1"/>
  <c r="AC23" i="13"/>
  <c r="Y28" i="10"/>
  <c r="Y5" i="10"/>
  <c r="X22" i="10"/>
  <c r="Y22" i="10" s="1"/>
  <c r="AJ14" i="10"/>
  <c r="AI14" i="10"/>
  <c r="AC24" i="10"/>
  <c r="AC32" i="10"/>
  <c r="AC15" i="10"/>
  <c r="AK13" i="10"/>
  <c r="Y9" i="10"/>
  <c r="AH15" i="10"/>
  <c r="U6" i="13"/>
  <c r="AK13" i="13"/>
  <c r="AJ14" i="13"/>
  <c r="AI14" i="13"/>
  <c r="Y39" i="13"/>
  <c r="Y36" i="13"/>
  <c r="AC36" i="13"/>
  <c r="AH15" i="13"/>
  <c r="AC33" i="13"/>
  <c r="AC20" i="13"/>
  <c r="Y14" i="13"/>
  <c r="Y33" i="13"/>
  <c r="Y31" i="13"/>
  <c r="AC14" i="13"/>
  <c r="Y20" i="13"/>
  <c r="AC31" i="13"/>
  <c r="Y34" i="13"/>
  <c r="Y21" i="13"/>
  <c r="AC17" i="13"/>
  <c r="AC18" i="13"/>
  <c r="AC21" i="13"/>
  <c r="Y17" i="13"/>
  <c r="Y18" i="13"/>
  <c r="AC12" i="13"/>
  <c r="AC34" i="13"/>
  <c r="U27" i="13"/>
  <c r="Y27" i="13" s="1"/>
  <c r="U13" i="13"/>
  <c r="Y13" i="13" s="1"/>
  <c r="Y12" i="13"/>
  <c r="AC8" i="10"/>
  <c r="X32" i="10"/>
  <c r="Y32" i="10" s="1"/>
  <c r="X8" i="10"/>
  <c r="Y8" i="10" s="1"/>
  <c r="AC28" i="10"/>
  <c r="AC5" i="10"/>
  <c r="AC18" i="10"/>
  <c r="AC6" i="10"/>
  <c r="AC30" i="10"/>
  <c r="AC23" i="10"/>
  <c r="AC31" i="10"/>
  <c r="X24" i="10"/>
  <c r="Y24" i="10" s="1"/>
  <c r="AC13" i="10"/>
  <c r="AC9" i="10"/>
  <c r="AC22" i="10"/>
  <c r="AC21" i="10"/>
  <c r="AC19" i="10"/>
  <c r="AC25" i="10"/>
  <c r="Y15" i="10"/>
  <c r="X10" i="10"/>
  <c r="AC8" i="13"/>
  <c r="Y8" i="13"/>
  <c r="U22" i="13"/>
  <c r="AC22" i="13" s="1"/>
  <c r="U9" i="13"/>
  <c r="Y9" i="13" s="1"/>
  <c r="Y19" i="10"/>
  <c r="X30" i="10"/>
  <c r="Y30" i="10" s="1"/>
  <c r="X14" i="10"/>
  <c r="Y23" i="10"/>
  <c r="Y13" i="10"/>
  <c r="U12" i="10"/>
  <c r="AC12" i="10" s="1"/>
  <c r="X21" i="10"/>
  <c r="Y21" i="10" s="1"/>
  <c r="Y31" i="10"/>
  <c r="Y6" i="10"/>
  <c r="U10" i="10"/>
  <c r="U16" i="10"/>
  <c r="AC16" i="10" s="1"/>
  <c r="Y25" i="10"/>
  <c r="X4" i="10"/>
  <c r="U32" i="13"/>
  <c r="U16" i="13"/>
  <c r="U24" i="13"/>
  <c r="U20" i="10"/>
  <c r="AC20" i="10" s="1"/>
  <c r="X12" i="10"/>
  <c r="Y12" i="10" s="1"/>
  <c r="AC30" i="13"/>
  <c r="Y30" i="13"/>
  <c r="AC25" i="13"/>
  <c r="Y25" i="13"/>
  <c r="U15" i="13"/>
  <c r="U11" i="13"/>
  <c r="AC38" i="13"/>
  <c r="Y38" i="13"/>
  <c r="AC10" i="13"/>
  <c r="Y10" i="13"/>
  <c r="U14" i="10"/>
  <c r="AC14" i="10" s="1"/>
  <c r="Y18" i="10"/>
  <c r="Y37" i="13"/>
  <c r="AC37" i="13"/>
  <c r="AC28" i="13"/>
  <c r="Y28" i="13"/>
  <c r="Y5" i="13"/>
  <c r="AC5" i="13"/>
  <c r="U35" i="13"/>
  <c r="AC26" i="13"/>
  <c r="Y26" i="13"/>
  <c r="U4" i="10"/>
  <c r="AC4" i="10" s="1"/>
  <c r="U19" i="13"/>
  <c r="Y7" i="10"/>
  <c r="X17" i="10"/>
  <c r="U17" i="10"/>
  <c r="AC17" i="10" s="1"/>
  <c r="U29" i="10"/>
  <c r="AC29" i="10" s="1"/>
  <c r="X27" i="10"/>
  <c r="X11" i="10"/>
  <c r="Y11" i="10" s="1"/>
  <c r="U27" i="10"/>
  <c r="AC27" i="10" s="1"/>
  <c r="X20" i="10"/>
  <c r="X16" i="10"/>
  <c r="X29" i="10"/>
  <c r="Q4" i="13"/>
  <c r="R4" i="13"/>
  <c r="S4" i="13" s="1"/>
  <c r="V4" i="13"/>
  <c r="Z4" i="13"/>
  <c r="AK14" i="10" l="1"/>
  <c r="AI15" i="10"/>
  <c r="AJ15" i="10"/>
  <c r="AH16" i="10"/>
  <c r="AK14" i="13"/>
  <c r="AJ15" i="13"/>
  <c r="AI15" i="13"/>
  <c r="AH16" i="13"/>
  <c r="Y22" i="13"/>
  <c r="AC13" i="13"/>
  <c r="AC27" i="13"/>
  <c r="AC9" i="13"/>
  <c r="Y10" i="10"/>
  <c r="AC10" i="10"/>
  <c r="Y16" i="10"/>
  <c r="Y14" i="10"/>
  <c r="T4" i="13"/>
  <c r="U4" i="13" s="1"/>
  <c r="Y20" i="10"/>
  <c r="Y19" i="13"/>
  <c r="AC19" i="13"/>
  <c r="AC15" i="13"/>
  <c r="Y15" i="13"/>
  <c r="AC16" i="13"/>
  <c r="Y16" i="13"/>
  <c r="AC24" i="13"/>
  <c r="Y24" i="13"/>
  <c r="Y11" i="13"/>
  <c r="AC11" i="13"/>
  <c r="AC6" i="13"/>
  <c r="Y6" i="13"/>
  <c r="Y4" i="10"/>
  <c r="Y35" i="13"/>
  <c r="AC35" i="13"/>
  <c r="AC32" i="13"/>
  <c r="Y32" i="13"/>
  <c r="Y27" i="10"/>
  <c r="Y29" i="10"/>
  <c r="Y17" i="10"/>
  <c r="W4" i="13"/>
  <c r="X4" i="13" s="1"/>
  <c r="AA4" i="13"/>
  <c r="AB4" i="13" s="1"/>
  <c r="R26" i="10"/>
  <c r="T26" i="10" s="1"/>
  <c r="AI16" i="10" l="1"/>
  <c r="AJ16" i="10"/>
  <c r="AK15" i="10"/>
  <c r="AH17" i="10"/>
  <c r="AK15" i="13"/>
  <c r="AJ16" i="13"/>
  <c r="AI16" i="13"/>
  <c r="AH17" i="13"/>
  <c r="Y4" i="13"/>
  <c r="AC4" i="13"/>
  <c r="S26" i="10"/>
  <c r="U26" i="10" s="1"/>
  <c r="U121" i="11"/>
  <c r="O121" i="11"/>
  <c r="P121" i="11" s="1"/>
  <c r="U120" i="11"/>
  <c r="P120" i="11"/>
  <c r="O120" i="11"/>
  <c r="U119" i="11"/>
  <c r="O119" i="11"/>
  <c r="P119" i="11" s="1"/>
  <c r="U118" i="11"/>
  <c r="O118" i="11"/>
  <c r="P118" i="11" s="1"/>
  <c r="U117" i="11"/>
  <c r="O117" i="11"/>
  <c r="P117" i="11" s="1"/>
  <c r="U116" i="11"/>
  <c r="P116" i="11"/>
  <c r="O116" i="11"/>
  <c r="U115" i="11"/>
  <c r="O115" i="11"/>
  <c r="P115" i="11" s="1"/>
  <c r="U114" i="11"/>
  <c r="O114" i="11"/>
  <c r="P114" i="11" s="1"/>
  <c r="U113" i="11"/>
  <c r="P113" i="11"/>
  <c r="O113" i="11"/>
  <c r="U112" i="11"/>
  <c r="O112" i="11"/>
  <c r="P112" i="11" s="1"/>
  <c r="U111" i="11"/>
  <c r="O111" i="11"/>
  <c r="P111" i="11" s="1"/>
  <c r="U110" i="11"/>
  <c r="O110" i="11"/>
  <c r="P110" i="11" s="1"/>
  <c r="U109" i="11"/>
  <c r="P109" i="11"/>
  <c r="O109" i="11"/>
  <c r="U108" i="11"/>
  <c r="O108" i="11"/>
  <c r="P108" i="11" s="1"/>
  <c r="U107" i="11"/>
  <c r="P107" i="11"/>
  <c r="O107" i="11"/>
  <c r="U106" i="11"/>
  <c r="O106" i="11"/>
  <c r="P106" i="11" s="1"/>
  <c r="U105" i="11"/>
  <c r="O105" i="11"/>
  <c r="P105" i="11" s="1"/>
  <c r="U104" i="11"/>
  <c r="P104" i="11"/>
  <c r="O104" i="11"/>
  <c r="U103" i="11"/>
  <c r="O103" i="11"/>
  <c r="P103" i="11" s="1"/>
  <c r="U102" i="11"/>
  <c r="O102" i="11"/>
  <c r="P102" i="11" s="1"/>
  <c r="U101" i="11"/>
  <c r="O101" i="11"/>
  <c r="P101" i="11" s="1"/>
  <c r="U100" i="11"/>
  <c r="O100" i="11"/>
  <c r="P100" i="11" s="1"/>
  <c r="U99" i="11"/>
  <c r="O99" i="11"/>
  <c r="P99" i="11" s="1"/>
  <c r="U98" i="11"/>
  <c r="O98" i="11"/>
  <c r="P98" i="11" s="1"/>
  <c r="U97" i="11"/>
  <c r="P97" i="11"/>
  <c r="O97" i="11"/>
  <c r="U96" i="11"/>
  <c r="O96" i="11"/>
  <c r="P96" i="11" s="1"/>
  <c r="U95" i="11"/>
  <c r="O95" i="11"/>
  <c r="P95" i="11" s="1"/>
  <c r="U94" i="11"/>
  <c r="O94" i="11"/>
  <c r="P94" i="11" s="1"/>
  <c r="U93" i="11"/>
  <c r="P93" i="11"/>
  <c r="O93" i="11"/>
  <c r="U92" i="11"/>
  <c r="O92" i="11"/>
  <c r="P92" i="11" s="1"/>
  <c r="U91" i="11"/>
  <c r="P91" i="11"/>
  <c r="O91" i="11"/>
  <c r="U90" i="11"/>
  <c r="O90" i="11"/>
  <c r="P90" i="11" s="1"/>
  <c r="U89" i="11"/>
  <c r="O89" i="11"/>
  <c r="P89" i="11" s="1"/>
  <c r="U88" i="11"/>
  <c r="P88" i="11"/>
  <c r="O88" i="11"/>
  <c r="U87" i="11"/>
  <c r="O87" i="11"/>
  <c r="P87" i="11" s="1"/>
  <c r="U86" i="11"/>
  <c r="O86" i="11"/>
  <c r="P86" i="11" s="1"/>
  <c r="U85" i="11"/>
  <c r="O85" i="11"/>
  <c r="P85" i="11" s="1"/>
  <c r="U84" i="11"/>
  <c r="P84" i="11"/>
  <c r="O84" i="11"/>
  <c r="U83" i="11"/>
  <c r="O83" i="11"/>
  <c r="P83" i="11" s="1"/>
  <c r="U82" i="11"/>
  <c r="O82" i="11"/>
  <c r="P82" i="11" s="1"/>
  <c r="U81" i="11"/>
  <c r="P81" i="11"/>
  <c r="O81" i="11"/>
  <c r="U80" i="11"/>
  <c r="O80" i="11"/>
  <c r="P80" i="11" s="1"/>
  <c r="U79" i="11"/>
  <c r="O79" i="11"/>
  <c r="P79" i="11" s="1"/>
  <c r="U78" i="11"/>
  <c r="O78" i="11"/>
  <c r="P78" i="11" s="1"/>
  <c r="U77" i="11"/>
  <c r="P77" i="11"/>
  <c r="O77" i="11"/>
  <c r="U76" i="11"/>
  <c r="O76" i="11"/>
  <c r="P76" i="11" s="1"/>
  <c r="U75" i="11"/>
  <c r="P75" i="11"/>
  <c r="O75" i="11"/>
  <c r="U74" i="11"/>
  <c r="O74" i="11"/>
  <c r="P74" i="11" s="1"/>
  <c r="U73" i="11"/>
  <c r="O73" i="11"/>
  <c r="P73" i="11" s="1"/>
  <c r="U72" i="11"/>
  <c r="P72" i="11"/>
  <c r="O72" i="11"/>
  <c r="U71" i="11"/>
  <c r="O71" i="11"/>
  <c r="P71" i="11" s="1"/>
  <c r="U70" i="11"/>
  <c r="O70" i="11"/>
  <c r="P70" i="11" s="1"/>
  <c r="U69" i="11"/>
  <c r="O69" i="11"/>
  <c r="P69" i="11" s="1"/>
  <c r="U68" i="11"/>
  <c r="O68" i="11"/>
  <c r="P68" i="11" s="1"/>
  <c r="U67" i="11"/>
  <c r="O67" i="11"/>
  <c r="P67" i="11" s="1"/>
  <c r="U66" i="11"/>
  <c r="O66" i="11"/>
  <c r="P66" i="11" s="1"/>
  <c r="U65" i="11"/>
  <c r="O65" i="11"/>
  <c r="P65" i="11" s="1"/>
  <c r="U64" i="11"/>
  <c r="O64" i="11"/>
  <c r="P64" i="11" s="1"/>
  <c r="U63" i="11"/>
  <c r="O63" i="11"/>
  <c r="P63" i="11" s="1"/>
  <c r="U62" i="11"/>
  <c r="O62" i="11"/>
  <c r="P62" i="11" s="1"/>
  <c r="U61" i="11"/>
  <c r="P61" i="11"/>
  <c r="O61" i="11"/>
  <c r="U60" i="11"/>
  <c r="O60" i="11"/>
  <c r="P60" i="11" s="1"/>
  <c r="U59" i="11"/>
  <c r="P59" i="11"/>
  <c r="O59" i="11"/>
  <c r="U58" i="11"/>
  <c r="O58" i="11"/>
  <c r="P58" i="11" s="1"/>
  <c r="U57" i="11"/>
  <c r="O57" i="11"/>
  <c r="P57" i="11" s="1"/>
  <c r="U56" i="11"/>
  <c r="O56" i="11"/>
  <c r="P56" i="11" s="1"/>
  <c r="U55" i="11"/>
  <c r="O55" i="11"/>
  <c r="P55" i="11" s="1"/>
  <c r="U54" i="11"/>
  <c r="O54" i="11"/>
  <c r="P54" i="11" s="1"/>
  <c r="U53" i="11"/>
  <c r="P53" i="11"/>
  <c r="O53" i="11"/>
  <c r="U52" i="11"/>
  <c r="O52" i="11"/>
  <c r="P52" i="11" s="1"/>
  <c r="U51" i="11"/>
  <c r="P51" i="11"/>
  <c r="O51" i="11"/>
  <c r="U50" i="11"/>
  <c r="O50" i="11"/>
  <c r="P50" i="11" s="1"/>
  <c r="U49" i="11"/>
  <c r="O49" i="11"/>
  <c r="P49" i="11" s="1"/>
  <c r="U48" i="11"/>
  <c r="O48" i="11"/>
  <c r="P48" i="11" s="1"/>
  <c r="U47" i="11"/>
  <c r="O47" i="11"/>
  <c r="P47" i="11" s="1"/>
  <c r="U46" i="11"/>
  <c r="P46" i="11"/>
  <c r="O46" i="11"/>
  <c r="U45" i="11"/>
  <c r="O45" i="11"/>
  <c r="P45" i="11" s="1"/>
  <c r="U44" i="11"/>
  <c r="O44" i="11"/>
  <c r="P44" i="11" s="1"/>
  <c r="U43" i="11"/>
  <c r="O43" i="11"/>
  <c r="P43" i="11" s="1"/>
  <c r="U42" i="11"/>
  <c r="P42" i="11"/>
  <c r="O42" i="11"/>
  <c r="U41" i="11"/>
  <c r="O41" i="11"/>
  <c r="P41" i="11" s="1"/>
  <c r="U40" i="11"/>
  <c r="O40" i="11"/>
  <c r="P40" i="11" s="1"/>
  <c r="U39" i="11"/>
  <c r="O39" i="11"/>
  <c r="P39" i="11" s="1"/>
  <c r="U38" i="11"/>
  <c r="O38" i="11"/>
  <c r="P38" i="11" s="1"/>
  <c r="U37" i="11"/>
  <c r="O37" i="11"/>
  <c r="P37" i="11" s="1"/>
  <c r="U36" i="11"/>
  <c r="O36" i="11"/>
  <c r="P36" i="11" s="1"/>
  <c r="U35" i="11"/>
  <c r="O35" i="11"/>
  <c r="P35" i="11" s="1"/>
  <c r="U34" i="11"/>
  <c r="P34" i="11"/>
  <c r="O34" i="11"/>
  <c r="U33" i="11"/>
  <c r="O33" i="11"/>
  <c r="P33" i="11" s="1"/>
  <c r="U32" i="11"/>
  <c r="O32" i="11"/>
  <c r="P32" i="11" s="1"/>
  <c r="U31" i="11"/>
  <c r="O31" i="11"/>
  <c r="P31" i="11" s="1"/>
  <c r="U30" i="11"/>
  <c r="P30" i="11"/>
  <c r="O30" i="11"/>
  <c r="U29" i="11"/>
  <c r="O29" i="11"/>
  <c r="P29" i="11" s="1"/>
  <c r="U28" i="11"/>
  <c r="O28" i="11"/>
  <c r="P28" i="11" s="1"/>
  <c r="U27" i="11"/>
  <c r="O27" i="11"/>
  <c r="P27" i="11" s="1"/>
  <c r="U26" i="11"/>
  <c r="P26" i="11"/>
  <c r="O26" i="11"/>
  <c r="U25" i="11"/>
  <c r="O25" i="11"/>
  <c r="P25" i="11" s="1"/>
  <c r="U24" i="11"/>
  <c r="O24" i="11"/>
  <c r="P24" i="11" s="1"/>
  <c r="U23" i="11"/>
  <c r="O23" i="11"/>
  <c r="P23" i="11" s="1"/>
  <c r="U22" i="11"/>
  <c r="O22" i="11"/>
  <c r="P22" i="11" s="1"/>
  <c r="U21" i="11"/>
  <c r="O21" i="11"/>
  <c r="P21" i="11" s="1"/>
  <c r="U20" i="11"/>
  <c r="O20" i="11"/>
  <c r="P20" i="11" s="1"/>
  <c r="U19" i="11"/>
  <c r="O19" i="11"/>
  <c r="P19" i="11" s="1"/>
  <c r="U18" i="11"/>
  <c r="P18" i="11"/>
  <c r="O18" i="11"/>
  <c r="U17" i="11"/>
  <c r="O17" i="11"/>
  <c r="P17" i="11" s="1"/>
  <c r="U16" i="11"/>
  <c r="O16" i="11"/>
  <c r="P16" i="11" s="1"/>
  <c r="U15" i="11"/>
  <c r="O15" i="11"/>
  <c r="P15" i="11" s="1"/>
  <c r="U14" i="11"/>
  <c r="P14" i="11"/>
  <c r="O14" i="11"/>
  <c r="U13" i="11"/>
  <c r="O13" i="11"/>
  <c r="P13" i="11" s="1"/>
  <c r="U12" i="11"/>
  <c r="O12" i="11"/>
  <c r="P12" i="11" s="1"/>
  <c r="U11" i="11"/>
  <c r="O11" i="11"/>
  <c r="P11" i="11" s="1"/>
  <c r="U10" i="11"/>
  <c r="O10" i="11"/>
  <c r="P10" i="11" s="1"/>
  <c r="U9" i="11"/>
  <c r="P9" i="11"/>
  <c r="O9" i="11"/>
  <c r="U8" i="11"/>
  <c r="O8" i="11"/>
  <c r="P8" i="11" s="1"/>
  <c r="U7" i="11"/>
  <c r="O7" i="11"/>
  <c r="P7" i="11" s="1"/>
  <c r="U6" i="11"/>
  <c r="O6" i="11"/>
  <c r="P6" i="11" s="1"/>
  <c r="U5" i="11"/>
  <c r="P5" i="11"/>
  <c r="O5" i="11"/>
  <c r="U4" i="11"/>
  <c r="O4" i="11"/>
  <c r="P4" i="11" s="1"/>
  <c r="Q26" i="10"/>
  <c r="R63" i="11"/>
  <c r="R47" i="11"/>
  <c r="R32" i="11"/>
  <c r="R82" i="11"/>
  <c r="R80" i="11"/>
  <c r="R68" i="11"/>
  <c r="R40" i="11"/>
  <c r="R90" i="11"/>
  <c r="R102" i="11"/>
  <c r="R89" i="11"/>
  <c r="R108" i="11"/>
  <c r="R31" i="11"/>
  <c r="R20" i="11"/>
  <c r="R53" i="11"/>
  <c r="R81" i="11"/>
  <c r="R52" i="11"/>
  <c r="R10" i="11"/>
  <c r="R7" i="11"/>
  <c r="R114" i="11"/>
  <c r="R95" i="11"/>
  <c r="R105" i="11"/>
  <c r="R66" i="11"/>
  <c r="R17" i="11"/>
  <c r="R8" i="11"/>
  <c r="R100" i="11"/>
  <c r="R23" i="11"/>
  <c r="R118" i="11"/>
  <c r="R73" i="11"/>
  <c r="R11" i="11"/>
  <c r="R109" i="11"/>
  <c r="R50" i="11"/>
  <c r="R42" i="11"/>
  <c r="Z26" i="10"/>
  <c r="R60" i="11"/>
  <c r="R24" i="11"/>
  <c r="R75" i="11"/>
  <c r="R70" i="11"/>
  <c r="R86" i="11"/>
  <c r="R45" i="11"/>
  <c r="R55" i="11"/>
  <c r="R85" i="11"/>
  <c r="R18" i="11"/>
  <c r="R115" i="11"/>
  <c r="R110" i="11"/>
  <c r="R5" i="11"/>
  <c r="R120" i="11"/>
  <c r="R43" i="11"/>
  <c r="R19" i="11"/>
  <c r="R29" i="11"/>
  <c r="R28" i="11"/>
  <c r="R76" i="11"/>
  <c r="R67" i="11"/>
  <c r="R92" i="11"/>
  <c r="R15" i="11"/>
  <c r="R107" i="11"/>
  <c r="R34" i="11"/>
  <c r="R121" i="11"/>
  <c r="R94" i="11"/>
  <c r="R14" i="11"/>
  <c r="R74" i="11"/>
  <c r="R59" i="11"/>
  <c r="R30" i="11"/>
  <c r="R54" i="11"/>
  <c r="R101" i="11"/>
  <c r="R37" i="11"/>
  <c r="R44" i="11"/>
  <c r="R72" i="11"/>
  <c r="R48" i="11"/>
  <c r="R9" i="11"/>
  <c r="R69" i="11"/>
  <c r="R83" i="11"/>
  <c r="R96" i="11"/>
  <c r="R93" i="11"/>
  <c r="R35" i="11"/>
  <c r="R21" i="11"/>
  <c r="R12" i="11"/>
  <c r="R56" i="11"/>
  <c r="R16" i="11"/>
  <c r="R119" i="11"/>
  <c r="R46" i="11"/>
  <c r="R112" i="11"/>
  <c r="R77" i="11"/>
  <c r="R84" i="11"/>
  <c r="R78" i="11"/>
  <c r="R26" i="11"/>
  <c r="R104" i="11"/>
  <c r="R27" i="11"/>
  <c r="R6" i="11"/>
  <c r="R13" i="11"/>
  <c r="R4" i="11"/>
  <c r="R79" i="11"/>
  <c r="R91" i="11"/>
  <c r="R87" i="11"/>
  <c r="R103" i="11"/>
  <c r="R65" i="11"/>
  <c r="V26" i="10"/>
  <c r="R58" i="11"/>
  <c r="R113" i="11"/>
  <c r="R49" i="11"/>
  <c r="R61" i="11"/>
  <c r="R71" i="11"/>
  <c r="R57" i="11"/>
  <c r="R25" i="11"/>
  <c r="R88" i="11"/>
  <c r="R62" i="11"/>
  <c r="R111" i="11"/>
  <c r="R38" i="11"/>
  <c r="R41" i="11"/>
  <c r="R33" i="11"/>
  <c r="R36" i="11"/>
  <c r="R116" i="11"/>
  <c r="R39" i="11"/>
  <c r="R98" i="11"/>
  <c r="R51" i="11"/>
  <c r="R106" i="11"/>
  <c r="R117" i="11"/>
  <c r="R99" i="11"/>
  <c r="R97" i="11"/>
  <c r="R22" i="11"/>
  <c r="R64" i="11"/>
  <c r="AK16" i="10" l="1"/>
  <c r="AJ17" i="10"/>
  <c r="AI17" i="10"/>
  <c r="AH18" i="10"/>
  <c r="AJ17" i="13"/>
  <c r="AI17" i="13"/>
  <c r="AK16" i="13"/>
  <c r="AH18" i="13"/>
  <c r="AA26" i="10"/>
  <c r="AB26" i="10" s="1"/>
  <c r="AC26" i="10" s="1"/>
  <c r="W26" i="10"/>
  <c r="X26" i="10" s="1"/>
  <c r="Q9" i="11"/>
  <c r="S9" i="11"/>
  <c r="T9" i="11" s="1"/>
  <c r="S4" i="11"/>
  <c r="T4" i="11" s="1"/>
  <c r="Q4" i="11"/>
  <c r="Q8" i="11"/>
  <c r="S8" i="11"/>
  <c r="T8" i="11" s="1"/>
  <c r="Q12" i="11"/>
  <c r="S12" i="11"/>
  <c r="T12" i="11" s="1"/>
  <c r="Q20" i="11"/>
  <c r="S20" i="11"/>
  <c r="T20" i="11" s="1"/>
  <c r="Q28" i="11"/>
  <c r="S28" i="11"/>
  <c r="T28" i="11" s="1"/>
  <c r="Q36" i="11"/>
  <c r="S36" i="11"/>
  <c r="T36" i="11" s="1"/>
  <c r="Q44" i="11"/>
  <c r="S44" i="11"/>
  <c r="T44" i="11" s="1"/>
  <c r="Q50" i="11"/>
  <c r="S50" i="11"/>
  <c r="T50" i="11" s="1"/>
  <c r="Q55" i="11"/>
  <c r="S55" i="11"/>
  <c r="T55" i="11" s="1"/>
  <c r="S61" i="11"/>
  <c r="T61" i="11" s="1"/>
  <c r="Q61" i="11"/>
  <c r="Q74" i="11"/>
  <c r="S74" i="11"/>
  <c r="T74" i="11" s="1"/>
  <c r="S93" i="11"/>
  <c r="T93" i="11" s="1"/>
  <c r="Q93" i="11"/>
  <c r="Q106" i="11"/>
  <c r="S106" i="11"/>
  <c r="T106" i="11" s="1"/>
  <c r="S18" i="11"/>
  <c r="T18" i="11" s="1"/>
  <c r="Q18" i="11"/>
  <c r="S26" i="11"/>
  <c r="T26" i="11" s="1"/>
  <c r="Q26" i="11"/>
  <c r="S7" i="11"/>
  <c r="T7" i="11" s="1"/>
  <c r="Q7" i="11"/>
  <c r="S14" i="11"/>
  <c r="T14" i="11" s="1"/>
  <c r="Q14" i="11"/>
  <c r="S22" i="11"/>
  <c r="T22" i="11" s="1"/>
  <c r="Q22" i="11"/>
  <c r="Q5" i="11"/>
  <c r="S5" i="11"/>
  <c r="T5" i="11" s="1"/>
  <c r="S6" i="11"/>
  <c r="T6" i="11" s="1"/>
  <c r="Q6" i="11"/>
  <c r="Q10" i="11"/>
  <c r="S10" i="11"/>
  <c r="T10" i="11" s="1"/>
  <c r="Q16" i="11"/>
  <c r="S16" i="11"/>
  <c r="T16" i="11" s="1"/>
  <c r="Q24" i="11"/>
  <c r="S24" i="11"/>
  <c r="T24" i="11" s="1"/>
  <c r="Q32" i="11"/>
  <c r="S32" i="11"/>
  <c r="T32" i="11" s="1"/>
  <c r="Q40" i="11"/>
  <c r="S40" i="11"/>
  <c r="T40" i="11" s="1"/>
  <c r="Q48" i="11"/>
  <c r="S48" i="11"/>
  <c r="T48" i="11" s="1"/>
  <c r="S77" i="11"/>
  <c r="T77" i="11" s="1"/>
  <c r="Q77" i="11"/>
  <c r="Q90" i="11"/>
  <c r="S90" i="11"/>
  <c r="T90" i="11" s="1"/>
  <c r="S109" i="11"/>
  <c r="T109" i="11" s="1"/>
  <c r="Q109" i="11"/>
  <c r="S11" i="11"/>
  <c r="T11" i="11" s="1"/>
  <c r="Q11" i="11"/>
  <c r="S15" i="11"/>
  <c r="T15" i="11" s="1"/>
  <c r="Q15" i="11"/>
  <c r="Q19" i="11"/>
  <c r="S19" i="11"/>
  <c r="T19" i="11" s="1"/>
  <c r="S23" i="11"/>
  <c r="T23" i="11" s="1"/>
  <c r="Q23" i="11"/>
  <c r="Q27" i="11"/>
  <c r="S27" i="11"/>
  <c r="T27" i="11" s="1"/>
  <c r="S31" i="11"/>
  <c r="T31" i="11" s="1"/>
  <c r="Q31" i="11"/>
  <c r="S35" i="11"/>
  <c r="T35" i="11" s="1"/>
  <c r="Q35" i="11"/>
  <c r="S39" i="11"/>
  <c r="T39" i="11" s="1"/>
  <c r="Q39" i="11"/>
  <c r="S43" i="11"/>
  <c r="T43" i="11" s="1"/>
  <c r="Q43" i="11"/>
  <c r="S47" i="11"/>
  <c r="T47" i="11" s="1"/>
  <c r="Q47" i="11"/>
  <c r="Q51" i="11"/>
  <c r="S51" i="11"/>
  <c r="T51" i="11" s="1"/>
  <c r="S57" i="11"/>
  <c r="T57" i="11" s="1"/>
  <c r="Q57" i="11"/>
  <c r="Q70" i="11"/>
  <c r="S70" i="11"/>
  <c r="T70" i="11" s="1"/>
  <c r="S73" i="11"/>
  <c r="T73" i="11" s="1"/>
  <c r="Q73" i="11"/>
  <c r="Q86" i="11"/>
  <c r="S86" i="11"/>
  <c r="T86" i="11" s="1"/>
  <c r="S89" i="11"/>
  <c r="T89" i="11" s="1"/>
  <c r="Q89" i="11"/>
  <c r="Q102" i="11"/>
  <c r="S102" i="11"/>
  <c r="T102" i="11" s="1"/>
  <c r="S105" i="11"/>
  <c r="T105" i="11" s="1"/>
  <c r="Q105" i="11"/>
  <c r="Q118" i="11"/>
  <c r="S118" i="11"/>
  <c r="T118" i="11" s="1"/>
  <c r="S30" i="11"/>
  <c r="T30" i="11" s="1"/>
  <c r="Q30" i="11"/>
  <c r="S34" i="11"/>
  <c r="T34" i="11" s="1"/>
  <c r="Q34" i="11"/>
  <c r="S38" i="11"/>
  <c r="T38" i="11" s="1"/>
  <c r="Q38" i="11"/>
  <c r="S42" i="11"/>
  <c r="T42" i="11" s="1"/>
  <c r="Q42" i="11"/>
  <c r="S46" i="11"/>
  <c r="T46" i="11" s="1"/>
  <c r="Q46" i="11"/>
  <c r="S53" i="11"/>
  <c r="T53" i="11" s="1"/>
  <c r="Q53" i="11"/>
  <c r="S58" i="11"/>
  <c r="T58" i="11" s="1"/>
  <c r="Q58" i="11"/>
  <c r="Q66" i="11"/>
  <c r="S66" i="11"/>
  <c r="T66" i="11" s="1"/>
  <c r="S69" i="11"/>
  <c r="T69" i="11" s="1"/>
  <c r="Q69" i="11"/>
  <c r="Q82" i="11"/>
  <c r="S82" i="11"/>
  <c r="T82" i="11" s="1"/>
  <c r="S85" i="11"/>
  <c r="T85" i="11" s="1"/>
  <c r="Q85" i="11"/>
  <c r="Q98" i="11"/>
  <c r="S98" i="11"/>
  <c r="T98" i="11" s="1"/>
  <c r="S101" i="11"/>
  <c r="T101" i="11" s="1"/>
  <c r="Q101" i="11"/>
  <c r="Q114" i="11"/>
  <c r="S114" i="11"/>
  <c r="T114" i="11" s="1"/>
  <c r="S117" i="11"/>
  <c r="T117" i="11" s="1"/>
  <c r="Q117" i="11"/>
  <c r="Q121" i="11"/>
  <c r="S121" i="11"/>
  <c r="T121" i="11" s="1"/>
  <c r="S13" i="11"/>
  <c r="T13" i="11" s="1"/>
  <c r="Q13" i="11"/>
  <c r="Q17" i="11"/>
  <c r="S17" i="11"/>
  <c r="T17" i="11" s="1"/>
  <c r="S21" i="11"/>
  <c r="T21" i="11" s="1"/>
  <c r="Q21" i="11"/>
  <c r="Q25" i="11"/>
  <c r="S25" i="11"/>
  <c r="T25" i="11" s="1"/>
  <c r="Q29" i="11"/>
  <c r="S29" i="11"/>
  <c r="T29" i="11" s="1"/>
  <c r="Q33" i="11"/>
  <c r="S33" i="11"/>
  <c r="T33" i="11" s="1"/>
  <c r="Q37" i="11"/>
  <c r="S37" i="11"/>
  <c r="T37" i="11" s="1"/>
  <c r="Q41" i="11"/>
  <c r="S41" i="11"/>
  <c r="T41" i="11" s="1"/>
  <c r="Q45" i="11"/>
  <c r="S45" i="11"/>
  <c r="T45" i="11" s="1"/>
  <c r="S49" i="11"/>
  <c r="T49" i="11" s="1"/>
  <c r="Q49" i="11"/>
  <c r="Q54" i="11"/>
  <c r="S54" i="11"/>
  <c r="T54" i="11" s="1"/>
  <c r="Q59" i="11"/>
  <c r="S59" i="11"/>
  <c r="T59" i="11" s="1"/>
  <c r="Q62" i="11"/>
  <c r="S62" i="11"/>
  <c r="T62" i="11" s="1"/>
  <c r="S65" i="11"/>
  <c r="T65" i="11" s="1"/>
  <c r="Q65" i="11"/>
  <c r="Q78" i="11"/>
  <c r="S78" i="11"/>
  <c r="T78" i="11" s="1"/>
  <c r="S81" i="11"/>
  <c r="T81" i="11" s="1"/>
  <c r="Q81" i="11"/>
  <c r="Q94" i="11"/>
  <c r="S94" i="11"/>
  <c r="T94" i="11" s="1"/>
  <c r="S97" i="11"/>
  <c r="T97" i="11" s="1"/>
  <c r="Q97" i="11"/>
  <c r="Q110" i="11"/>
  <c r="S110" i="11"/>
  <c r="T110" i="11" s="1"/>
  <c r="S113" i="11"/>
  <c r="T113" i="11" s="1"/>
  <c r="Q113" i="11"/>
  <c r="Q52" i="11"/>
  <c r="S52" i="11"/>
  <c r="T52" i="11" s="1"/>
  <c r="S56" i="11"/>
  <c r="T56" i="11" s="1"/>
  <c r="Q56" i="11"/>
  <c r="S60" i="11"/>
  <c r="T60" i="11" s="1"/>
  <c r="Q60" i="11"/>
  <c r="S64" i="11"/>
  <c r="T64" i="11" s="1"/>
  <c r="Q64" i="11"/>
  <c r="S68" i="11"/>
  <c r="T68" i="11" s="1"/>
  <c r="Q68" i="11"/>
  <c r="S72" i="11"/>
  <c r="T72" i="11" s="1"/>
  <c r="Q72" i="11"/>
  <c r="S76" i="11"/>
  <c r="T76" i="11" s="1"/>
  <c r="Q76" i="11"/>
  <c r="S80" i="11"/>
  <c r="T80" i="11" s="1"/>
  <c r="Q80" i="11"/>
  <c r="S84" i="11"/>
  <c r="T84" i="11" s="1"/>
  <c r="Q84" i="11"/>
  <c r="S88" i="11"/>
  <c r="T88" i="11" s="1"/>
  <c r="Q88" i="11"/>
  <c r="S92" i="11"/>
  <c r="T92" i="11" s="1"/>
  <c r="Q92" i="11"/>
  <c r="S96" i="11"/>
  <c r="T96" i="11" s="1"/>
  <c r="Q96" i="11"/>
  <c r="S100" i="11"/>
  <c r="T100" i="11" s="1"/>
  <c r="Q100" i="11"/>
  <c r="S104" i="11"/>
  <c r="T104" i="11" s="1"/>
  <c r="Q104" i="11"/>
  <c r="S108" i="11"/>
  <c r="T108" i="11" s="1"/>
  <c r="Q108" i="11"/>
  <c r="S112" i="11"/>
  <c r="T112" i="11" s="1"/>
  <c r="Q112" i="11"/>
  <c r="S116" i="11"/>
  <c r="T116" i="11" s="1"/>
  <c r="Q116" i="11"/>
  <c r="S120" i="11"/>
  <c r="T120" i="11" s="1"/>
  <c r="Q120" i="11"/>
  <c r="Q63" i="11"/>
  <c r="S63" i="11"/>
  <c r="T63" i="11" s="1"/>
  <c r="Q67" i="11"/>
  <c r="S67" i="11"/>
  <c r="T67" i="11" s="1"/>
  <c r="Q71" i="11"/>
  <c r="S71" i="11"/>
  <c r="T71" i="11" s="1"/>
  <c r="Q75" i="11"/>
  <c r="S75" i="11"/>
  <c r="T75" i="11" s="1"/>
  <c r="Q79" i="11"/>
  <c r="S79" i="11"/>
  <c r="T79" i="11" s="1"/>
  <c r="Q83" i="11"/>
  <c r="S83" i="11"/>
  <c r="T83" i="11" s="1"/>
  <c r="Q87" i="11"/>
  <c r="S87" i="11"/>
  <c r="T87" i="11" s="1"/>
  <c r="Q91" i="11"/>
  <c r="S91" i="11"/>
  <c r="T91" i="11" s="1"/>
  <c r="Q95" i="11"/>
  <c r="S95" i="11"/>
  <c r="T95" i="11" s="1"/>
  <c r="Q99" i="11"/>
  <c r="S99" i="11"/>
  <c r="T99" i="11" s="1"/>
  <c r="Q103" i="11"/>
  <c r="S103" i="11"/>
  <c r="T103" i="11" s="1"/>
  <c r="Q107" i="11"/>
  <c r="S107" i="11"/>
  <c r="T107" i="11" s="1"/>
  <c r="Q111" i="11"/>
  <c r="S111" i="11"/>
  <c r="T111" i="11" s="1"/>
  <c r="Q115" i="11"/>
  <c r="S115" i="11"/>
  <c r="T115" i="11" s="1"/>
  <c r="S119" i="11"/>
  <c r="T119" i="11" s="1"/>
  <c r="Q119" i="11"/>
  <c r="Y26" i="10"/>
  <c r="P4" i="7"/>
  <c r="Q4" i="7"/>
  <c r="N4" i="7"/>
  <c r="O4" i="7" s="1"/>
  <c r="P7" i="7"/>
  <c r="Q7" i="7"/>
  <c r="N7" i="7"/>
  <c r="O7" i="7" s="1"/>
  <c r="P6" i="7"/>
  <c r="Q6" i="7"/>
  <c r="N6" i="7"/>
  <c r="O6" i="7" s="1"/>
  <c r="P23" i="7"/>
  <c r="Q23" i="7"/>
  <c r="N23" i="7"/>
  <c r="O23" i="7" s="1"/>
  <c r="P62" i="7"/>
  <c r="Q62" i="7"/>
  <c r="N62" i="7"/>
  <c r="O62" i="7" s="1"/>
  <c r="P10" i="7"/>
  <c r="Q10" i="7"/>
  <c r="N10" i="7"/>
  <c r="O10" i="7" s="1"/>
  <c r="P21" i="7"/>
  <c r="Q21" i="7"/>
  <c r="N21" i="7"/>
  <c r="O21" i="7" s="1"/>
  <c r="P26" i="7"/>
  <c r="Q26" i="7"/>
  <c r="N26" i="7"/>
  <c r="O26" i="7" s="1"/>
  <c r="P73" i="7"/>
  <c r="Q73" i="7"/>
  <c r="N73" i="7"/>
  <c r="O73" i="7" s="1"/>
  <c r="P9" i="7"/>
  <c r="Q9" i="7"/>
  <c r="N9" i="7"/>
  <c r="O9" i="7" s="1"/>
  <c r="P34" i="7"/>
  <c r="Q34" i="7"/>
  <c r="N34" i="7"/>
  <c r="O34" i="7" s="1"/>
  <c r="P14" i="7"/>
  <c r="Q14" i="7"/>
  <c r="R14" i="7" s="1"/>
  <c r="N14" i="7"/>
  <c r="O14" i="7" s="1"/>
  <c r="P36" i="7"/>
  <c r="Q36" i="7"/>
  <c r="N36" i="7"/>
  <c r="O36" i="7" s="1"/>
  <c r="P11" i="7"/>
  <c r="Q11" i="7"/>
  <c r="N11" i="7"/>
  <c r="O11" i="7" s="1"/>
  <c r="P18" i="7"/>
  <c r="Q18" i="7"/>
  <c r="N18" i="7"/>
  <c r="O18" i="7" s="1"/>
  <c r="P29" i="7"/>
  <c r="Q29" i="7"/>
  <c r="N29" i="7"/>
  <c r="O29" i="7" s="1"/>
  <c r="P27" i="7"/>
  <c r="Q27" i="7"/>
  <c r="N27" i="7"/>
  <c r="O27" i="7" s="1"/>
  <c r="P37" i="7"/>
  <c r="Q37" i="7"/>
  <c r="N37" i="7"/>
  <c r="O37" i="7" s="1"/>
  <c r="P13" i="7"/>
  <c r="Q13" i="7"/>
  <c r="N13" i="7"/>
  <c r="O13" i="7" s="1"/>
  <c r="P31" i="7"/>
  <c r="Q31" i="7"/>
  <c r="N31" i="7"/>
  <c r="O31" i="7" s="1"/>
  <c r="P35" i="7"/>
  <c r="Q35" i="7"/>
  <c r="N35" i="7"/>
  <c r="O35" i="7" s="1"/>
  <c r="P33" i="7"/>
  <c r="Q33" i="7"/>
  <c r="N33" i="7"/>
  <c r="O33" i="7" s="1"/>
  <c r="P12" i="7"/>
  <c r="Q12" i="7"/>
  <c r="N12" i="7"/>
  <c r="O12" i="7" s="1"/>
  <c r="P17" i="7"/>
  <c r="Q17" i="7"/>
  <c r="N17" i="7"/>
  <c r="O17" i="7" s="1"/>
  <c r="P71" i="7"/>
  <c r="Q71" i="7"/>
  <c r="N71" i="7"/>
  <c r="O71" i="7" s="1"/>
  <c r="P77" i="7"/>
  <c r="Q77" i="7"/>
  <c r="N77" i="7"/>
  <c r="O77" i="7" s="1"/>
  <c r="P60" i="7"/>
  <c r="Q60" i="7"/>
  <c r="N60" i="7"/>
  <c r="O60" i="7" s="1"/>
  <c r="P5" i="7"/>
  <c r="Q5" i="7"/>
  <c r="R5" i="7" s="1"/>
  <c r="N5" i="7"/>
  <c r="O5" i="7" s="1"/>
  <c r="P8" i="7"/>
  <c r="Q8" i="7"/>
  <c r="N8" i="7"/>
  <c r="O8" i="7" s="1"/>
  <c r="P69" i="7"/>
  <c r="R69" i="7" s="1"/>
  <c r="Q69" i="7"/>
  <c r="N69" i="7"/>
  <c r="O69" i="7" s="1"/>
  <c r="P25" i="7"/>
  <c r="Q25" i="7"/>
  <c r="N25" i="7"/>
  <c r="O25" i="7" s="1"/>
  <c r="P16" i="7"/>
  <c r="Q16" i="7"/>
  <c r="N16" i="7"/>
  <c r="O16" i="7" s="1"/>
  <c r="P53" i="7"/>
  <c r="Q53" i="7"/>
  <c r="R53" i="7" s="1"/>
  <c r="N53" i="7"/>
  <c r="O53" i="7" s="1"/>
  <c r="P49" i="7"/>
  <c r="Q49" i="7"/>
  <c r="N49" i="7"/>
  <c r="O49" i="7" s="1"/>
  <c r="P20" i="7"/>
  <c r="Q20" i="7"/>
  <c r="N20" i="7"/>
  <c r="O20" i="7" s="1"/>
  <c r="P19" i="7"/>
  <c r="Q19" i="7"/>
  <c r="N19" i="7"/>
  <c r="O19" i="7" s="1"/>
  <c r="P28" i="7"/>
  <c r="Q28" i="7"/>
  <c r="R28" i="7" s="1"/>
  <c r="N28" i="7"/>
  <c r="O28" i="7" s="1"/>
  <c r="P45" i="7"/>
  <c r="Q45" i="7"/>
  <c r="N45" i="7"/>
  <c r="O45" i="7" s="1"/>
  <c r="P54" i="7"/>
  <c r="Q54" i="7"/>
  <c r="N54" i="7"/>
  <c r="O54" i="7" s="1"/>
  <c r="P32" i="7"/>
  <c r="Q32" i="7"/>
  <c r="N32" i="7"/>
  <c r="O32" i="7" s="1"/>
  <c r="P15" i="7"/>
  <c r="Q15" i="7"/>
  <c r="N15" i="7"/>
  <c r="O15" i="7" s="1"/>
  <c r="P61" i="7"/>
  <c r="Q61" i="7"/>
  <c r="N61" i="7"/>
  <c r="O61" i="7" s="1"/>
  <c r="P55" i="7"/>
  <c r="Q55" i="7"/>
  <c r="N55" i="7"/>
  <c r="O55" i="7" s="1"/>
  <c r="P24" i="7"/>
  <c r="Q24" i="7"/>
  <c r="N24" i="7"/>
  <c r="O24" i="7" s="1"/>
  <c r="P38" i="7"/>
  <c r="Q38" i="7"/>
  <c r="R38" i="7" s="1"/>
  <c r="N38" i="7"/>
  <c r="O38" i="7" s="1"/>
  <c r="P40" i="7"/>
  <c r="Q40" i="7"/>
  <c r="N40" i="7"/>
  <c r="O40" i="7" s="1"/>
  <c r="P65" i="7"/>
  <c r="Q65" i="7"/>
  <c r="N65" i="7"/>
  <c r="O65" i="7" s="1"/>
  <c r="P68" i="7"/>
  <c r="Q68" i="7"/>
  <c r="N68" i="7"/>
  <c r="O68" i="7" s="1"/>
  <c r="P64" i="7"/>
  <c r="Q64" i="7"/>
  <c r="N64" i="7"/>
  <c r="O64" i="7" s="1"/>
  <c r="P72" i="7"/>
  <c r="Q72" i="7"/>
  <c r="N72" i="7"/>
  <c r="O72" i="7" s="1"/>
  <c r="P58" i="7"/>
  <c r="Q58" i="7"/>
  <c r="N58" i="7"/>
  <c r="O58" i="7" s="1"/>
  <c r="P41" i="7"/>
  <c r="Q41" i="7"/>
  <c r="N41" i="7"/>
  <c r="O41" i="7" s="1"/>
  <c r="P22" i="7"/>
  <c r="Q22" i="7"/>
  <c r="N22" i="7"/>
  <c r="O22" i="7" s="1"/>
  <c r="P63" i="7"/>
  <c r="Q63" i="7"/>
  <c r="R63" i="7" s="1"/>
  <c r="N63" i="7"/>
  <c r="O63" i="7" s="1"/>
  <c r="P50" i="7"/>
  <c r="Q50" i="7"/>
  <c r="N50" i="7"/>
  <c r="O50" i="7" s="1"/>
  <c r="P51" i="7"/>
  <c r="Q51" i="7"/>
  <c r="N51" i="7"/>
  <c r="O51" i="7" s="1"/>
  <c r="P42" i="7"/>
  <c r="Q42" i="7"/>
  <c r="N42" i="7"/>
  <c r="O42" i="7" s="1"/>
  <c r="P30" i="7"/>
  <c r="Q30" i="7"/>
  <c r="N30" i="7"/>
  <c r="O30" i="7" s="1"/>
  <c r="P39" i="7"/>
  <c r="Q39" i="7"/>
  <c r="N39" i="7"/>
  <c r="O39" i="7" s="1"/>
  <c r="P57" i="7"/>
  <c r="Q57" i="7"/>
  <c r="N57" i="7"/>
  <c r="O57" i="7" s="1"/>
  <c r="P56" i="7"/>
  <c r="Q56" i="7"/>
  <c r="R56" i="7" s="1"/>
  <c r="N56" i="7"/>
  <c r="O56" i="7" s="1"/>
  <c r="P47" i="7"/>
  <c r="Q47" i="7"/>
  <c r="N47" i="7"/>
  <c r="O47" i="7" s="1"/>
  <c r="P52" i="7"/>
  <c r="Q52" i="7"/>
  <c r="N52" i="7"/>
  <c r="O52" i="7" s="1"/>
  <c r="P59" i="7"/>
  <c r="Q59" i="7"/>
  <c r="N59" i="7"/>
  <c r="O59" i="7" s="1"/>
  <c r="P67" i="7"/>
  <c r="R67" i="7" s="1"/>
  <c r="Q67" i="7"/>
  <c r="N67" i="7"/>
  <c r="O67" i="7" s="1"/>
  <c r="P66" i="7"/>
  <c r="Q66" i="7"/>
  <c r="N66" i="7"/>
  <c r="O66" i="7" s="1"/>
  <c r="P48" i="7"/>
  <c r="Q48" i="7"/>
  <c r="R48" i="7" s="1"/>
  <c r="N48" i="7"/>
  <c r="O48" i="7" s="1"/>
  <c r="P44" i="7"/>
  <c r="Q44" i="7"/>
  <c r="N44" i="7"/>
  <c r="O44" i="7" s="1"/>
  <c r="P75" i="7"/>
  <c r="Q75" i="7"/>
  <c r="N75" i="7"/>
  <c r="O75" i="7" s="1"/>
  <c r="P70" i="7"/>
  <c r="Q70" i="7"/>
  <c r="N70" i="7"/>
  <c r="O70" i="7" s="1"/>
  <c r="P76" i="7"/>
  <c r="Q76" i="7"/>
  <c r="N76" i="7"/>
  <c r="O76" i="7" s="1"/>
  <c r="P43" i="7"/>
  <c r="Q43" i="7"/>
  <c r="N43" i="7"/>
  <c r="O43" i="7" s="1"/>
  <c r="P74" i="7"/>
  <c r="Q74" i="7"/>
  <c r="N74" i="7"/>
  <c r="O74" i="7" s="1"/>
  <c r="P46" i="7"/>
  <c r="Q46" i="7"/>
  <c r="N46" i="7"/>
  <c r="O46" i="7" s="1"/>
  <c r="S51" i="7"/>
  <c r="S4" i="7"/>
  <c r="S18" i="7"/>
  <c r="W49" i="7"/>
  <c r="W39" i="7"/>
  <c r="S40" i="7"/>
  <c r="S42" i="7"/>
  <c r="S45" i="7"/>
  <c r="S13" i="7"/>
  <c r="W72" i="7"/>
  <c r="S64" i="7"/>
  <c r="S32" i="7"/>
  <c r="S72" i="7"/>
  <c r="W65" i="7"/>
  <c r="S5" i="7"/>
  <c r="S21" i="7"/>
  <c r="S23" i="7"/>
  <c r="W61" i="7"/>
  <c r="S49" i="7"/>
  <c r="W17" i="7"/>
  <c r="S7" i="7"/>
  <c r="W9" i="7"/>
  <c r="S57" i="7"/>
  <c r="S65" i="7"/>
  <c r="S66" i="7"/>
  <c r="W63" i="7"/>
  <c r="W71" i="7"/>
  <c r="S11" i="7"/>
  <c r="S10" i="7"/>
  <c r="S38" i="7"/>
  <c r="S16" i="7"/>
  <c r="W68" i="7"/>
  <c r="W73" i="7"/>
  <c r="W62" i="7"/>
  <c r="W5" i="7"/>
  <c r="S24" i="7"/>
  <c r="S69" i="7"/>
  <c r="W4" i="7"/>
  <c r="W51" i="7"/>
  <c r="S62" i="7"/>
  <c r="W27" i="7"/>
  <c r="S50" i="7"/>
  <c r="S34" i="7"/>
  <c r="S54" i="7"/>
  <c r="S77" i="7"/>
  <c r="W35" i="7"/>
  <c r="W40" i="7"/>
  <c r="W59" i="7"/>
  <c r="W70" i="7"/>
  <c r="W6" i="7"/>
  <c r="W60" i="7"/>
  <c r="W20" i="7"/>
  <c r="S26" i="7"/>
  <c r="W10" i="7"/>
  <c r="W31" i="7"/>
  <c r="S59" i="7"/>
  <c r="S58" i="7"/>
  <c r="W54" i="7"/>
  <c r="W32" i="7"/>
  <c r="S6" i="7"/>
  <c r="W47" i="7"/>
  <c r="S29" i="7"/>
  <c r="S36" i="7"/>
  <c r="W37" i="7"/>
  <c r="W19" i="7"/>
  <c r="S27" i="7"/>
  <c r="W46" i="7"/>
  <c r="W13" i="7"/>
  <c r="W58" i="7"/>
  <c r="S20" i="7"/>
  <c r="S70" i="7"/>
  <c r="S9" i="7"/>
  <c r="S68" i="7"/>
  <c r="W26" i="7"/>
  <c r="S63" i="7"/>
  <c r="S31" i="7"/>
  <c r="W36" i="7"/>
  <c r="S14" i="7"/>
  <c r="W11" i="7"/>
  <c r="S30" i="7"/>
  <c r="S61" i="7"/>
  <c r="S56" i="7"/>
  <c r="S8" i="7"/>
  <c r="W34" i="7"/>
  <c r="S41" i="7"/>
  <c r="W23" i="7"/>
  <c r="W12" i="7"/>
  <c r="S17" i="7"/>
  <c r="S28" i="7"/>
  <c r="W53" i="7"/>
  <c r="S25" i="7"/>
  <c r="W29" i="7"/>
  <c r="W41" i="7"/>
  <c r="S19" i="7"/>
  <c r="S12" i="7"/>
  <c r="W28" i="7"/>
  <c r="W16" i="7"/>
  <c r="S37" i="7"/>
  <c r="W57" i="7"/>
  <c r="S22" i="7"/>
  <c r="W55" i="7"/>
  <c r="W24" i="7"/>
  <c r="W77" i="7"/>
  <c r="S71" i="7"/>
  <c r="W45" i="7"/>
  <c r="S15" i="7"/>
  <c r="W14" i="7"/>
  <c r="W25" i="7"/>
  <c r="S73" i="7"/>
  <c r="W30" i="7"/>
  <c r="W69" i="7"/>
  <c r="S60" i="7"/>
  <c r="W18" i="7"/>
  <c r="S55" i="7"/>
  <c r="S33" i="7"/>
  <c r="W66" i="7"/>
  <c r="W7" i="7"/>
  <c r="S35" i="7"/>
  <c r="W21" i="7"/>
  <c r="W8" i="7"/>
  <c r="S53" i="7"/>
  <c r="W33" i="7"/>
  <c r="R49" i="7" l="1"/>
  <c r="R26" i="7"/>
  <c r="R23" i="7"/>
  <c r="AK17" i="10"/>
  <c r="AI18" i="10"/>
  <c r="AJ18" i="10"/>
  <c r="AH19" i="10"/>
  <c r="AJ18" i="13"/>
  <c r="AI18" i="13"/>
  <c r="AK17" i="13"/>
  <c r="AH19" i="13"/>
  <c r="R59" i="7"/>
  <c r="R40" i="7"/>
  <c r="R45" i="7"/>
  <c r="R41" i="7"/>
  <c r="R58" i="7"/>
  <c r="R77" i="7"/>
  <c r="R37" i="7"/>
  <c r="R46" i="7"/>
  <c r="R24" i="7"/>
  <c r="R55" i="7"/>
  <c r="R29" i="7"/>
  <c r="R9" i="7"/>
  <c r="R52" i="7"/>
  <c r="R22" i="7"/>
  <c r="R19" i="7"/>
  <c r="R33" i="7"/>
  <c r="R10" i="7"/>
  <c r="R70" i="7"/>
  <c r="R51" i="7"/>
  <c r="R50" i="7"/>
  <c r="R68" i="7"/>
  <c r="R65" i="7"/>
  <c r="R32" i="7"/>
  <c r="R54" i="7"/>
  <c r="R17" i="7"/>
  <c r="R6" i="7"/>
  <c r="R7" i="7"/>
  <c r="R76" i="7"/>
  <c r="R66" i="7"/>
  <c r="R39" i="7"/>
  <c r="R30" i="7"/>
  <c r="R42" i="7"/>
  <c r="R72" i="7"/>
  <c r="R64" i="7"/>
  <c r="R61" i="7"/>
  <c r="R15" i="7"/>
  <c r="R31" i="7"/>
  <c r="R11" i="7"/>
  <c r="R4" i="7"/>
  <c r="R43" i="7"/>
  <c r="R44" i="7"/>
  <c r="R57" i="7"/>
  <c r="R16" i="7"/>
  <c r="R25" i="7"/>
  <c r="R8" i="7"/>
  <c r="R60" i="7"/>
  <c r="R71" i="7"/>
  <c r="R12" i="7"/>
  <c r="R35" i="7"/>
  <c r="R13" i="7"/>
  <c r="R27" i="7"/>
  <c r="R18" i="7"/>
  <c r="R36" i="7"/>
  <c r="R34" i="7"/>
  <c r="R73" i="7"/>
  <c r="R21" i="7"/>
  <c r="R62" i="7"/>
  <c r="R74" i="7"/>
  <c r="R75" i="7"/>
  <c r="R20" i="7"/>
  <c r="W75" i="7"/>
  <c r="S48" i="7"/>
  <c r="S52" i="7"/>
  <c r="S76" i="7"/>
  <c r="S74" i="7"/>
  <c r="W76" i="7"/>
  <c r="W56" i="7"/>
  <c r="S46" i="7"/>
  <c r="W48" i="7"/>
  <c r="AI19" i="10" l="1"/>
  <c r="AJ19" i="10"/>
  <c r="AK18" i="10"/>
  <c r="AH20" i="10"/>
  <c r="AJ19" i="13"/>
  <c r="AI19" i="13"/>
  <c r="AK18" i="13"/>
  <c r="AH20" i="13"/>
  <c r="T46" i="7"/>
  <c r="U46" i="7" s="1"/>
  <c r="T76" i="7"/>
  <c r="U76" i="7" s="1"/>
  <c r="X76" i="7"/>
  <c r="Y76" i="7" s="1"/>
  <c r="Z76" i="7" s="1"/>
  <c r="T48" i="7"/>
  <c r="U48" i="7" s="1"/>
  <c r="V48" i="7" s="1"/>
  <c r="X48" i="7"/>
  <c r="Y48" i="7" s="1"/>
  <c r="T52" i="7"/>
  <c r="U52" i="7" s="1"/>
  <c r="X56" i="7"/>
  <c r="Y56" i="7" s="1"/>
  <c r="Z56" i="7" s="1"/>
  <c r="T74" i="7"/>
  <c r="U74" i="7" s="1"/>
  <c r="V74" i="7" s="1"/>
  <c r="X75" i="7"/>
  <c r="Y75" i="7" s="1"/>
  <c r="X46" i="7"/>
  <c r="Y46" i="7" s="1"/>
  <c r="T70" i="7"/>
  <c r="U70" i="7" s="1"/>
  <c r="V70" i="7" s="1"/>
  <c r="X70" i="7"/>
  <c r="Y70" i="7" s="1"/>
  <c r="T66" i="7"/>
  <c r="U66" i="7" s="1"/>
  <c r="X66" i="7"/>
  <c r="Y66" i="7" s="1"/>
  <c r="X47" i="7"/>
  <c r="Y47" i="7" s="1"/>
  <c r="T56" i="7"/>
  <c r="U56" i="7" s="1"/>
  <c r="V56" i="7" s="1"/>
  <c r="X39" i="7"/>
  <c r="Y39" i="7" s="1"/>
  <c r="T42" i="7"/>
  <c r="U42" i="7" s="1"/>
  <c r="T50" i="7"/>
  <c r="U50" i="7" s="1"/>
  <c r="V50" i="7" s="1"/>
  <c r="T22" i="7"/>
  <c r="U22" i="7" s="1"/>
  <c r="V22" i="7" s="1"/>
  <c r="T64" i="7"/>
  <c r="U64" i="7" s="1"/>
  <c r="T38" i="7"/>
  <c r="U38" i="7" s="1"/>
  <c r="T15" i="7"/>
  <c r="U15" i="7" s="1"/>
  <c r="V15" i="7" s="1"/>
  <c r="T28" i="7"/>
  <c r="U28" i="7" s="1"/>
  <c r="V28" i="7" s="1"/>
  <c r="T20" i="7"/>
  <c r="U20" i="7" s="1"/>
  <c r="T49" i="7"/>
  <c r="U49" i="7" s="1"/>
  <c r="T59" i="7"/>
  <c r="U59" i="7" s="1"/>
  <c r="V59" i="7" s="1"/>
  <c r="X59" i="7"/>
  <c r="Y59" i="7" s="1"/>
  <c r="Z59" i="7" s="1"/>
  <c r="T57" i="7"/>
  <c r="U57" i="7" s="1"/>
  <c r="X57" i="7"/>
  <c r="Y57" i="7" s="1"/>
  <c r="T51" i="7"/>
  <c r="U51" i="7" s="1"/>
  <c r="V51" i="7" s="1"/>
  <c r="X51" i="7"/>
  <c r="Y51" i="7" s="1"/>
  <c r="Z51" i="7" s="1"/>
  <c r="T41" i="7"/>
  <c r="U41" i="7" s="1"/>
  <c r="X41" i="7"/>
  <c r="Y41" i="7" s="1"/>
  <c r="T68" i="7"/>
  <c r="U68" i="7" s="1"/>
  <c r="V68" i="7" s="1"/>
  <c r="X68" i="7"/>
  <c r="Y68" i="7" s="1"/>
  <c r="Z68" i="7" s="1"/>
  <c r="T24" i="7"/>
  <c r="U24" i="7" s="1"/>
  <c r="V24" i="7" s="1"/>
  <c r="X24" i="7"/>
  <c r="Y24" i="7" s="1"/>
  <c r="T32" i="7"/>
  <c r="U32" i="7" s="1"/>
  <c r="V32" i="7" s="1"/>
  <c r="X32" i="7"/>
  <c r="Y32" i="7" s="1"/>
  <c r="Z32" i="7" s="1"/>
  <c r="T25" i="7"/>
  <c r="U25" i="7" s="1"/>
  <c r="T69" i="7"/>
  <c r="U69" i="7" s="1"/>
  <c r="T7" i="7"/>
  <c r="U7" i="7" s="1"/>
  <c r="V7" i="7" s="1"/>
  <c r="T58" i="7"/>
  <c r="U58" i="7" s="1"/>
  <c r="V58" i="7" s="1"/>
  <c r="X58" i="7"/>
  <c r="Y58" i="7" s="1"/>
  <c r="T65" i="7"/>
  <c r="U65" i="7" s="1"/>
  <c r="X65" i="7"/>
  <c r="Y65" i="7" s="1"/>
  <c r="Z65" i="7" s="1"/>
  <c r="T55" i="7"/>
  <c r="U55" i="7" s="1"/>
  <c r="V55" i="7" s="1"/>
  <c r="X55" i="7"/>
  <c r="Y55" i="7" s="1"/>
  <c r="T54" i="7"/>
  <c r="U54" i="7" s="1"/>
  <c r="V54" i="7" s="1"/>
  <c r="X54" i="7"/>
  <c r="Y54" i="7" s="1"/>
  <c r="Z54" i="7" s="1"/>
  <c r="X20" i="7"/>
  <c r="Y20" i="7" s="1"/>
  <c r="Z20" i="7" s="1"/>
  <c r="X49" i="7"/>
  <c r="Y49" i="7" s="1"/>
  <c r="T77" i="7"/>
  <c r="U77" i="7" s="1"/>
  <c r="T33" i="7"/>
  <c r="U33" i="7" s="1"/>
  <c r="T37" i="7"/>
  <c r="U37" i="7" s="1"/>
  <c r="V37" i="7" s="1"/>
  <c r="T11" i="7"/>
  <c r="U11" i="7" s="1"/>
  <c r="T9" i="7"/>
  <c r="U9" i="7" s="1"/>
  <c r="T10" i="7"/>
  <c r="U10" i="7" s="1"/>
  <c r="V10" i="7" s="1"/>
  <c r="X7" i="7"/>
  <c r="Y7" i="7" s="1"/>
  <c r="Z7" i="7" s="1"/>
  <c r="T30" i="7"/>
  <c r="U30" i="7" s="1"/>
  <c r="X30" i="7"/>
  <c r="Y30" i="7" s="1"/>
  <c r="T63" i="7"/>
  <c r="U63" i="7" s="1"/>
  <c r="X63" i="7"/>
  <c r="Y63" i="7" s="1"/>
  <c r="Z63" i="7" s="1"/>
  <c r="T72" i="7"/>
  <c r="U72" i="7" s="1"/>
  <c r="X72" i="7"/>
  <c r="Y72" i="7" s="1"/>
  <c r="Z72" i="7" s="1"/>
  <c r="T40" i="7"/>
  <c r="U40" i="7" s="1"/>
  <c r="V40" i="7" s="1"/>
  <c r="X40" i="7"/>
  <c r="Y40" i="7" s="1"/>
  <c r="Z40" i="7" s="1"/>
  <c r="T61" i="7"/>
  <c r="U61" i="7" s="1"/>
  <c r="V61" i="7" s="1"/>
  <c r="X61" i="7"/>
  <c r="Y61" i="7" s="1"/>
  <c r="T45" i="7"/>
  <c r="U45" i="7" s="1"/>
  <c r="V45" i="7" s="1"/>
  <c r="X45" i="7"/>
  <c r="Y45" i="7" s="1"/>
  <c r="Z45" i="7" s="1"/>
  <c r="X25" i="7"/>
  <c r="Y25" i="7" s="1"/>
  <c r="X69" i="7"/>
  <c r="Y69" i="7" s="1"/>
  <c r="X77" i="7"/>
  <c r="Y77" i="7" s="1"/>
  <c r="Z77" i="7" s="1"/>
  <c r="X33" i="7"/>
  <c r="Y33" i="7" s="1"/>
  <c r="Z33" i="7" s="1"/>
  <c r="X37" i="7"/>
  <c r="Y37" i="7" s="1"/>
  <c r="X11" i="7"/>
  <c r="Y11" i="7" s="1"/>
  <c r="Z11" i="7" s="1"/>
  <c r="X9" i="7"/>
  <c r="Y9" i="7" s="1"/>
  <c r="Z9" i="7" s="1"/>
  <c r="X10" i="7"/>
  <c r="Y10" i="7" s="1"/>
  <c r="Z10" i="7" s="1"/>
  <c r="X28" i="7"/>
  <c r="Y28" i="7" s="1"/>
  <c r="T53" i="7"/>
  <c r="U53" i="7" s="1"/>
  <c r="V53" i="7" s="1"/>
  <c r="X53" i="7"/>
  <c r="Y53" i="7" s="1"/>
  <c r="Z53" i="7" s="1"/>
  <c r="T8" i="7"/>
  <c r="U8" i="7" s="1"/>
  <c r="V8" i="7" s="1"/>
  <c r="X8" i="7"/>
  <c r="Y8" i="7" s="1"/>
  <c r="T71" i="7"/>
  <c r="U71" i="7" s="1"/>
  <c r="X71" i="7"/>
  <c r="Y71" i="7" s="1"/>
  <c r="Z71" i="7" s="1"/>
  <c r="T35" i="7"/>
  <c r="U35" i="7" s="1"/>
  <c r="V35" i="7" s="1"/>
  <c r="X35" i="7"/>
  <c r="Y35" i="7" s="1"/>
  <c r="Z35" i="7" s="1"/>
  <c r="T27" i="7"/>
  <c r="U27" i="7" s="1"/>
  <c r="X27" i="7"/>
  <c r="Y27" i="7" s="1"/>
  <c r="Z27" i="7" s="1"/>
  <c r="T36" i="7"/>
  <c r="U36" i="7" s="1"/>
  <c r="V36" i="7" s="1"/>
  <c r="X36" i="7"/>
  <c r="Y36" i="7" s="1"/>
  <c r="Z36" i="7" s="1"/>
  <c r="T73" i="7"/>
  <c r="U73" i="7" s="1"/>
  <c r="V73" i="7" s="1"/>
  <c r="X73" i="7"/>
  <c r="Y73" i="7" s="1"/>
  <c r="Z73" i="7" s="1"/>
  <c r="T62" i="7"/>
  <c r="U62" i="7" s="1"/>
  <c r="V62" i="7" s="1"/>
  <c r="X62" i="7"/>
  <c r="Y62" i="7" s="1"/>
  <c r="Z62" i="7" s="1"/>
  <c r="T4" i="7"/>
  <c r="U4" i="7" s="1"/>
  <c r="V4" i="7" s="1"/>
  <c r="X4" i="7"/>
  <c r="Y4" i="7" s="1"/>
  <c r="Z4" i="7" s="1"/>
  <c r="T19" i="7"/>
  <c r="U19" i="7" s="1"/>
  <c r="V19" i="7" s="1"/>
  <c r="X19" i="7"/>
  <c r="Y19" i="7" s="1"/>
  <c r="T16" i="7"/>
  <c r="U16" i="7" s="1"/>
  <c r="X16" i="7"/>
  <c r="Y16" i="7" s="1"/>
  <c r="Z16" i="7" s="1"/>
  <c r="T5" i="7"/>
  <c r="U5" i="7" s="1"/>
  <c r="V5" i="7" s="1"/>
  <c r="X5" i="7"/>
  <c r="Y5" i="7" s="1"/>
  <c r="Z5" i="7" s="1"/>
  <c r="T17" i="7"/>
  <c r="U17" i="7" s="1"/>
  <c r="X17" i="7"/>
  <c r="Y17" i="7" s="1"/>
  <c r="Z17" i="7" s="1"/>
  <c r="T31" i="7"/>
  <c r="U31" i="7" s="1"/>
  <c r="V31" i="7" s="1"/>
  <c r="X31" i="7"/>
  <c r="Y31" i="7" s="1"/>
  <c r="T29" i="7"/>
  <c r="U29" i="7" s="1"/>
  <c r="X29" i="7"/>
  <c r="Y29" i="7" s="1"/>
  <c r="Z29" i="7" s="1"/>
  <c r="T14" i="7"/>
  <c r="U14" i="7" s="1"/>
  <c r="V14" i="7" s="1"/>
  <c r="X14" i="7"/>
  <c r="Y14" i="7" s="1"/>
  <c r="T26" i="7"/>
  <c r="U26" i="7" s="1"/>
  <c r="X26" i="7"/>
  <c r="Y26" i="7" s="1"/>
  <c r="Z26" i="7" s="1"/>
  <c r="T23" i="7"/>
  <c r="U23" i="7" s="1"/>
  <c r="V23" i="7" s="1"/>
  <c r="X23" i="7"/>
  <c r="Y23" i="7" s="1"/>
  <c r="Z23" i="7" s="1"/>
  <c r="T60" i="7"/>
  <c r="U60" i="7" s="1"/>
  <c r="X60" i="7"/>
  <c r="Y60" i="7" s="1"/>
  <c r="Z60" i="7" s="1"/>
  <c r="T12" i="7"/>
  <c r="U12" i="7" s="1"/>
  <c r="V12" i="7" s="1"/>
  <c r="X12" i="7"/>
  <c r="Y12" i="7" s="1"/>
  <c r="Z12" i="7" s="1"/>
  <c r="T13" i="7"/>
  <c r="U13" i="7" s="1"/>
  <c r="V13" i="7" s="1"/>
  <c r="X13" i="7"/>
  <c r="Y13" i="7" s="1"/>
  <c r="Z13" i="7" s="1"/>
  <c r="T18" i="7"/>
  <c r="U18" i="7" s="1"/>
  <c r="V18" i="7" s="1"/>
  <c r="X18" i="7"/>
  <c r="Y18" i="7" s="1"/>
  <c r="T34" i="7"/>
  <c r="U34" i="7" s="1"/>
  <c r="X34" i="7"/>
  <c r="Y34" i="7" s="1"/>
  <c r="Z34" i="7" s="1"/>
  <c r="T21" i="7"/>
  <c r="U21" i="7" s="1"/>
  <c r="V21" i="7" s="1"/>
  <c r="X21" i="7"/>
  <c r="Y21" i="7" s="1"/>
  <c r="Z21" i="7" s="1"/>
  <c r="T6" i="7"/>
  <c r="U6" i="7" s="1"/>
  <c r="X6" i="7"/>
  <c r="Y6" i="7" s="1"/>
  <c r="Z6" i="7" s="1"/>
  <c r="Z70" i="7"/>
  <c r="Z66" i="7"/>
  <c r="V66" i="7"/>
  <c r="V57" i="7"/>
  <c r="Z57" i="7"/>
  <c r="Z46" i="7"/>
  <c r="V46" i="7"/>
  <c r="Z75" i="7"/>
  <c r="Z48" i="7"/>
  <c r="Z39" i="7"/>
  <c r="V30" i="7"/>
  <c r="V63" i="7"/>
  <c r="V41" i="7"/>
  <c r="Z24" i="7"/>
  <c r="V71" i="7"/>
  <c r="V27" i="7"/>
  <c r="V76" i="7"/>
  <c r="Z30" i="7"/>
  <c r="V42" i="7"/>
  <c r="Z41" i="7"/>
  <c r="Z58" i="7"/>
  <c r="V65" i="7"/>
  <c r="Z55" i="7"/>
  <c r="V17" i="7"/>
  <c r="V29" i="7"/>
  <c r="V26" i="7"/>
  <c r="V52" i="7"/>
  <c r="R47" i="7"/>
  <c r="V72" i="7"/>
  <c r="Z61" i="7"/>
  <c r="Z49" i="7"/>
  <c r="V69" i="7"/>
  <c r="V16" i="7"/>
  <c r="Z69" i="7"/>
  <c r="Z8" i="7"/>
  <c r="Z31" i="7"/>
  <c r="Z14" i="7"/>
  <c r="V49" i="7"/>
  <c r="V77" i="7"/>
  <c r="V33" i="7"/>
  <c r="Z37" i="7"/>
  <c r="V11" i="7"/>
  <c r="V9" i="7"/>
  <c r="V6" i="7"/>
  <c r="Z28" i="7"/>
  <c r="Z19" i="7"/>
  <c r="V20" i="7"/>
  <c r="V60" i="7"/>
  <c r="Z18" i="7"/>
  <c r="V34" i="7"/>
  <c r="V64" i="7"/>
  <c r="V38" i="7"/>
  <c r="Z25" i="7"/>
  <c r="V25" i="7"/>
  <c r="U82" i="9"/>
  <c r="O75" i="9"/>
  <c r="P75" i="9" s="1"/>
  <c r="O6" i="9"/>
  <c r="P6" i="9" s="1"/>
  <c r="O35" i="9"/>
  <c r="P35" i="9" s="1"/>
  <c r="O53" i="9"/>
  <c r="O86" i="9"/>
  <c r="O68" i="9"/>
  <c r="P68" i="9" s="1"/>
  <c r="O82" i="9"/>
  <c r="P82" i="9" s="1"/>
  <c r="O121" i="9"/>
  <c r="P121" i="9" s="1"/>
  <c r="O90" i="9"/>
  <c r="P90" i="9" s="1"/>
  <c r="O110" i="9"/>
  <c r="P110" i="9" s="1"/>
  <c r="O65" i="9"/>
  <c r="P65" i="9" s="1"/>
  <c r="O17" i="9"/>
  <c r="P17" i="9" s="1"/>
  <c r="O33" i="9"/>
  <c r="P33" i="9" s="1"/>
  <c r="O34" i="9"/>
  <c r="O103" i="9"/>
  <c r="P103" i="9" s="1"/>
  <c r="O112" i="9"/>
  <c r="P112" i="9" s="1"/>
  <c r="O100" i="9"/>
  <c r="P100" i="9" s="1"/>
  <c r="O69" i="9"/>
  <c r="O49" i="9"/>
  <c r="P49" i="9" s="1"/>
  <c r="O44" i="9"/>
  <c r="O106" i="9"/>
  <c r="P106" i="9" s="1"/>
  <c r="O97" i="9"/>
  <c r="O26" i="9"/>
  <c r="P26" i="9" s="1"/>
  <c r="O13" i="9"/>
  <c r="P13" i="9" s="1"/>
  <c r="O87" i="9"/>
  <c r="P87" i="9" s="1"/>
  <c r="O15" i="9"/>
  <c r="O60" i="9"/>
  <c r="P60" i="9" s="1"/>
  <c r="O7" i="9"/>
  <c r="P7" i="9" s="1"/>
  <c r="O92" i="9"/>
  <c r="P92" i="9" s="1"/>
  <c r="O57" i="9"/>
  <c r="P57" i="9" s="1"/>
  <c r="O28" i="9"/>
  <c r="P28" i="9" s="1"/>
  <c r="O63" i="9"/>
  <c r="P63" i="9" s="1"/>
  <c r="O81" i="9"/>
  <c r="P81" i="9" s="1"/>
  <c r="O77" i="9"/>
  <c r="P77" i="9" s="1"/>
  <c r="O12" i="9"/>
  <c r="P12" i="9" s="1"/>
  <c r="O95" i="9"/>
  <c r="P95" i="9" s="1"/>
  <c r="O84" i="9"/>
  <c r="P84" i="9" s="1"/>
  <c r="O32" i="9"/>
  <c r="P32" i="9" s="1"/>
  <c r="O83" i="9"/>
  <c r="P83" i="9" s="1"/>
  <c r="O119" i="9"/>
  <c r="P119" i="9" s="1"/>
  <c r="O73" i="9"/>
  <c r="P73" i="9" s="1"/>
  <c r="O41" i="9"/>
  <c r="O120" i="9"/>
  <c r="O20" i="9"/>
  <c r="P20" i="9" s="1"/>
  <c r="O31" i="9"/>
  <c r="P31" i="9" s="1"/>
  <c r="O54" i="9"/>
  <c r="P54" i="9" s="1"/>
  <c r="O88" i="9"/>
  <c r="P88" i="9" s="1"/>
  <c r="O27" i="9"/>
  <c r="P27" i="9" s="1"/>
  <c r="O101" i="9"/>
  <c r="P101" i="9" s="1"/>
  <c r="O70" i="9"/>
  <c r="O96" i="9"/>
  <c r="P96" i="9" s="1"/>
  <c r="O94" i="9"/>
  <c r="P94" i="9" s="1"/>
  <c r="O71" i="9"/>
  <c r="P71" i="9" s="1"/>
  <c r="O8" i="9"/>
  <c r="P8" i="9" s="1"/>
  <c r="O99" i="9"/>
  <c r="P99" i="9" s="1"/>
  <c r="O111" i="9"/>
  <c r="O47" i="9"/>
  <c r="O16" i="9"/>
  <c r="P16" i="9" s="1"/>
  <c r="O74" i="9"/>
  <c r="P74" i="9" s="1"/>
  <c r="O62" i="9"/>
  <c r="P62" i="9" s="1"/>
  <c r="O67" i="9"/>
  <c r="P67" i="9" s="1"/>
  <c r="O11" i="9"/>
  <c r="O55" i="9"/>
  <c r="P55" i="9" s="1"/>
  <c r="O61" i="9"/>
  <c r="P61" i="9" s="1"/>
  <c r="O104" i="9"/>
  <c r="P104" i="9" s="1"/>
  <c r="O38" i="9"/>
  <c r="P38" i="9" s="1"/>
  <c r="O118" i="9"/>
  <c r="P118" i="9" s="1"/>
  <c r="O107" i="9"/>
  <c r="P107" i="9" s="1"/>
  <c r="O76" i="9"/>
  <c r="P76" i="9" s="1"/>
  <c r="O52" i="9"/>
  <c r="O116" i="9"/>
  <c r="P116" i="9" s="1"/>
  <c r="O10" i="9"/>
  <c r="P10" i="9" s="1"/>
  <c r="O30" i="9"/>
  <c r="P30" i="9" s="1"/>
  <c r="O56" i="9"/>
  <c r="O29" i="9"/>
  <c r="P29" i="9" s="1"/>
  <c r="O89" i="9"/>
  <c r="P89" i="9" s="1"/>
  <c r="O117" i="9"/>
  <c r="P117" i="9" s="1"/>
  <c r="O14" i="9"/>
  <c r="P14" i="9" s="1"/>
  <c r="O24" i="9"/>
  <c r="P24" i="9" s="1"/>
  <c r="O5" i="9"/>
  <c r="P5" i="9" s="1"/>
  <c r="O108" i="9"/>
  <c r="P108" i="9" s="1"/>
  <c r="O109" i="9"/>
  <c r="P109" i="9" s="1"/>
  <c r="O58" i="9"/>
  <c r="O78" i="9"/>
  <c r="P78" i="9" s="1"/>
  <c r="O40" i="9"/>
  <c r="P40" i="9" s="1"/>
  <c r="O37" i="9"/>
  <c r="P37" i="9" s="1"/>
  <c r="O105" i="9"/>
  <c r="P105" i="9" s="1"/>
  <c r="O36" i="9"/>
  <c r="P36" i="9" s="1"/>
  <c r="O64" i="9"/>
  <c r="P64" i="9" s="1"/>
  <c r="O45" i="9"/>
  <c r="O66" i="9"/>
  <c r="P66" i="9" s="1"/>
  <c r="O98" i="9"/>
  <c r="P98" i="9" s="1"/>
  <c r="O72" i="9"/>
  <c r="P72" i="9" s="1"/>
  <c r="O4" i="9"/>
  <c r="O23" i="9"/>
  <c r="P23" i="9" s="1"/>
  <c r="O79" i="9"/>
  <c r="P79" i="9" s="1"/>
  <c r="O51" i="9"/>
  <c r="P51" i="9" s="1"/>
  <c r="O22" i="9"/>
  <c r="P22" i="9" s="1"/>
  <c r="O39" i="9"/>
  <c r="P39" i="9" s="1"/>
  <c r="O21" i="9"/>
  <c r="P21" i="9" s="1"/>
  <c r="O19" i="9"/>
  <c r="P19" i="9" s="1"/>
  <c r="O50" i="9"/>
  <c r="P50" i="9" s="1"/>
  <c r="O115" i="9"/>
  <c r="O80" i="9"/>
  <c r="P80" i="9" s="1"/>
  <c r="O43" i="9"/>
  <c r="P43" i="9" s="1"/>
  <c r="O48" i="9"/>
  <c r="O114" i="9"/>
  <c r="P114" i="9" s="1"/>
  <c r="O102" i="9"/>
  <c r="P102" i="9" s="1"/>
  <c r="O42" i="9"/>
  <c r="P42" i="9" s="1"/>
  <c r="O113" i="9"/>
  <c r="O91" i="9"/>
  <c r="P91" i="9" s="1"/>
  <c r="O18" i="9"/>
  <c r="P18" i="9" s="1"/>
  <c r="O25" i="9"/>
  <c r="P25" i="9" s="1"/>
  <c r="O93" i="9"/>
  <c r="P93" i="9" s="1"/>
  <c r="O9" i="9"/>
  <c r="P9" i="9" s="1"/>
  <c r="O59" i="9"/>
  <c r="P59" i="9" s="1"/>
  <c r="O46" i="9"/>
  <c r="P46" i="9" s="1"/>
  <c r="O85" i="9"/>
  <c r="P85" i="9" s="1"/>
  <c r="P58" i="9"/>
  <c r="U112" i="9"/>
  <c r="U13" i="9"/>
  <c r="U57" i="9"/>
  <c r="U49" i="9"/>
  <c r="U87" i="9"/>
  <c r="U107" i="9"/>
  <c r="U89" i="9"/>
  <c r="U4" i="9"/>
  <c r="P4" i="9"/>
  <c r="U21" i="9"/>
  <c r="U75" i="9"/>
  <c r="U29" i="9"/>
  <c r="U26" i="9"/>
  <c r="U92" i="9"/>
  <c r="U95" i="9"/>
  <c r="U54" i="9"/>
  <c r="U121" i="9"/>
  <c r="U110" i="9"/>
  <c r="U44" i="9"/>
  <c r="P44" i="9"/>
  <c r="U88" i="9"/>
  <c r="U8" i="9"/>
  <c r="U109" i="9"/>
  <c r="U98" i="9"/>
  <c r="U28" i="9"/>
  <c r="U77" i="9"/>
  <c r="U25" i="9"/>
  <c r="U48" i="9"/>
  <c r="P48" i="9"/>
  <c r="U60" i="9"/>
  <c r="U63" i="9"/>
  <c r="U12" i="9"/>
  <c r="U83" i="9"/>
  <c r="U106" i="9"/>
  <c r="U100" i="9"/>
  <c r="U72" i="9"/>
  <c r="U115" i="9"/>
  <c r="P115" i="9"/>
  <c r="U68" i="9"/>
  <c r="U17" i="9"/>
  <c r="U59" i="9"/>
  <c r="U46" i="9"/>
  <c r="U64" i="9"/>
  <c r="U50" i="9"/>
  <c r="U114" i="9"/>
  <c r="U43" i="9"/>
  <c r="U18" i="9"/>
  <c r="U91" i="9"/>
  <c r="U5" i="9"/>
  <c r="U19" i="9"/>
  <c r="U27" i="9"/>
  <c r="U111" i="9"/>
  <c r="P111" i="9"/>
  <c r="U33" i="9"/>
  <c r="U69" i="9"/>
  <c r="P69" i="9"/>
  <c r="U32" i="9"/>
  <c r="U30" i="9"/>
  <c r="U31" i="9"/>
  <c r="U101" i="9"/>
  <c r="U39" i="9"/>
  <c r="U76" i="9"/>
  <c r="U62" i="9"/>
  <c r="U90" i="9"/>
  <c r="U103" i="9"/>
  <c r="U80" i="9"/>
  <c r="U41" i="9"/>
  <c r="P41" i="9"/>
  <c r="U96" i="9"/>
  <c r="U11" i="9"/>
  <c r="P11" i="9"/>
  <c r="U14" i="9"/>
  <c r="U113" i="9"/>
  <c r="P113" i="9"/>
  <c r="U93" i="9"/>
  <c r="U105" i="9"/>
  <c r="U38" i="9"/>
  <c r="U10" i="9"/>
  <c r="U117" i="9"/>
  <c r="U16" i="9"/>
  <c r="U86" i="9"/>
  <c r="P86" i="9"/>
  <c r="U94" i="9"/>
  <c r="U34" i="9"/>
  <c r="P34" i="9"/>
  <c r="U23" i="9"/>
  <c r="U45" i="9"/>
  <c r="P45" i="9"/>
  <c r="U70" i="9"/>
  <c r="P70" i="9"/>
  <c r="U102" i="9"/>
  <c r="U9" i="9"/>
  <c r="U47" i="9"/>
  <c r="P47" i="9"/>
  <c r="U118" i="9"/>
  <c r="U97" i="9"/>
  <c r="P97" i="9"/>
  <c r="U15" i="9"/>
  <c r="P15" i="9"/>
  <c r="U36" i="9"/>
  <c r="U51" i="9"/>
  <c r="U84" i="9"/>
  <c r="U81" i="9"/>
  <c r="U116" i="9"/>
  <c r="U78" i="9"/>
  <c r="U73" i="9"/>
  <c r="U20" i="9"/>
  <c r="U79" i="9"/>
  <c r="U66" i="9"/>
  <c r="U22" i="9"/>
  <c r="U85" i="9"/>
  <c r="U119" i="9"/>
  <c r="U120" i="9"/>
  <c r="P120" i="9"/>
  <c r="U7" i="9"/>
  <c r="U6" i="9"/>
  <c r="U40" i="9"/>
  <c r="U35" i="9"/>
  <c r="U53" i="9"/>
  <c r="P53" i="9"/>
  <c r="U55" i="9"/>
  <c r="U108" i="9"/>
  <c r="U104" i="9"/>
  <c r="U65" i="9"/>
  <c r="U42" i="9"/>
  <c r="U67" i="9"/>
  <c r="U56" i="9"/>
  <c r="P56" i="9"/>
  <c r="U74" i="9"/>
  <c r="U52" i="9"/>
  <c r="P52" i="9"/>
  <c r="U99" i="9"/>
  <c r="U71" i="9"/>
  <c r="U61" i="9"/>
  <c r="U24" i="9"/>
  <c r="U37" i="9"/>
  <c r="U58" i="9"/>
  <c r="R82" i="9"/>
  <c r="S43" i="7"/>
  <c r="W44" i="7"/>
  <c r="S67" i="7"/>
  <c r="S75" i="7"/>
  <c r="W43" i="7"/>
  <c r="W74" i="7"/>
  <c r="W50" i="7"/>
  <c r="W64" i="7"/>
  <c r="W22" i="7"/>
  <c r="S44" i="7"/>
  <c r="W38" i="7"/>
  <c r="S47" i="7"/>
  <c r="S39" i="7"/>
  <c r="W42" i="7"/>
  <c r="W52" i="7"/>
  <c r="W67" i="7"/>
  <c r="B3" i="9"/>
  <c r="W15" i="7"/>
  <c r="AJ20" i="10" l="1"/>
  <c r="AI20" i="10"/>
  <c r="AK19" i="10"/>
  <c r="AH21" i="10"/>
  <c r="AJ20" i="13"/>
  <c r="AI20" i="13"/>
  <c r="AK19" i="13"/>
  <c r="AH21" i="13"/>
  <c r="S82" i="9"/>
  <c r="T82" i="9" s="1"/>
  <c r="T75" i="7"/>
  <c r="U75" i="7" s="1"/>
  <c r="V75" i="7" s="1"/>
  <c r="X50" i="7"/>
  <c r="Y50" i="7" s="1"/>
  <c r="Z50" i="7" s="1"/>
  <c r="X67" i="7"/>
  <c r="Y67" i="7" s="1"/>
  <c r="Z67" i="7" s="1"/>
  <c r="X15" i="7"/>
  <c r="Y15" i="7" s="1"/>
  <c r="Z15" i="7" s="1"/>
  <c r="X44" i="7"/>
  <c r="Y44" i="7" s="1"/>
  <c r="Z44" i="7" s="1"/>
  <c r="X22" i="7"/>
  <c r="Y22" i="7" s="1"/>
  <c r="Z22" i="7" s="1"/>
  <c r="T44" i="7"/>
  <c r="U44" i="7" s="1"/>
  <c r="V44" i="7" s="1"/>
  <c r="T47" i="7"/>
  <c r="U47" i="7" s="1"/>
  <c r="V47" i="7" s="1"/>
  <c r="T43" i="7"/>
  <c r="U43" i="7" s="1"/>
  <c r="V43" i="7" s="1"/>
  <c r="X52" i="7"/>
  <c r="Y52" i="7" s="1"/>
  <c r="Z52" i="7" s="1"/>
  <c r="T67" i="7"/>
  <c r="U67" i="7" s="1"/>
  <c r="V67" i="7" s="1"/>
  <c r="X64" i="7"/>
  <c r="Y64" i="7" s="1"/>
  <c r="Z64" i="7" s="1"/>
  <c r="X74" i="7"/>
  <c r="Y74" i="7" s="1"/>
  <c r="Z74" i="7" s="1"/>
  <c r="T39" i="7"/>
  <c r="U39" i="7" s="1"/>
  <c r="V39" i="7" s="1"/>
  <c r="X43" i="7"/>
  <c r="Y43" i="7" s="1"/>
  <c r="Z43" i="7" s="1"/>
  <c r="X42" i="7"/>
  <c r="Y42" i="7" s="1"/>
  <c r="Z42" i="7" s="1"/>
  <c r="X38" i="7"/>
  <c r="Y38" i="7" s="1"/>
  <c r="Z38" i="7" s="1"/>
  <c r="Z47" i="7"/>
  <c r="Q82" i="9"/>
  <c r="R80" i="9"/>
  <c r="R118" i="9"/>
  <c r="R49" i="9"/>
  <c r="R66" i="9"/>
  <c r="R14" i="9"/>
  <c r="R100" i="9"/>
  <c r="R88" i="9"/>
  <c r="R41" i="9"/>
  <c r="R91" i="9"/>
  <c r="R8" i="9"/>
  <c r="R21" i="9"/>
  <c r="R26" i="9"/>
  <c r="R9" i="9"/>
  <c r="R116" i="9"/>
  <c r="R67" i="9"/>
  <c r="R18" i="9"/>
  <c r="R4" i="9"/>
  <c r="R29" i="9"/>
  <c r="R114" i="9"/>
  <c r="R39" i="9"/>
  <c r="R112" i="9"/>
  <c r="R71" i="9"/>
  <c r="R120" i="9"/>
  <c r="R50" i="9"/>
  <c r="R51" i="9"/>
  <c r="R99" i="9"/>
  <c r="R38" i="9"/>
  <c r="R31" i="9"/>
  <c r="R20" i="9"/>
  <c r="R119" i="9"/>
  <c r="R10" i="9"/>
  <c r="R86" i="9"/>
  <c r="R58" i="9"/>
  <c r="R54" i="9"/>
  <c r="R110" i="9"/>
  <c r="R78" i="9"/>
  <c r="R105" i="9"/>
  <c r="R33" i="9"/>
  <c r="R108" i="9"/>
  <c r="R62" i="9"/>
  <c r="R35" i="9"/>
  <c r="R113" i="9"/>
  <c r="R55" i="9"/>
  <c r="R104" i="9"/>
  <c r="R30" i="9"/>
  <c r="R63" i="9"/>
  <c r="R24" i="9"/>
  <c r="R94" i="9"/>
  <c r="R77" i="9"/>
  <c r="R109" i="9"/>
  <c r="R111" i="9"/>
  <c r="R76" i="9"/>
  <c r="R121" i="9"/>
  <c r="R79" i="9"/>
  <c r="R17" i="9"/>
  <c r="R36" i="9"/>
  <c r="R70" i="9"/>
  <c r="R5" i="9"/>
  <c r="R92" i="9"/>
  <c r="R37" i="9"/>
  <c r="R56" i="9"/>
  <c r="R47" i="9"/>
  <c r="R45" i="9"/>
  <c r="R40" i="9"/>
  <c r="R25" i="9"/>
  <c r="R106" i="9"/>
  <c r="R59" i="9"/>
  <c r="R87" i="9"/>
  <c r="R12" i="9"/>
  <c r="R72" i="9"/>
  <c r="AK20" i="10" l="1"/>
  <c r="AI21" i="10"/>
  <c r="AJ21" i="10"/>
  <c r="AH22" i="10"/>
  <c r="AJ21" i="13"/>
  <c r="AI21" i="13"/>
  <c r="AK20" i="13"/>
  <c r="AH22" i="13"/>
  <c r="S94" i="9"/>
  <c r="S18" i="9"/>
  <c r="S114" i="9"/>
  <c r="S10" i="9"/>
  <c r="S71" i="9"/>
  <c r="S36" i="9"/>
  <c r="S25" i="9"/>
  <c r="S109" i="9"/>
  <c r="S70" i="9"/>
  <c r="S99" i="9"/>
  <c r="S111" i="9"/>
  <c r="S58" i="9"/>
  <c r="S21" i="9"/>
  <c r="S91" i="9"/>
  <c r="S59" i="9"/>
  <c r="S86" i="9"/>
  <c r="S120" i="9"/>
  <c r="S72" i="9"/>
  <c r="S106" i="9"/>
  <c r="S38" i="9"/>
  <c r="S49" i="9"/>
  <c r="S55" i="9"/>
  <c r="S63" i="9"/>
  <c r="S20" i="9"/>
  <c r="S4" i="9"/>
  <c r="S41" i="9"/>
  <c r="S24" i="9"/>
  <c r="S119" i="9"/>
  <c r="S100" i="9"/>
  <c r="S67" i="9"/>
  <c r="S77" i="9"/>
  <c r="S45" i="9"/>
  <c r="S108" i="9"/>
  <c r="S33" i="9"/>
  <c r="S9" i="9"/>
  <c r="S8" i="9"/>
  <c r="S80" i="9"/>
  <c r="S76" i="9"/>
  <c r="S92" i="9"/>
  <c r="S104" i="9"/>
  <c r="S39" i="9"/>
  <c r="S26" i="9"/>
  <c r="S87" i="9"/>
  <c r="S50" i="9"/>
  <c r="S118" i="9"/>
  <c r="S110" i="9"/>
  <c r="S37" i="9"/>
  <c r="S30" i="9"/>
  <c r="S78" i="9"/>
  <c r="S54" i="9"/>
  <c r="S51" i="9"/>
  <c r="S29" i="9"/>
  <c r="S56" i="9"/>
  <c r="S5" i="9"/>
  <c r="S105" i="9"/>
  <c r="S47" i="9"/>
  <c r="S121" i="9"/>
  <c r="S35" i="9"/>
  <c r="S113" i="9"/>
  <c r="S112" i="9"/>
  <c r="S40" i="9"/>
  <c r="S17" i="9"/>
  <c r="S62" i="9"/>
  <c r="S79" i="9"/>
  <c r="S31" i="9"/>
  <c r="S116" i="9"/>
  <c r="S66" i="9"/>
  <c r="S12" i="9"/>
  <c r="S88" i="9"/>
  <c r="S14" i="9"/>
  <c r="Q58" i="9"/>
  <c r="Q104" i="9"/>
  <c r="Q94" i="9"/>
  <c r="Q114" i="9"/>
  <c r="Q21" i="9"/>
  <c r="Q39" i="9"/>
  <c r="Q67" i="9"/>
  <c r="Q45" i="9"/>
  <c r="Q91" i="9"/>
  <c r="Q26" i="9"/>
  <c r="Q35" i="9"/>
  <c r="Q10" i="9"/>
  <c r="Q59" i="9"/>
  <c r="Q87" i="9"/>
  <c r="Q18" i="9"/>
  <c r="Q108" i="9"/>
  <c r="Q86" i="9"/>
  <c r="Q50" i="9"/>
  <c r="Q77" i="9"/>
  <c r="Q71" i="9"/>
  <c r="Q120" i="9"/>
  <c r="Q118" i="9"/>
  <c r="Q113" i="9"/>
  <c r="Q33" i="9"/>
  <c r="Q72" i="9"/>
  <c r="Q110" i="9"/>
  <c r="Q112" i="9"/>
  <c r="Q9" i="9"/>
  <c r="Q106" i="9"/>
  <c r="Q37" i="9"/>
  <c r="Q40" i="9"/>
  <c r="Q36" i="9"/>
  <c r="Q38" i="9"/>
  <c r="Q30" i="9"/>
  <c r="Q17" i="9"/>
  <c r="Q8" i="9"/>
  <c r="Q49" i="9"/>
  <c r="Q78" i="9"/>
  <c r="Q62" i="9"/>
  <c r="Q25" i="9"/>
  <c r="Q55" i="9"/>
  <c r="Q54" i="9"/>
  <c r="Q79" i="9"/>
  <c r="Q80" i="9"/>
  <c r="Q63" i="9"/>
  <c r="Q51" i="9"/>
  <c r="Q31" i="9"/>
  <c r="Q109" i="9"/>
  <c r="Q20" i="9"/>
  <c r="Q29" i="9"/>
  <c r="Q116" i="9"/>
  <c r="Q76" i="9"/>
  <c r="Q4" i="9"/>
  <c r="Q56" i="9"/>
  <c r="Q66" i="9"/>
  <c r="Q70" i="9"/>
  <c r="Q41" i="9"/>
  <c r="Q5" i="9"/>
  <c r="Q12" i="9"/>
  <c r="Q92" i="9"/>
  <c r="Q24" i="9"/>
  <c r="Q105" i="9"/>
  <c r="Q88" i="9"/>
  <c r="Q99" i="9"/>
  <c r="Q119" i="9"/>
  <c r="Q47" i="9"/>
  <c r="Q14" i="9"/>
  <c r="Q111" i="9"/>
  <c r="Q100" i="9"/>
  <c r="Q121" i="9"/>
  <c r="R28" i="9"/>
  <c r="R101" i="9"/>
  <c r="R34" i="9"/>
  <c r="R73" i="9"/>
  <c r="R15" i="9"/>
  <c r="R69" i="9"/>
  <c r="R117" i="9"/>
  <c r="R46" i="9"/>
  <c r="R103" i="9"/>
  <c r="R22" i="9"/>
  <c r="R48" i="9"/>
  <c r="R93" i="9"/>
  <c r="R74" i="9"/>
  <c r="R75" i="9"/>
  <c r="R85" i="9"/>
  <c r="R81" i="9"/>
  <c r="R43" i="9"/>
  <c r="R16" i="9"/>
  <c r="R115" i="9"/>
  <c r="R64" i="9"/>
  <c r="R11" i="9"/>
  <c r="R52" i="9"/>
  <c r="R83" i="9"/>
  <c r="R89" i="9"/>
  <c r="R19" i="9"/>
  <c r="R27" i="9"/>
  <c r="R7" i="9"/>
  <c r="R60" i="9"/>
  <c r="R107" i="9"/>
  <c r="R6" i="9"/>
  <c r="R42" i="9"/>
  <c r="R102" i="9"/>
  <c r="R68" i="9"/>
  <c r="R84" i="9"/>
  <c r="R98" i="9"/>
  <c r="R96" i="9"/>
  <c r="R95" i="9"/>
  <c r="R53" i="9"/>
  <c r="R44" i="9"/>
  <c r="R90" i="9"/>
  <c r="R23" i="9"/>
  <c r="R32" i="9"/>
  <c r="R97" i="9"/>
  <c r="R61" i="9"/>
  <c r="R57" i="9"/>
  <c r="R13" i="9"/>
  <c r="R65" i="9"/>
  <c r="AI22" i="10" l="1"/>
  <c r="AJ22" i="10"/>
  <c r="AK21" i="10"/>
  <c r="AH23" i="10"/>
  <c r="AJ22" i="13"/>
  <c r="AI22" i="13"/>
  <c r="AK21" i="13"/>
  <c r="AH23" i="13"/>
  <c r="S43" i="9"/>
  <c r="S42" i="9"/>
  <c r="S98" i="9"/>
  <c r="S97" i="9"/>
  <c r="S81" i="9"/>
  <c r="S89" i="9"/>
  <c r="S73" i="9"/>
  <c r="S48" i="9"/>
  <c r="S74" i="9"/>
  <c r="S11" i="9"/>
  <c r="S117" i="9"/>
  <c r="S107" i="9"/>
  <c r="S102" i="9"/>
  <c r="S32" i="9"/>
  <c r="S93" i="9"/>
  <c r="S13" i="9"/>
  <c r="S95" i="9"/>
  <c r="S27" i="9"/>
  <c r="S84" i="9"/>
  <c r="S85" i="9"/>
  <c r="S22" i="9"/>
  <c r="S23" i="9"/>
  <c r="S34" i="9"/>
  <c r="S75" i="9"/>
  <c r="S19" i="9"/>
  <c r="S57" i="9"/>
  <c r="S101" i="9"/>
  <c r="S15" i="9"/>
  <c r="S83" i="9"/>
  <c r="S61" i="9"/>
  <c r="S69" i="9"/>
  <c r="S16" i="9"/>
  <c r="S65" i="9"/>
  <c r="S64" i="9"/>
  <c r="S44" i="9"/>
  <c r="S96" i="9"/>
  <c r="S60" i="9"/>
  <c r="S90" i="9"/>
  <c r="S6" i="9"/>
  <c r="S52" i="9"/>
  <c r="S53" i="9"/>
  <c r="S46" i="9"/>
  <c r="S68" i="9"/>
  <c r="S103" i="9"/>
  <c r="S7" i="9"/>
  <c r="S115" i="9"/>
  <c r="S28" i="9"/>
  <c r="Q81" i="9"/>
  <c r="Q22" i="9"/>
  <c r="Q96" i="9"/>
  <c r="Q95" i="9"/>
  <c r="Q89" i="9"/>
  <c r="Q23" i="9"/>
  <c r="Q60" i="9"/>
  <c r="Q65" i="9"/>
  <c r="Q73" i="9"/>
  <c r="Q34" i="9"/>
  <c r="Q90" i="9"/>
  <c r="Q43" i="9"/>
  <c r="Q48" i="9"/>
  <c r="Q75" i="9"/>
  <c r="Q6" i="9"/>
  <c r="Q27" i="9"/>
  <c r="Q74" i="9"/>
  <c r="Q19" i="9"/>
  <c r="Q52" i="9"/>
  <c r="Q42" i="9"/>
  <c r="Q11" i="9"/>
  <c r="Q57" i="9"/>
  <c r="Q53" i="9"/>
  <c r="Q84" i="9"/>
  <c r="Q117" i="9"/>
  <c r="Q101" i="9"/>
  <c r="Q46" i="9"/>
  <c r="Q98" i="9"/>
  <c r="Q107" i="9"/>
  <c r="Q15" i="9"/>
  <c r="Q68" i="9"/>
  <c r="Q64" i="9"/>
  <c r="Q102" i="9"/>
  <c r="Q83" i="9"/>
  <c r="Q103" i="9"/>
  <c r="Q85" i="9"/>
  <c r="Q32" i="9"/>
  <c r="Q61" i="9"/>
  <c r="Q7" i="9"/>
  <c r="Q97" i="9"/>
  <c r="Q93" i="9"/>
  <c r="Q69" i="9"/>
  <c r="Q115" i="9"/>
  <c r="Q44" i="9"/>
  <c r="Q13" i="9"/>
  <c r="Q16" i="9"/>
  <c r="Q28" i="9"/>
  <c r="T68" i="9"/>
  <c r="T100" i="9"/>
  <c r="T63" i="9"/>
  <c r="T77" i="9"/>
  <c r="T8" i="9"/>
  <c r="T121" i="9"/>
  <c r="T26" i="9"/>
  <c r="T4" i="9"/>
  <c r="T49" i="9"/>
  <c r="T17" i="9"/>
  <c r="AK22" i="10" l="1"/>
  <c r="AI23" i="10"/>
  <c r="AJ23" i="10"/>
  <c r="AH24" i="10"/>
  <c r="AJ23" i="13"/>
  <c r="AI23" i="13"/>
  <c r="AK22" i="13"/>
  <c r="AH24" i="13"/>
  <c r="T24" i="9"/>
  <c r="T52" i="9"/>
  <c r="T81" i="9"/>
  <c r="T47" i="9"/>
  <c r="T86" i="9"/>
  <c r="T14" i="9"/>
  <c r="T61" i="9"/>
  <c r="T74" i="9"/>
  <c r="T65" i="9"/>
  <c r="T53" i="9"/>
  <c r="T7" i="9"/>
  <c r="T78" i="9"/>
  <c r="T116" i="9"/>
  <c r="T118" i="9"/>
  <c r="T55" i="9"/>
  <c r="T58" i="9"/>
  <c r="T71" i="9"/>
  <c r="T56" i="9"/>
  <c r="T104" i="9"/>
  <c r="T35" i="9"/>
  <c r="T120" i="9"/>
  <c r="T20" i="9"/>
  <c r="T15" i="9"/>
  <c r="T70" i="9"/>
  <c r="T94" i="9"/>
  <c r="T10" i="9"/>
  <c r="T113" i="9"/>
  <c r="T80" i="9"/>
  <c r="T42" i="9"/>
  <c r="T6" i="9"/>
  <c r="T85" i="9"/>
  <c r="T45" i="9"/>
  <c r="T38" i="9"/>
  <c r="T37" i="9"/>
  <c r="T99" i="9"/>
  <c r="T67" i="9"/>
  <c r="T108" i="9"/>
  <c r="T40" i="9"/>
  <c r="T119" i="9"/>
  <c r="T66" i="9"/>
  <c r="T79" i="9"/>
  <c r="T51" i="9"/>
  <c r="T36" i="9"/>
  <c r="T9" i="9"/>
  <c r="T23" i="9"/>
  <c r="T16" i="9"/>
  <c r="T105" i="9"/>
  <c r="T11" i="9"/>
  <c r="T103" i="9"/>
  <c r="T22" i="9"/>
  <c r="T73" i="9"/>
  <c r="T84" i="9"/>
  <c r="T97" i="9"/>
  <c r="T102" i="9"/>
  <c r="T34" i="9"/>
  <c r="T117" i="9"/>
  <c r="T93" i="9"/>
  <c r="T96" i="9"/>
  <c r="T41" i="9"/>
  <c r="T90" i="9"/>
  <c r="T76" i="9"/>
  <c r="T101" i="9"/>
  <c r="T30" i="9"/>
  <c r="T69" i="9"/>
  <c r="T19" i="9"/>
  <c r="T43" i="9"/>
  <c r="T46" i="9"/>
  <c r="T115" i="9"/>
  <c r="T83" i="9"/>
  <c r="T48" i="9"/>
  <c r="T98" i="9"/>
  <c r="T44" i="9"/>
  <c r="T95" i="9"/>
  <c r="T75" i="9"/>
  <c r="T107" i="9"/>
  <c r="T13" i="9"/>
  <c r="T62" i="9"/>
  <c r="T31" i="9"/>
  <c r="T33" i="9"/>
  <c r="T5" i="9"/>
  <c r="T114" i="9"/>
  <c r="T59" i="9"/>
  <c r="T72" i="9"/>
  <c r="T12" i="9"/>
  <c r="T25" i="9"/>
  <c r="T109" i="9"/>
  <c r="T110" i="9"/>
  <c r="T92" i="9"/>
  <c r="T21" i="9"/>
  <c r="T87" i="9"/>
  <c r="T112" i="9"/>
  <c r="T111" i="9"/>
  <c r="T91" i="9"/>
  <c r="T50" i="9"/>
  <c r="T39" i="9"/>
  <c r="T32" i="9"/>
  <c r="T27" i="9"/>
  <c r="T18" i="9"/>
  <c r="T64" i="9"/>
  <c r="T106" i="9"/>
  <c r="T60" i="9"/>
  <c r="T28" i="9"/>
  <c r="T88" i="9"/>
  <c r="T54" i="9"/>
  <c r="T29" i="9"/>
  <c r="T89" i="9"/>
  <c r="T57" i="9"/>
  <c r="AI24" i="10" l="1"/>
  <c r="AJ24" i="10"/>
  <c r="AK23" i="10"/>
  <c r="AH25" i="10"/>
  <c r="AJ24" i="13"/>
  <c r="AI24" i="13"/>
  <c r="AK23" i="13"/>
  <c r="AH25" i="13"/>
  <c r="AD3" i="7"/>
  <c r="B3" i="5"/>
  <c r="AJ25" i="10" l="1"/>
  <c r="AI25" i="10"/>
  <c r="AK24" i="10"/>
  <c r="AH26" i="10"/>
  <c r="AJ25" i="13"/>
  <c r="AI25" i="13"/>
  <c r="AK24" i="13"/>
  <c r="AH26" i="13"/>
  <c r="AJ26" i="10" l="1"/>
  <c r="AI26" i="10"/>
  <c r="AK25" i="10"/>
  <c r="AH27" i="10"/>
  <c r="AJ26" i="13"/>
  <c r="AI26" i="13"/>
  <c r="AK25" i="13"/>
  <c r="AH27" i="13"/>
  <c r="AJ27" i="10" l="1"/>
  <c r="AI27" i="10"/>
  <c r="AK26" i="10"/>
  <c r="AH28" i="10"/>
  <c r="AJ27" i="13"/>
  <c r="AI27" i="13"/>
  <c r="AK26" i="13"/>
  <c r="AH28" i="13"/>
  <c r="AJ28" i="10" l="1"/>
  <c r="AI28" i="10"/>
  <c r="AK27" i="10"/>
  <c r="AH29" i="10"/>
  <c r="AJ28" i="13"/>
  <c r="AI28" i="13"/>
  <c r="AK27" i="13"/>
  <c r="AH29" i="13"/>
  <c r="AJ29" i="10" l="1"/>
  <c r="AI29" i="10"/>
  <c r="AK28" i="10"/>
  <c r="AH30" i="10"/>
  <c r="AJ29" i="13"/>
  <c r="AI29" i="13"/>
  <c r="AK28" i="13"/>
  <c r="AH30" i="13"/>
  <c r="AJ30" i="10" l="1"/>
  <c r="AI30" i="10"/>
  <c r="AK29" i="10"/>
  <c r="AH31" i="10"/>
  <c r="AK29" i="13"/>
  <c r="AJ30" i="13"/>
  <c r="AI30" i="13"/>
  <c r="AH31" i="13"/>
  <c r="AK30" i="13" l="1"/>
  <c r="AJ31" i="10"/>
  <c r="AI31" i="10"/>
  <c r="AK30" i="10"/>
  <c r="AH32" i="10"/>
  <c r="AJ31" i="13"/>
  <c r="AI31" i="13"/>
  <c r="AH32" i="13"/>
  <c r="AI32" i="10" l="1"/>
  <c r="AJ32" i="10"/>
  <c r="AK31" i="10"/>
  <c r="AH33" i="10"/>
  <c r="AJ32" i="13"/>
  <c r="AI32" i="13"/>
  <c r="AK31" i="13"/>
  <c r="AH33" i="13"/>
  <c r="AJ33" i="10" l="1"/>
  <c r="AI33" i="10"/>
  <c r="AK32" i="10"/>
  <c r="AH34" i="10"/>
  <c r="AJ33" i="13"/>
  <c r="AI33" i="13"/>
  <c r="AK32" i="13"/>
  <c r="AH34" i="13"/>
  <c r="AI34" i="10" l="1"/>
  <c r="AJ34" i="10"/>
  <c r="AK33" i="10"/>
  <c r="AH35" i="10"/>
  <c r="AJ34" i="13"/>
  <c r="AI34" i="13"/>
  <c r="AK33" i="13"/>
  <c r="AH35" i="13"/>
  <c r="AK34" i="10" l="1"/>
  <c r="AI35" i="10"/>
  <c r="AJ35" i="10"/>
  <c r="AH36" i="10"/>
  <c r="AJ35" i="13"/>
  <c r="AI35" i="13"/>
  <c r="AK34" i="13"/>
  <c r="AH36" i="13"/>
  <c r="AK35" i="10" l="1"/>
  <c r="AJ36" i="10"/>
  <c r="AI36" i="10"/>
  <c r="AH37" i="10"/>
  <c r="AJ36" i="13"/>
  <c r="AI36" i="13"/>
  <c r="AK35" i="13"/>
  <c r="AH37" i="13"/>
  <c r="AK36" i="10" l="1"/>
  <c r="AI37" i="10"/>
  <c r="AJ37" i="10"/>
  <c r="AH38" i="10"/>
  <c r="AJ37" i="13"/>
  <c r="AI37" i="13"/>
  <c r="AK36" i="13"/>
  <c r="AH38" i="13"/>
  <c r="AK37" i="10" l="1"/>
  <c r="AI38" i="10"/>
  <c r="AJ38" i="10"/>
  <c r="AH39" i="10"/>
  <c r="AJ38" i="13"/>
  <c r="AI38" i="13"/>
  <c r="AK37" i="13"/>
  <c r="AH39" i="13"/>
  <c r="AK38" i="10" l="1"/>
  <c r="AI39" i="10"/>
  <c r="AJ39" i="10"/>
  <c r="AH40" i="10"/>
  <c r="AJ39" i="13"/>
  <c r="AI39" i="13"/>
  <c r="AK38" i="13"/>
  <c r="AH40" i="13"/>
  <c r="AK39" i="10" l="1"/>
  <c r="AI40" i="10"/>
  <c r="AJ40" i="10"/>
  <c r="AH41" i="10"/>
  <c r="AJ40" i="13"/>
  <c r="AI40" i="13"/>
  <c r="AK39" i="13"/>
  <c r="AH41" i="13"/>
  <c r="AK40" i="10" l="1"/>
  <c r="AJ41" i="10"/>
  <c r="AI41" i="10"/>
  <c r="AH42" i="10"/>
  <c r="AJ41" i="13"/>
  <c r="AI41" i="13"/>
  <c r="AK40" i="13"/>
  <c r="AH42" i="13"/>
  <c r="AJ42" i="10" l="1"/>
  <c r="AI42" i="10"/>
  <c r="AK41" i="10"/>
  <c r="AH43" i="10"/>
  <c r="AJ42" i="13"/>
  <c r="AI42" i="13"/>
  <c r="AK41" i="13"/>
  <c r="AH43" i="13"/>
  <c r="AH44" i="13" s="1"/>
  <c r="AJ43" i="10" l="1"/>
  <c r="AI43" i="10"/>
  <c r="AK42" i="10"/>
  <c r="AH44" i="10"/>
  <c r="AH45" i="13"/>
  <c r="AJ44" i="13"/>
  <c r="AI44" i="13"/>
  <c r="AJ43" i="13"/>
  <c r="AI43" i="13"/>
  <c r="AK42" i="13"/>
  <c r="AJ44" i="10" l="1"/>
  <c r="AI44" i="10"/>
  <c r="AK43" i="10"/>
  <c r="AH45" i="10"/>
  <c r="AK44" i="13"/>
  <c r="AH46" i="13"/>
  <c r="AJ45" i="13"/>
  <c r="AI45" i="13"/>
  <c r="AK43" i="13"/>
  <c r="AK44" i="10" l="1"/>
  <c r="AJ45" i="10"/>
  <c r="AI45" i="10"/>
  <c r="AH46" i="10"/>
  <c r="AK45" i="13"/>
  <c r="AH47" i="13"/>
  <c r="AJ46" i="13"/>
  <c r="AI46" i="13"/>
  <c r="AK46" i="13" l="1"/>
  <c r="AJ46" i="10"/>
  <c r="AI46" i="10"/>
  <c r="AK45" i="10"/>
  <c r="AH47" i="10"/>
  <c r="AH48" i="13"/>
  <c r="AH49" i="13" s="1"/>
  <c r="AJ47" i="13"/>
  <c r="AI47" i="13"/>
  <c r="AK47" i="13" l="1"/>
  <c r="AJ47" i="10"/>
  <c r="AI47" i="10"/>
  <c r="AK46" i="10"/>
  <c r="AH48" i="10"/>
  <c r="AJ49" i="13"/>
  <c r="AH50" i="13"/>
  <c r="AI49" i="13"/>
  <c r="AJ48" i="13"/>
  <c r="AI48" i="13"/>
  <c r="AI48" i="10" l="1"/>
  <c r="AJ48" i="10"/>
  <c r="AK47" i="10"/>
  <c r="AH49" i="10"/>
  <c r="AK49" i="13"/>
  <c r="AH51" i="13"/>
  <c r="AJ50" i="13"/>
  <c r="AI50" i="13"/>
  <c r="AK48" i="13"/>
  <c r="AJ49" i="10" l="1"/>
  <c r="AI49" i="10"/>
  <c r="AK48" i="10"/>
  <c r="AH50" i="10"/>
  <c r="AK50" i="13"/>
  <c r="AJ51" i="13"/>
  <c r="AH52" i="13"/>
  <c r="AI51" i="13"/>
  <c r="AI50" i="10" l="1"/>
  <c r="AJ50" i="10"/>
  <c r="AK49" i="10"/>
  <c r="AH51" i="10"/>
  <c r="AK51" i="13"/>
  <c r="AH53" i="13"/>
  <c r="AJ52" i="13"/>
  <c r="AI52" i="13"/>
  <c r="AI51" i="10" l="1"/>
  <c r="AJ51" i="10"/>
  <c r="AK50" i="10"/>
  <c r="AH52" i="10"/>
  <c r="AK52" i="13"/>
  <c r="AJ53" i="13"/>
  <c r="AH54" i="13"/>
  <c r="AI53" i="13"/>
  <c r="AJ52" i="10" l="1"/>
  <c r="AI52" i="10"/>
  <c r="AK51" i="10"/>
  <c r="AH53" i="10"/>
  <c r="AK53" i="13"/>
  <c r="AH55" i="13"/>
  <c r="AJ54" i="13"/>
  <c r="AI54" i="13"/>
  <c r="AI53" i="10" l="1"/>
  <c r="AJ53" i="10"/>
  <c r="AK52" i="10"/>
  <c r="AH54" i="10"/>
  <c r="AK54" i="13"/>
  <c r="AJ55" i="13"/>
  <c r="AH56" i="13"/>
  <c r="AI55" i="13"/>
  <c r="AK55" i="13" l="1"/>
  <c r="AI54" i="10"/>
  <c r="AJ54" i="10"/>
  <c r="AK53" i="10"/>
  <c r="AH55" i="10"/>
  <c r="AH57" i="13"/>
  <c r="AH58" i="13" s="1"/>
  <c r="AJ56" i="13"/>
  <c r="AI56" i="13"/>
  <c r="AK56" i="13" l="1"/>
  <c r="AI55" i="10"/>
  <c r="AJ55" i="10"/>
  <c r="AK54" i="10"/>
  <c r="AH56" i="10"/>
  <c r="AJ58" i="13"/>
  <c r="AH59" i="13"/>
  <c r="AI58" i="13"/>
  <c r="AJ57" i="13"/>
  <c r="AI57" i="13"/>
  <c r="AI56" i="10" l="1"/>
  <c r="AJ56" i="10"/>
  <c r="AK55" i="10"/>
  <c r="AH57" i="10"/>
  <c r="AK58" i="13"/>
  <c r="AK57" i="13"/>
  <c r="AJ59" i="13"/>
  <c r="AH60" i="13"/>
  <c r="AI59" i="13"/>
  <c r="AJ57" i="10" l="1"/>
  <c r="AI57" i="10"/>
  <c r="AK56" i="10"/>
  <c r="AH58" i="10"/>
  <c r="AK59" i="13"/>
  <c r="AJ60" i="13"/>
  <c r="AH61" i="13"/>
  <c r="AI60" i="13"/>
  <c r="AI58" i="10" l="1"/>
  <c r="AJ58" i="10"/>
  <c r="AK57" i="10"/>
  <c r="AH59" i="10"/>
  <c r="AK60" i="13"/>
  <c r="AJ61" i="13"/>
  <c r="AH62" i="13"/>
  <c r="AI61" i="13"/>
  <c r="AJ59" i="10" l="1"/>
  <c r="AI59" i="10"/>
  <c r="AK58" i="10"/>
  <c r="AH60" i="10"/>
  <c r="AK61" i="13"/>
  <c r="AJ62" i="13"/>
  <c r="AH63" i="13"/>
  <c r="AI62" i="13"/>
  <c r="AJ60" i="10" l="1"/>
  <c r="AI60" i="10"/>
  <c r="AK59" i="10"/>
  <c r="AH61" i="10"/>
  <c r="AK62" i="13"/>
  <c r="AJ63" i="13"/>
  <c r="AH64" i="13"/>
  <c r="AI63" i="13"/>
  <c r="AK60" i="10" l="1"/>
  <c r="AI61" i="10"/>
  <c r="AJ61" i="10"/>
  <c r="AH62" i="10"/>
  <c r="AK63" i="13"/>
  <c r="AJ64" i="13"/>
  <c r="AI64" i="13"/>
  <c r="AK61" i="10" l="1"/>
  <c r="AJ62" i="10"/>
  <c r="AI62" i="10"/>
  <c r="AH63" i="10"/>
  <c r="AK64" i="13"/>
  <c r="AK62" i="10" l="1"/>
  <c r="AI63" i="10"/>
  <c r="AJ63" i="10"/>
  <c r="AH64" i="10"/>
  <c r="AK63" i="10" l="1"/>
  <c r="AI64" i="10"/>
  <c r="AJ64" i="10"/>
  <c r="AK64" i="10" l="1"/>
</calcChain>
</file>

<file path=xl/sharedStrings.xml><?xml version="1.0" encoding="utf-8"?>
<sst xmlns="http://schemas.openxmlformats.org/spreadsheetml/2006/main" count="2821" uniqueCount="1904">
  <si>
    <t>HDFC</t>
  </si>
  <si>
    <t>ITC</t>
  </si>
  <si>
    <t>BALRAMCHIN</t>
  </si>
  <si>
    <t>BAJAJHIND</t>
  </si>
  <si>
    <t>ROLTA</t>
  </si>
  <si>
    <t>PTC</t>
  </si>
  <si>
    <t>JKIL</t>
  </si>
  <si>
    <t>CHAMBLFERT</t>
  </si>
  <si>
    <t>GSFC</t>
  </si>
  <si>
    <t>CHENNPETRO</t>
  </si>
  <si>
    <t>NLCINDIA</t>
  </si>
  <si>
    <t>BALMLAWRIE</t>
  </si>
  <si>
    <t>INFRATEL</t>
  </si>
  <si>
    <t>DHAMPURSUG</t>
  </si>
  <si>
    <t>IOC</t>
  </si>
  <si>
    <t>GMDCLTD</t>
  </si>
  <si>
    <t>AUROPHARMA</t>
  </si>
  <si>
    <t>NMDC</t>
  </si>
  <si>
    <t>DIVISLAB</t>
  </si>
  <si>
    <t>MRPL</t>
  </si>
  <si>
    <t>COROMANDEL</t>
  </si>
  <si>
    <t>PFC</t>
  </si>
  <si>
    <t>WIPRO</t>
  </si>
  <si>
    <t>TECHM</t>
  </si>
  <si>
    <t>Stocks</t>
  </si>
  <si>
    <t>PRAJIND</t>
  </si>
  <si>
    <t>ALOKTEXT</t>
  </si>
  <si>
    <t>21STCENMGM</t>
  </si>
  <si>
    <t>3IINFOTECH</t>
  </si>
  <si>
    <t>3MINDIA</t>
  </si>
  <si>
    <t>3PLAND</t>
  </si>
  <si>
    <t>5PAISA</t>
  </si>
  <si>
    <t>63MOONS</t>
  </si>
  <si>
    <t>8KMILES</t>
  </si>
  <si>
    <t>A2ZINFRA</t>
  </si>
  <si>
    <t>AARTIDRUGS</t>
  </si>
  <si>
    <t>AARTIIND</t>
  </si>
  <si>
    <t>AARVEEDEN</t>
  </si>
  <si>
    <t>ABAN</t>
  </si>
  <si>
    <t>ABB</t>
  </si>
  <si>
    <t>ABBOTINDIA</t>
  </si>
  <si>
    <t>ABCAPITAL</t>
  </si>
  <si>
    <t>ABFRL</t>
  </si>
  <si>
    <t>ABGSHIP</t>
  </si>
  <si>
    <t>ACC</t>
  </si>
  <si>
    <t>ACCELYA</t>
  </si>
  <si>
    <t>ACCURACY</t>
  </si>
  <si>
    <t>ACE</t>
  </si>
  <si>
    <t>ADANIENT</t>
  </si>
  <si>
    <t>ADANIGREEN</t>
  </si>
  <si>
    <t>ADANIPORTS</t>
  </si>
  <si>
    <t>ADANIPOWER</t>
  </si>
  <si>
    <t>ADANITRANS</t>
  </si>
  <si>
    <t>ADFFOODS</t>
  </si>
  <si>
    <t>ADHUNIK</t>
  </si>
  <si>
    <t>ADHUNIKIND</t>
  </si>
  <si>
    <t>ADLABS</t>
  </si>
  <si>
    <t>ADORWELD</t>
  </si>
  <si>
    <t>ADROITINFO</t>
  </si>
  <si>
    <t>ADSL</t>
  </si>
  <si>
    <t>ADVANIHOTR</t>
  </si>
  <si>
    <t>ADVENZYMES</t>
  </si>
  <si>
    <t>AEGISCHEM</t>
  </si>
  <si>
    <t>AFL</t>
  </si>
  <si>
    <t>AGARIND</t>
  </si>
  <si>
    <t>AGCNET</t>
  </si>
  <si>
    <t>AGLSL</t>
  </si>
  <si>
    <t>AGRITECH</t>
  </si>
  <si>
    <t>AGROPHOS</t>
  </si>
  <si>
    <t>AHLEAST</t>
  </si>
  <si>
    <t>AHLUCONT</t>
  </si>
  <si>
    <t>AHLWEST</t>
  </si>
  <si>
    <t>AIAENG</t>
  </si>
  <si>
    <t>AICHAMP</t>
  </si>
  <si>
    <t>AIFL</t>
  </si>
  <si>
    <t>AIRAN</t>
  </si>
  <si>
    <t>AIROLAM</t>
  </si>
  <si>
    <t>AISL</t>
  </si>
  <si>
    <t>AJANTPHARM</t>
  </si>
  <si>
    <t>AJMERA</t>
  </si>
  <si>
    <t>AJOONI</t>
  </si>
  <si>
    <t>AKSHARCHEM</t>
  </si>
  <si>
    <t>AKSHOPTFBR</t>
  </si>
  <si>
    <t>AKZOINDIA</t>
  </si>
  <si>
    <t>ALANKIT</t>
  </si>
  <si>
    <t>ALBERTDAVD</t>
  </si>
  <si>
    <t>ALBK</t>
  </si>
  <si>
    <t>ALCHEM</t>
  </si>
  <si>
    <t>ALEMBICLTD</t>
  </si>
  <si>
    <t>ALICON</t>
  </si>
  <si>
    <t>ALKALI</t>
  </si>
  <si>
    <t>ALKEM</t>
  </si>
  <si>
    <t>ALKYLAMINE</t>
  </si>
  <si>
    <t>ALLCARGO</t>
  </si>
  <si>
    <t>ALLSEC</t>
  </si>
  <si>
    <t>ALMONDZ</t>
  </si>
  <si>
    <t>ALPA</t>
  </si>
  <si>
    <t>ALPHAGEO</t>
  </si>
  <si>
    <t>ALPSINDUS</t>
  </si>
  <si>
    <t>AMARAJABAT</t>
  </si>
  <si>
    <t>AMBANIORG</t>
  </si>
  <si>
    <t>AMBER</t>
  </si>
  <si>
    <t>AMBIKCO</t>
  </si>
  <si>
    <t>AMBUJACEM</t>
  </si>
  <si>
    <t>AMDIND</t>
  </si>
  <si>
    <t>AMJLAND</t>
  </si>
  <si>
    <t>AMJUMBO</t>
  </si>
  <si>
    <t>AMRUTANJAN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</si>
  <si>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</si>
  <si>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</si>
  <si>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</si>
  <si>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</si>
  <si>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</si>
  <si>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</si>
  <si>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</si>
  <si>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</si>
  <si>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</si>
  <si>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</si>
  <si>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</si>
  <si>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</si>
  <si>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APCL</t>
  </si>
  <si>
    <t>APCOTEXIND</t>
  </si>
  <si>
    <t>APEX</t>
  </si>
  <si>
    <t>APLAPOLLO</t>
  </si>
  <si>
    <t>APLLTD</t>
  </si>
  <si>
    <t>APOLLO</t>
  </si>
  <si>
    <t>APOLLOHOSP</t>
  </si>
  <si>
    <t>APOLLOTYRE</t>
  </si>
  <si>
    <t>APOLSINHOT</t>
  </si>
  <si>
    <t>APTECHT</t>
  </si>
  <si>
    <t>ARCHIDPLY</t>
  </si>
  <si>
    <t>ARCHIES</t>
  </si>
  <si>
    <t>ARCOTECH</t>
  </si>
  <si>
    <t>ARIES</t>
  </si>
  <si>
    <t>ARIHANT</t>
  </si>
  <si>
    <t>ARIHANTSUP</t>
  </si>
  <si>
    <t>ARMANFIN</t>
  </si>
  <si>
    <t>AROGRANITE</t>
  </si>
  <si>
    <t>ARROWGREEN</t>
  </si>
  <si>
    <t>ARROWTEX</t>
  </si>
  <si>
    <t>ARSHIYA</t>
  </si>
  <si>
    <t>ARSSINFRA</t>
  </si>
  <si>
    <t>ARTNIRMAN</t>
  </si>
  <si>
    <t>ARVIND</t>
  </si>
  <si>
    <t>ARVSMART</t>
  </si>
  <si>
    <t>ASAHIINDIA</t>
  </si>
  <si>
    <t>ASAHISONG</t>
  </si>
  <si>
    <t>ASAL</t>
  </si>
  <si>
    <t>ASHAPURMIN</t>
  </si>
  <si>
    <t>ASHIANA</t>
  </si>
  <si>
    <t>ASHIMASYN</t>
  </si>
  <si>
    <t>ASHOKA</t>
  </si>
  <si>
    <t>ASHOKLEY</t>
  </si>
  <si>
    <t>ASIANHOTNR</t>
  </si>
  <si>
    <t>ASIANPAINT</t>
  </si>
  <si>
    <t>ASIANTILES</t>
  </si>
  <si>
    <t>ASPINWALL</t>
  </si>
  <si>
    <t>ASSAMCO</t>
  </si>
  <si>
    <t>ASTEC</t>
  </si>
  <si>
    <t>ASTERDM</t>
  </si>
  <si>
    <t>ASTRAL</t>
  </si>
  <si>
    <t>ASTRAMICRO</t>
  </si>
  <si>
    <t>ASTRAZEN</t>
  </si>
  <si>
    <t>ASTRON</t>
  </si>
  <si>
    <t>ATFL</t>
  </si>
  <si>
    <t>ATLANTA</t>
  </si>
  <si>
    <t>ATLASCYCLE</t>
  </si>
  <si>
    <t>ATUL</t>
  </si>
  <si>
    <t>ATULAUTO</t>
  </si>
  <si>
    <t>AUBANK</t>
  </si>
  <si>
    <t>AURDIS</t>
  </si>
  <si>
    <t>AURIONPRO</t>
  </si>
  <si>
    <t>AUSOMENT</t>
  </si>
  <si>
    <t>AUTOAXLES</t>
  </si>
  <si>
    <t>AUTOIND</t>
  </si>
  <si>
    <t>AUTOLITIND</t>
  </si>
  <si>
    <t>AVADHSUGAR</t>
  </si>
  <si>
    <t>AVANTIFEED</t>
  </si>
  <si>
    <t>AVG</t>
  </si>
  <si>
    <t>AVTNPL</t>
  </si>
  <si>
    <t>AXISBANK</t>
  </si>
  <si>
    <t>AXISCADES</t>
  </si>
  <si>
    <t>AXISGOLD</t>
  </si>
  <si>
    <t>AXISNIFTY</t>
  </si>
  <si>
    <t>AYMSYNTEX</t>
  </si>
  <si>
    <t>BAFNAPHARM</t>
  </si>
  <si>
    <t>BAGFILMS</t>
  </si>
  <si>
    <t>BAJAJ-AUTO</t>
  </si>
  <si>
    <t>BAJAJCORP</t>
  </si>
  <si>
    <t>BAJAJELEC</t>
  </si>
  <si>
    <t>BAJAJFINSV</t>
  </si>
  <si>
    <t>BAJAJHLDNG</t>
  </si>
  <si>
    <t>BAJFINANCE</t>
  </si>
  <si>
    <t>BALAJITELE</t>
  </si>
  <si>
    <t>BALAMINES</t>
  </si>
  <si>
    <t>BALKRISHNA</t>
  </si>
  <si>
    <t>BALKRISIND</t>
  </si>
  <si>
    <t>BALLARPUR</t>
  </si>
  <si>
    <t>BALPHARMA</t>
  </si>
  <si>
    <t>BANARBEADS</t>
  </si>
  <si>
    <t>BANARISUG</t>
  </si>
  <si>
    <t>BANCOINDIA</t>
  </si>
  <si>
    <t>BANDHANBNK</t>
  </si>
  <si>
    <t>BANG</t>
  </si>
  <si>
    <t>BANKBARODA</t>
  </si>
  <si>
    <t>BANKBEES</t>
  </si>
  <si>
    <t>BANKINDIA</t>
  </si>
  <si>
    <t>BANSAL</t>
  </si>
  <si>
    <t>BANSWRAS</t>
  </si>
  <si>
    <t>BARTRONICS</t>
  </si>
  <si>
    <t>BASF</t>
  </si>
  <si>
    <t>BASML</t>
  </si>
  <si>
    <t>BATAINDIA</t>
  </si>
  <si>
    <t>BAYERCROP</t>
  </si>
  <si>
    <t>BBL</t>
  </si>
  <si>
    <t>BBTC</t>
  </si>
  <si>
    <t>BCONCEPTS</t>
  </si>
  <si>
    <t>BDL</t>
  </si>
  <si>
    <t>BEARDSELL</t>
  </si>
  <si>
    <t>BEDMUTHA</t>
  </si>
  <si>
    <t>BEL</t>
  </si>
  <si>
    <t>BEML</t>
  </si>
  <si>
    <t>BEPL</t>
  </si>
  <si>
    <t>BERGEPAINT</t>
  </si>
  <si>
    <t>BFINVEST</t>
  </si>
  <si>
    <t>BFUTILITIE</t>
  </si>
  <si>
    <t>BGLOBAL</t>
  </si>
  <si>
    <t>BGRENERGY</t>
  </si>
  <si>
    <t>BHAGERIA</t>
  </si>
  <si>
    <t>BHAGYANGR</t>
  </si>
  <si>
    <t>BHAGYAPROP</t>
  </si>
  <si>
    <t>BHANDARI</t>
  </si>
  <si>
    <t>BHARATFIN</t>
  </si>
  <si>
    <t>BHARATFORG</t>
  </si>
  <si>
    <t>BHARATGEAR</t>
  </si>
  <si>
    <t>BHARATIDIL</t>
  </si>
  <si>
    <t>BHARATRAS</t>
  </si>
  <si>
    <t>BHARATWIRE</t>
  </si>
  <si>
    <t>BHARTIARTL</t>
  </si>
  <si>
    <t>BHEL</t>
  </si>
  <si>
    <t>BHUSANSTL</t>
  </si>
  <si>
    <t>BIGBLOC</t>
  </si>
  <si>
    <t>BIL</t>
  </si>
  <si>
    <t>BILENERGY</t>
  </si>
  <si>
    <t>BILPOWER</t>
  </si>
  <si>
    <t>BINANIIND</t>
  </si>
  <si>
    <t>BINDALAGRO</t>
  </si>
  <si>
    <t>BIOCON</t>
  </si>
  <si>
    <t>BIOFILCHEM</t>
  </si>
  <si>
    <t>BIRLACABLE</t>
  </si>
  <si>
    <t>BIRLACORPN</t>
  </si>
  <si>
    <t>BIRLAMONEY</t>
  </si>
  <si>
    <t>BKMINDST</t>
  </si>
  <si>
    <t>BLBLIMITED</t>
  </si>
  <si>
    <t>BLISSGVS</t>
  </si>
  <si>
    <t>BLKASHYAP</t>
  </si>
  <si>
    <t>BLS</t>
  </si>
  <si>
    <t>BLUEBLENDS</t>
  </si>
  <si>
    <t>BLUECOAST</t>
  </si>
  <si>
    <t>BLUEDART</t>
  </si>
  <si>
    <t>BLUESTARCO</t>
  </si>
  <si>
    <t>BODALCHEM</t>
  </si>
  <si>
    <t>BOHRA</t>
  </si>
  <si>
    <t>BOMDYEING</t>
  </si>
  <si>
    <t>BOROSIL</t>
  </si>
  <si>
    <t>BOSCHLTD</t>
  </si>
  <si>
    <t>BPCL</t>
  </si>
  <si>
    <t>BPL</t>
  </si>
  <si>
    <t>BRFL</t>
  </si>
  <si>
    <t>BRIGADE</t>
  </si>
  <si>
    <t>BRIGHT</t>
  </si>
  <si>
    <t>BRITANNIA</t>
  </si>
  <si>
    <t>BRNL</t>
  </si>
  <si>
    <t>BROOKS</t>
  </si>
  <si>
    <t>BSE</t>
  </si>
  <si>
    <t>BSELINFRA</t>
  </si>
  <si>
    <t>BSHSL</t>
  </si>
  <si>
    <t>BSL</t>
  </si>
  <si>
    <t>BSLGOLDETF</t>
  </si>
  <si>
    <t>BURNPUR</t>
  </si>
  <si>
    <t>BUTTERFLY</t>
  </si>
  <si>
    <t>BVCL</t>
  </si>
  <si>
    <t>BYKE</t>
  </si>
  <si>
    <t>CADILAHC</t>
  </si>
  <si>
    <t>CALSOFT</t>
  </si>
  <si>
    <t>CAMLINFINE</t>
  </si>
  <si>
    <t>CANBK</t>
  </si>
  <si>
    <t>CANDC</t>
  </si>
  <si>
    <t>CANFINHOME</t>
  </si>
  <si>
    <t>CANTABIL</t>
  </si>
  <si>
    <t>CAPACITE</t>
  </si>
  <si>
    <t>CAPF</t>
  </si>
  <si>
    <t>CAPLIPOINT</t>
  </si>
  <si>
    <t>CAPTRUST</t>
  </si>
  <si>
    <t>CARBORUNIV</t>
  </si>
  <si>
    <t>CAREERP</t>
  </si>
  <si>
    <t>CARERATING</t>
  </si>
  <si>
    <t>CASTEXTECH</t>
  </si>
  <si>
    <t>CASTROLIND</t>
  </si>
  <si>
    <t>CCCL</t>
  </si>
  <si>
    <t>CCHHL</t>
  </si>
  <si>
    <t>CCL</t>
  </si>
  <si>
    <t>CDSL</t>
  </si>
  <si>
    <t>CEATLTD</t>
  </si>
  <si>
    <t>CEBBCO</t>
  </si>
  <si>
    <t>CELEBRITY</t>
  </si>
  <si>
    <t>CELESTIAL</t>
  </si>
  <si>
    <t>CENTENKA</t>
  </si>
  <si>
    <t>CENTEXT</t>
  </si>
  <si>
    <t>CENTRALBK</t>
  </si>
  <si>
    <t>CENTRUM</t>
  </si>
  <si>
    <t>CENTUM</t>
  </si>
  <si>
    <t>CENTURYPLY</t>
  </si>
  <si>
    <t>CENTURYTEX</t>
  </si>
  <si>
    <t>CERA</t>
  </si>
  <si>
    <t>CEREBRAINT</t>
  </si>
  <si>
    <t>CES1RPG</t>
  </si>
  <si>
    <t>CESC</t>
  </si>
  <si>
    <t>CGCL</t>
  </si>
  <si>
    <t>CGPOWER</t>
  </si>
  <si>
    <t>CHEMFAB</t>
  </si>
  <si>
    <t>CHOLAFIN</t>
  </si>
  <si>
    <t>CHROMATIC</t>
  </si>
  <si>
    <t>CIGNITITEC</t>
  </si>
  <si>
    <t>CIMMCO</t>
  </si>
  <si>
    <t>CINELINE</t>
  </si>
  <si>
    <t>CINEVISTA</t>
  </si>
  <si>
    <t>CIPLA</t>
  </si>
  <si>
    <t>CLEDUCATE</t>
  </si>
  <si>
    <t>CLNINDIA</t>
  </si>
  <si>
    <t>CMICABLES</t>
  </si>
  <si>
    <t>CMMIPL</t>
  </si>
  <si>
    <t>CNOVAPETRO</t>
  </si>
  <si>
    <t>COALINDIA</t>
  </si>
  <si>
    <t>COCHINSHIP</t>
  </si>
  <si>
    <t>COFFEEDAY</t>
  </si>
  <si>
    <t>COLPAL</t>
  </si>
  <si>
    <t>COMPINFO</t>
  </si>
  <si>
    <t>COMPUSOFT</t>
  </si>
  <si>
    <t>CONCOR</t>
  </si>
  <si>
    <t>CONSOFINVT</t>
  </si>
  <si>
    <t>CONTROLPR</t>
  </si>
  <si>
    <t>CORALFINAC</t>
  </si>
  <si>
    <t>CORDSCABLE</t>
  </si>
  <si>
    <t>CORPBANK</t>
  </si>
  <si>
    <t>COSMOFILMS</t>
  </si>
  <si>
    <t>COUNCODOS</t>
  </si>
  <si>
    <t>COX&amp;KINGS</t>
  </si>
  <si>
    <t>CPSEETF</t>
  </si>
  <si>
    <t>CREST</t>
  </si>
  <si>
    <t>CRISIL</t>
  </si>
  <si>
    <t>CRMFGETF</t>
  </si>
  <si>
    <t>CROMPTON</t>
  </si>
  <si>
    <t>CTE</t>
  </si>
  <si>
    <t>CUB</t>
  </si>
  <si>
    <t>CUBEXTUB</t>
  </si>
  <si>
    <t>CUMMINSIND</t>
  </si>
  <si>
    <t>CUPID</t>
  </si>
  <si>
    <t>CYBERMEDIA</t>
  </si>
  <si>
    <t>CYBERTECH</t>
  </si>
  <si>
    <t>CYIENT</t>
  </si>
  <si>
    <t>DAAWAT</t>
  </si>
  <si>
    <t>DABUR</t>
  </si>
  <si>
    <t>DALMIABHA</t>
  </si>
  <si>
    <t>DALMIASUG</t>
  </si>
  <si>
    <t>DAMODARIND</t>
  </si>
  <si>
    <t>DATAMATICS</t>
  </si>
  <si>
    <t>DBCORP</t>
  </si>
  <si>
    <t>DBL</t>
  </si>
  <si>
    <t>DBREALTY</t>
  </si>
  <si>
    <t>DCAL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</si>
  <si>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</si>
  <si>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</si>
  <si>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</si>
  <si>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</si>
  <si>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</si>
  <si>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</si>
  <si>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</si>
  <si>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</si>
  <si>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</si>
  <si>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DELTAMAGNT</t>
  </si>
  <si>
    <t>DEN</t>
  </si>
  <si>
    <t>DENABANK</t>
  </si>
  <si>
    <t>DENORA</t>
  </si>
  <si>
    <t>DFMFOODS</t>
  </si>
  <si>
    <t>DHANBANK</t>
  </si>
  <si>
    <t>DHANUKA</t>
  </si>
  <si>
    <t>DHARSUGAR</t>
  </si>
  <si>
    <t>DHFL</t>
  </si>
  <si>
    <t>DHUNINV</t>
  </si>
  <si>
    <t>DIAMONDYD</t>
  </si>
  <si>
    <t>DIAPOWER</t>
  </si>
  <si>
    <t>DICIND</t>
  </si>
  <si>
    <t>DIGJAMLTD</t>
  </si>
  <si>
    <t>DISHTV</t>
  </si>
  <si>
    <t>DIXON</t>
  </si>
  <si>
    <t>DLF</t>
  </si>
  <si>
    <t>DLINKINDIA</t>
  </si>
  <si>
    <t>DMART</t>
  </si>
  <si>
    <t>DNAMEDIA</t>
  </si>
  <si>
    <t>DOLLAR</t>
  </si>
  <si>
    <t>DOLPHINOFF</t>
  </si>
  <si>
    <t>DONEAR</t>
  </si>
  <si>
    <t>DPABHUSHAN</t>
  </si>
  <si>
    <t>DPL</t>
  </si>
  <si>
    <t>DPSCLTD</t>
  </si>
  <si>
    <t>DQE</t>
  </si>
  <si>
    <t>DREDGECORP</t>
  </si>
  <si>
    <t>DRL</t>
  </si>
  <si>
    <t>DRREDDY</t>
  </si>
  <si>
    <t>DSSL</t>
  </si>
  <si>
    <t>DTIL</t>
  </si>
  <si>
    <t>DUCON</t>
  </si>
  <si>
    <t>DWARKESH</t>
  </si>
  <si>
    <t>DYNAMATECH</t>
  </si>
  <si>
    <t>DYNPRO</t>
  </si>
  <si>
    <t>E2E</t>
  </si>
  <si>
    <t>EASTSILK</t>
  </si>
  <si>
    <t>EASUNREYRL</t>
  </si>
  <si>
    <t>ECEIND</t>
  </si>
  <si>
    <t>ECLERX</t>
  </si>
  <si>
    <t>ECLFINANCE</t>
  </si>
  <si>
    <t>EDELWEISS</t>
  </si>
  <si>
    <t>EDL</t>
  </si>
  <si>
    <t>EDUCOMP</t>
  </si>
  <si>
    <t>EHFLNCD</t>
  </si>
  <si>
    <t>EICHERMOT</t>
  </si>
  <si>
    <t>EIDPARRY</t>
  </si>
  <si>
    <t>EIFFL</t>
  </si>
  <si>
    <t>EIHAHOTELS</t>
  </si>
  <si>
    <t>EIHOTEL</t>
  </si>
  <si>
    <t>EIMCOELECO</t>
  </si>
  <si>
    <t>EKC</t>
  </si>
  <si>
    <t>ELAND</t>
  </si>
  <si>
    <t>ELECON</t>
  </si>
  <si>
    <t>ELECTCAST</t>
  </si>
  <si>
    <t>ELECTHERM</t>
  </si>
  <si>
    <t>ELECTROSL</t>
  </si>
  <si>
    <t>ELGIEQUIP</t>
  </si>
  <si>
    <t>ELGIRUBCO</t>
  </si>
  <si>
    <t>EMAMIINFRA</t>
  </si>
  <si>
    <t>EMAMILTD</t>
  </si>
  <si>
    <t>EMCO</t>
  </si>
  <si>
    <t>EMKAY</t>
  </si>
  <si>
    <t>EMMBI</t>
  </si>
  <si>
    <t>EMOFSR1RDP</t>
  </si>
  <si>
    <t>EMOFSR1RGG</t>
  </si>
  <si>
    <t>ENDURANCE</t>
  </si>
  <si>
    <t>ENERGYDEV</t>
  </si>
  <si>
    <t>ENGINERSIN</t>
  </si>
  <si>
    <t>ENIL</t>
  </si>
  <si>
    <t>EON</t>
  </si>
  <si>
    <t>EQ30</t>
  </si>
  <si>
    <t>EQUITAS</t>
  </si>
  <si>
    <t>ERFLNCDI</t>
  </si>
  <si>
    <t>ERIS</t>
  </si>
  <si>
    <t>EROSMEDIA</t>
  </si>
  <si>
    <t>ESABINDIA</t>
  </si>
  <si>
    <t>ESCORTS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</si>
  <si>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</si>
  <si>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</si>
  <si>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</si>
  <si>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</si>
  <si>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</si>
  <si>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</si>
  <si>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</si>
  <si>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</si>
  <si>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</t>
  </si>
  <si>
    <t>EXCELCROP</t>
  </si>
  <si>
    <t>EXCELINDUS</t>
  </si>
  <si>
    <t>EXIDEIND</t>
  </si>
  <si>
    <t>FACT</t>
  </si>
  <si>
    <t>FAIRCHEM</t>
  </si>
  <si>
    <t>FCL</t>
  </si>
  <si>
    <t>FCONSUMER</t>
  </si>
  <si>
    <t>FCSSOFT</t>
  </si>
  <si>
    <t>FDC</t>
  </si>
  <si>
    <t>FEDDERELEC</t>
  </si>
  <si>
    <t>FEDERALBNK</t>
  </si>
  <si>
    <t>FEL</t>
  </si>
  <si>
    <t>FELDVR</t>
  </si>
  <si>
    <t>FIEMIND</t>
  </si>
  <si>
    <t>FILATEX</t>
  </si>
  <si>
    <t>FINCABLES</t>
  </si>
  <si>
    <t>FINEORG</t>
  </si>
  <si>
    <t>FINPIPE</t>
  </si>
  <si>
    <t>FIVECORE</t>
  </si>
  <si>
    <t>FLEXITUFF</t>
  </si>
  <si>
    <t>FLFL</t>
  </si>
  <si>
    <t>FMGOETZE</t>
  </si>
  <si>
    <t>FMNL</t>
  </si>
  <si>
    <t>FORTIS</t>
  </si>
  <si>
    <t>FORTUNEFIN</t>
  </si>
  <si>
    <t>FOSECOIND</t>
  </si>
  <si>
    <t>FOURTHDIM</t>
  </si>
  <si>
    <t>FRETAIL</t>
  </si>
  <si>
    <t>FSC</t>
  </si>
  <si>
    <t>FSL</t>
  </si>
  <si>
    <t>GABRIEL</t>
  </si>
  <si>
    <t>GAEL</t>
  </si>
  <si>
    <t>GAIL</t>
  </si>
  <si>
    <t>GAL</t>
  </si>
  <si>
    <t>GALAXYSURF</t>
  </si>
  <si>
    <t>GALLANTT</t>
  </si>
  <si>
    <t>GALLISPAT</t>
  </si>
  <si>
    <t>GAMMNINFRA</t>
  </si>
  <si>
    <t>GANDHITUBE</t>
  </si>
  <si>
    <t>GANECOS</t>
  </si>
  <si>
    <t>GANESHHOUC</t>
  </si>
  <si>
    <t>GANGAFORGE</t>
  </si>
  <si>
    <t>GANGESSECU</t>
  </si>
  <si>
    <t>GANGOTRI</t>
  </si>
  <si>
    <t>GARDENSILK</t>
  </si>
  <si>
    <t>GARWALLROP</t>
  </si>
  <si>
    <t>GATI</t>
  </si>
  <si>
    <t>GAYAHWS</t>
  </si>
  <si>
    <t>GAYAPROJ</t>
  </si>
  <si>
    <t>GDL</t>
  </si>
  <si>
    <t>GEECEE</t>
  </si>
  <si>
    <t>GEMINI</t>
  </si>
  <si>
    <t>GENESYS</t>
  </si>
  <si>
    <t>GENUSPAPER</t>
  </si>
  <si>
    <t>GENUSPOWER</t>
  </si>
  <si>
    <t>GEOJITFSL</t>
  </si>
  <si>
    <t>GEPIL</t>
  </si>
  <si>
    <t>GESHIP</t>
  </si>
  <si>
    <t>GET&amp;D</t>
  </si>
  <si>
    <t>GHCL</t>
  </si>
  <si>
    <t>GICHSGFIN</t>
  </si>
  <si>
    <t>GICRE</t>
  </si>
  <si>
    <t>GILLANDERS</t>
  </si>
  <si>
    <t>GILLETTE</t>
  </si>
  <si>
    <t>GINNIFILA</t>
  </si>
  <si>
    <t>GIPCL</t>
  </si>
  <si>
    <t>GIRIRAJ</t>
  </si>
  <si>
    <t>GIRRESORTS</t>
  </si>
  <si>
    <t>GITANJALI</t>
  </si>
  <si>
    <t>GKWLIMITED</t>
  </si>
  <si>
    <t>GLAXO</t>
  </si>
  <si>
    <t>GLENMARK</t>
  </si>
  <si>
    <t>GLOBALVECT</t>
  </si>
  <si>
    <t>GLOBOFFS</t>
  </si>
  <si>
    <t>GLOBUSSPR</t>
  </si>
  <si>
    <t>GMBREW</t>
  </si>
  <si>
    <t>GMMPFAUDLR</t>
  </si>
  <si>
    <t>GMRINFRA</t>
  </si>
  <si>
    <t>GNA</t>
  </si>
  <si>
    <t>GNFC</t>
  </si>
  <si>
    <t>GOACARBON</t>
  </si>
  <si>
    <t>GOCLCORP</t>
  </si>
  <si>
    <t>GODFRYPHLP</t>
  </si>
  <si>
    <t>GODREJAGRO</t>
  </si>
  <si>
    <t>GODREJCP</t>
  </si>
  <si>
    <t>GODREJIND</t>
  </si>
  <si>
    <t>GODREJPROP</t>
  </si>
  <si>
    <t>GOENKA</t>
  </si>
  <si>
    <t>GOKEX</t>
  </si>
  <si>
    <t>GOKUL</t>
  </si>
  <si>
    <t>GOKULAGRO</t>
  </si>
  <si>
    <t>GOLDBEES</t>
  </si>
  <si>
    <t>GOLDENTOBC</t>
  </si>
  <si>
    <t>GOLDIAM</t>
  </si>
  <si>
    <t>GOLDINFRA</t>
  </si>
  <si>
    <t>GOLDSHARE</t>
  </si>
  <si>
    <t>GOLDTECH</t>
  </si>
  <si>
    <t>GOODLUCK</t>
  </si>
  <si>
    <t>GPIL</t>
  </si>
  <si>
    <t>GPPL</t>
  </si>
  <si>
    <t>GPTINFRA</t>
  </si>
  <si>
    <t>GRANULES</t>
  </si>
  <si>
    <t>GRAPHITE</t>
  </si>
  <si>
    <t>GRASIM</t>
  </si>
  <si>
    <t>GRAVITA</t>
  </si>
  <si>
    <t>GREAVESCOT</t>
  </si>
  <si>
    <t>GREENLAM</t>
  </si>
  <si>
    <t>GREENPLY</t>
  </si>
  <si>
    <t>GREENPOWER</t>
  </si>
  <si>
    <t>GRINDWELL</t>
  </si>
  <si>
    <t>GROBTEA</t>
  </si>
  <si>
    <t>GRPLTD</t>
  </si>
  <si>
    <t>GRUH</t>
  </si>
  <si>
    <t>GSCLCEMENT</t>
  </si>
  <si>
    <t>GSKCONS</t>
  </si>
  <si>
    <t>GSPL</t>
  </si>
  <si>
    <t>GSS</t>
  </si>
  <si>
    <t>GTL</t>
  </si>
  <si>
    <t>GTLINFRA</t>
  </si>
  <si>
    <t>GTNIND</t>
  </si>
  <si>
    <t>GTNTEX</t>
  </si>
  <si>
    <t>GTPL</t>
  </si>
  <si>
    <t>GUFICBIO</t>
  </si>
  <si>
    <t>GUJALKALI</t>
  </si>
  <si>
    <t>GUJAPOLLO</t>
  </si>
  <si>
    <t>GUJFLUORO</t>
  </si>
  <si>
    <t>GUJGASLTD</t>
  </si>
  <si>
    <t>GULFOILLUB</t>
  </si>
  <si>
    <t>GULFPETRO</t>
  </si>
  <si>
    <t>GULPOLY</t>
  </si>
  <si>
    <t>GVKPIL</t>
  </si>
  <si>
    <t>H1190M36RG</t>
  </si>
  <si>
    <t>HAL</t>
  </si>
  <si>
    <t>HANUNG</t>
  </si>
  <si>
    <t>HARITASEAT</t>
  </si>
  <si>
    <t>HARRMALAYA</t>
  </si>
  <si>
    <t>HATHWAY</t>
  </si>
  <si>
    <t>HATSUN</t>
  </si>
  <si>
    <t>HAVELLS</t>
  </si>
  <si>
    <t>HAVISHA</t>
  </si>
  <si>
    <t>HBLPOWER</t>
  </si>
  <si>
    <t>HCC</t>
  </si>
  <si>
    <t>HCG</t>
  </si>
  <si>
    <t>HCL-INSYS</t>
  </si>
  <si>
    <t>HCLTECH</t>
  </si>
  <si>
    <t>HDFCBANK</t>
  </si>
  <si>
    <t>HDFCLIFE</t>
  </si>
  <si>
    <t>HDFCMFGETF</t>
  </si>
  <si>
    <t>HDFCNIFETF</t>
  </si>
  <si>
    <t>HDFCSENETF</t>
  </si>
  <si>
    <t>HDIL</t>
  </si>
  <si>
    <t>HEG</t>
  </si>
  <si>
    <t>HEIDELBERG</t>
  </si>
  <si>
    <t>HERCULES</t>
  </si>
  <si>
    <t>HERITGFOOD</t>
  </si>
  <si>
    <t>HEROMOTOCO</t>
  </si>
  <si>
    <t>HESTERBIO</t>
  </si>
  <si>
    <t>HEXATRADEX</t>
  </si>
  <si>
    <t>HEXAWARE</t>
  </si>
  <si>
    <t>HFCL</t>
  </si>
  <si>
    <t>HGINFRA</t>
  </si>
  <si>
    <t>HGS</t>
  </si>
  <si>
    <t>HHOF1140RG</t>
  </si>
  <si>
    <t>HIGHGROUND</t>
  </si>
  <si>
    <t>HIKAL</t>
  </si>
  <si>
    <t>HIL</t>
  </si>
  <si>
    <t>HILTON</t>
  </si>
  <si>
    <t>HIMATSEIDE</t>
  </si>
  <si>
    <t>HINDALCO</t>
  </si>
  <si>
    <t>HINDCOMPOS</t>
  </si>
  <si>
    <t>HINDCOPPER</t>
  </si>
  <si>
    <t>HINDMOTORS</t>
  </si>
  <si>
    <t>HINDNATGLS</t>
  </si>
  <si>
    <t>HINDOILEXP</t>
  </si>
  <si>
    <t>HINDPETRO</t>
  </si>
  <si>
    <t>HINDUJAVEN</t>
  </si>
  <si>
    <t>HINDUNILVR</t>
  </si>
  <si>
    <t>HINDZINC</t>
  </si>
  <si>
    <t>HIRECT</t>
  </si>
  <si>
    <t>HISARMETAL</t>
  </si>
  <si>
    <t>HITECH</t>
  </si>
  <si>
    <t>HITECHCORP</t>
  </si>
  <si>
    <t>HITECHGEAR</t>
  </si>
  <si>
    <t>HMT</t>
  </si>
  <si>
    <t>HMVL</t>
  </si>
  <si>
    <t>HNGSNGBEES</t>
  </si>
  <si>
    <t>HONAUT</t>
  </si>
  <si>
    <t>HONDAPOWER</t>
  </si>
  <si>
    <t>HOTELEELA</t>
  </si>
  <si>
    <t>HOVS</t>
  </si>
  <si>
    <t>HPL</t>
  </si>
  <si>
    <t>HSCL</t>
  </si>
  <si>
    <t>HSIL</t>
  </si>
  <si>
    <t>HTMEDIA</t>
  </si>
  <si>
    <t>HUBTOWN</t>
  </si>
  <si>
    <t>HUDCO</t>
  </si>
  <si>
    <t>IBREALEST</t>
  </si>
  <si>
    <t>IBULHSGFIN</t>
  </si>
  <si>
    <t>IBULISL</t>
  </si>
  <si>
    <t>IBVENTURES</t>
  </si>
  <si>
    <t>ICEMAKE</t>
  </si>
  <si>
    <t>ICICI500</t>
  </si>
  <si>
    <t>ICICIB22</t>
  </si>
  <si>
    <t>ICICIBANK</t>
  </si>
  <si>
    <t>ICICIGI</t>
  </si>
  <si>
    <t>ICICIGOLD</t>
  </si>
  <si>
    <t>ICICILOVOL</t>
  </si>
  <si>
    <t>ICICIMCAP</t>
  </si>
  <si>
    <t>ICICINF100</t>
  </si>
  <si>
    <t>ICICINIFTY</t>
  </si>
  <si>
    <t>ICICINV20</t>
  </si>
  <si>
    <t>ICICIPRULI</t>
  </si>
  <si>
    <t>ICICISENSX</t>
  </si>
  <si>
    <t>ICIL</t>
  </si>
  <si>
    <t>ICRA</t>
  </si>
  <si>
    <t>ICSA</t>
  </si>
  <si>
    <t>IDBI</t>
  </si>
  <si>
    <t>IDBIGOLD</t>
  </si>
  <si>
    <t>IDEA</t>
  </si>
  <si>
    <t>IDFC</t>
  </si>
  <si>
    <t>IDFCBANK</t>
  </si>
  <si>
    <t>IDFNIFTYET</t>
  </si>
  <si>
    <t>IEX</t>
  </si>
  <si>
    <t>IFBAGRO</t>
  </si>
  <si>
    <t>IFBIND</t>
  </si>
  <si>
    <t>IFCI</t>
  </si>
  <si>
    <t>IFGLEXPOR</t>
  </si>
  <si>
    <t>IGARASHI</t>
  </si>
  <si>
    <t>IGL</t>
  </si>
  <si>
    <t>IGPL</t>
  </si>
  <si>
    <t>IIFCL</t>
  </si>
  <si>
    <t>IIFL</t>
  </si>
  <si>
    <t>IIFLFIN</t>
  </si>
  <si>
    <t>IIHFL</t>
  </si>
  <si>
    <t>IL&amp;FSENGG</t>
  </si>
  <si>
    <t>IL&amp;FSTRANS</t>
  </si>
  <si>
    <t>IMFA</t>
  </si>
  <si>
    <t>IMPAL</t>
  </si>
  <si>
    <t>IMPEXFERRO</t>
  </si>
  <si>
    <t>INDBANK</t>
  </si>
  <si>
    <t>INDHOTEL</t>
  </si>
  <si>
    <t>INDIACEM</t>
  </si>
  <si>
    <t>INDIAGLYCO</t>
  </si>
  <si>
    <t>INDIANB</t>
  </si>
  <si>
    <t>INDIANCARD</t>
  </si>
  <si>
    <t>INDIANHUME</t>
  </si>
  <si>
    <t>INDIGO</t>
  </si>
  <si>
    <t>INDIGRID</t>
  </si>
  <si>
    <t>INDLMETER</t>
  </si>
  <si>
    <t>INDNIPPON</t>
  </si>
  <si>
    <t>INDOCO</t>
  </si>
  <si>
    <t>INDORAMA</t>
  </si>
  <si>
    <t>INDOSOLAR</t>
  </si>
  <si>
    <t>INDOSTAR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</si>
  <si>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</si>
  <si>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</si>
  <si>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</si>
  <si>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</si>
  <si>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</si>
  <si>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</si>
  <si>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</si>
  <si>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</si>
  <si>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INEOSSTYRO</t>
  </si>
  <si>
    <t>INFIBEAM</t>
  </si>
  <si>
    <t>INFINITE</t>
  </si>
  <si>
    <t>INFOBEAN</t>
  </si>
  <si>
    <t>INFRABEES</t>
  </si>
  <si>
    <t>INFY</t>
  </si>
  <si>
    <t>INGERRAND</t>
  </si>
  <si>
    <t>INNOVANA</t>
  </si>
  <si>
    <t>INNOVATIVE</t>
  </si>
  <si>
    <t>INOXLEISUR</t>
  </si>
  <si>
    <t>INOXWIND</t>
  </si>
  <si>
    <t>INSECTICID</t>
  </si>
  <si>
    <t>INTELLECT</t>
  </si>
  <si>
    <t>INTENTECH</t>
  </si>
  <si>
    <t>INVENTURE</t>
  </si>
  <si>
    <t>IOB</t>
  </si>
  <si>
    <t>IOLCP</t>
  </si>
  <si>
    <t>IPAPPM</t>
  </si>
  <si>
    <t>IPCALAB</t>
  </si>
  <si>
    <t>IRB</t>
  </si>
  <si>
    <t>IRBINVIT</t>
  </si>
  <si>
    <t>IRFC</t>
  </si>
  <si>
    <t>ISEC</t>
  </si>
  <si>
    <t>ISFT</t>
  </si>
  <si>
    <t>ISMTLTD</t>
  </si>
  <si>
    <t>ITDC</t>
  </si>
  <si>
    <t>ITDCEM</t>
  </si>
  <si>
    <t>ITI</t>
  </si>
  <si>
    <t>IVC</t>
  </si>
  <si>
    <t>IVP</t>
  </si>
  <si>
    <t>IVRCLINFRA</t>
  </si>
  <si>
    <t>IVZINGOLD</t>
  </si>
  <si>
    <t>IVZINNIFTY</t>
  </si>
  <si>
    <t>IZMO</t>
  </si>
  <si>
    <t>J&amp;KBANK</t>
  </si>
  <si>
    <t>JAGRAN</t>
  </si>
  <si>
    <t>JAGSNPHARM</t>
  </si>
  <si>
    <t>JAIBALAJI</t>
  </si>
  <si>
    <t>JAICORPLTD</t>
  </si>
  <si>
    <t>JAKHARIA</t>
  </si>
  <si>
    <t>JAMNAAUTO</t>
  </si>
  <si>
    <t>JASH</t>
  </si>
  <si>
    <t>JAYAGROGN</t>
  </si>
  <si>
    <t>JAYBARMARU</t>
  </si>
  <si>
    <t>JAYNECOIND</t>
  </si>
  <si>
    <t>JAYSREETEA</t>
  </si>
  <si>
    <t>JBCHEPHARM</t>
  </si>
  <si>
    <t>JBFIND</t>
  </si>
  <si>
    <t>JBMA</t>
  </si>
  <si>
    <t>JCHAC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</si>
  <si>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</si>
  <si>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</si>
  <si>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</si>
  <si>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</si>
  <si>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</si>
  <si>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</si>
  <si>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</si>
  <si>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</si>
  <si>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</si>
  <si>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JISLDVREQS</t>
  </si>
  <si>
    <t>JISLJALEQS</t>
  </si>
  <si>
    <t>JITFINFRA</t>
  </si>
  <si>
    <t>JKCEMENT</t>
  </si>
  <si>
    <t>JKLAKSHMI</t>
  </si>
  <si>
    <t>JKPAPER</t>
  </si>
  <si>
    <t>JKTYRE</t>
  </si>
  <si>
    <t>JMA</t>
  </si>
  <si>
    <t>JMCPROJECT</t>
  </si>
  <si>
    <t>JMFINANCIL</t>
  </si>
  <si>
    <t>JMTAUTOLTD</t>
  </si>
  <si>
    <t>JOCIL</t>
  </si>
  <si>
    <t>JPASSOCIAT</t>
  </si>
  <si>
    <t>JPINFRATEC</t>
  </si>
  <si>
    <t>JPOLYINVST</t>
  </si>
  <si>
    <t>JPPOWER</t>
  </si>
  <si>
    <t>JSL</t>
  </si>
  <si>
    <t>JSLHISAR</t>
  </si>
  <si>
    <t>JSWENERGY</t>
  </si>
  <si>
    <t>JSWHL</t>
  </si>
  <si>
    <t>JSWSTEEL</t>
  </si>
  <si>
    <t>JTEKTINDIA</t>
  </si>
  <si>
    <t>JUBILANT</t>
  </si>
  <si>
    <t>JUBLFOOD</t>
  </si>
  <si>
    <t>JUBLINDS</t>
  </si>
  <si>
    <t>JUNIORBEES</t>
  </si>
  <si>
    <t>JUSTDIAL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</si>
  <si>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</si>
  <si>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</si>
  <si>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</si>
  <si>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</si>
  <si>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</si>
  <si>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</si>
  <si>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</si>
  <si>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</si>
  <si>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</si>
  <si>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KAMDHENU</t>
  </si>
  <si>
    <t>KANANIIND</t>
  </si>
  <si>
    <t>KANORICHEM</t>
  </si>
  <si>
    <t>KANSAINER</t>
  </si>
  <si>
    <t>KAPSTON</t>
  </si>
  <si>
    <t>KARDA</t>
  </si>
  <si>
    <t>KARMAENG</t>
  </si>
  <si>
    <t>KARURVYSYA</t>
  </si>
  <si>
    <t>KAUSHALYA</t>
  </si>
  <si>
    <t>KAVVERITEL</t>
  </si>
  <si>
    <t>KAYA</t>
  </si>
  <si>
    <t>KCP</t>
  </si>
  <si>
    <t>KCPSUGIND</t>
  </si>
  <si>
    <t>KDDL</t>
  </si>
  <si>
    <t>KEC</t>
  </si>
  <si>
    <t>KECL</t>
  </si>
  <si>
    <t>KEERTI</t>
  </si>
  <si>
    <t>KEI</t>
  </si>
  <si>
    <t>KELLTONTEC</t>
  </si>
  <si>
    <t>KERNEX</t>
  </si>
  <si>
    <t>KESARENT</t>
  </si>
  <si>
    <t>KESORAMIND</t>
  </si>
  <si>
    <t>KEYCORPSER</t>
  </si>
  <si>
    <t>KGL</t>
  </si>
  <si>
    <t>KHADIM</t>
  </si>
  <si>
    <t>KHAITANELE</t>
  </si>
  <si>
    <t>KHAITANLTD</t>
  </si>
  <si>
    <t>KHANDSE</t>
  </si>
  <si>
    <t>KICL</t>
  </si>
  <si>
    <t>KILITCH</t>
  </si>
  <si>
    <t>KINGFA</t>
  </si>
  <si>
    <t>KIOCL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</si>
  <si>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</si>
  <si>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</si>
  <si>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</si>
  <si>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</si>
  <si>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</si>
  <si>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</si>
  <si>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</si>
  <si>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</si>
  <si>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</si>
  <si>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</si>
  <si>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</si>
  <si>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</si>
  <si>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</si>
  <si>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KOTAKBKETF</t>
  </si>
  <si>
    <t>KOTAKGOLD</t>
  </si>
  <si>
    <t>KOTAKNIFTY</t>
  </si>
  <si>
    <t>KOTAKNV20</t>
  </si>
  <si>
    <t>KOTAKPSUBK</t>
  </si>
  <si>
    <t>KOTARISUG</t>
  </si>
  <si>
    <t>KOTHARIPET</t>
  </si>
  <si>
    <t>KOTHARIPRO</t>
  </si>
  <si>
    <t>KPIT</t>
  </si>
  <si>
    <t>KPRMILL</t>
  </si>
  <si>
    <t>KRBL</t>
  </si>
  <si>
    <t>KREBSBIO</t>
  </si>
  <si>
    <t>KRIDHANINF</t>
  </si>
  <si>
    <t>KSBPUMPS</t>
  </si>
  <si>
    <t>KSCL</t>
  </si>
  <si>
    <t>KSERASERA</t>
  </si>
  <si>
    <t>KSK</t>
  </si>
  <si>
    <t>KSL</t>
  </si>
  <si>
    <t>KTIL</t>
  </si>
  <si>
    <t>KTKBANK</t>
  </si>
  <si>
    <t>KWALITY</t>
  </si>
  <si>
    <t>L&amp;TFH</t>
  </si>
  <si>
    <t>L&amp;TFINANCE</t>
  </si>
  <si>
    <t>L&amp;TINFRA</t>
  </si>
  <si>
    <t>LAKPRE</t>
  </si>
  <si>
    <t>LAKSHMIEFL</t>
  </si>
  <si>
    <t>LAKSHVILAS</t>
  </si>
  <si>
    <t>LALPATHLAB</t>
  </si>
  <si>
    <t>LAMBODHARA</t>
  </si>
  <si>
    <t>LAOPALA</t>
  </si>
  <si>
    <t>LASA</t>
  </si>
  <si>
    <t>LAURUSLABS</t>
  </si>
  <si>
    <t>LAXMICOT</t>
  </si>
  <si>
    <t>LAXMIMACH</t>
  </si>
  <si>
    <t>LEEL</t>
  </si>
  <si>
    <t>LEMONTREE</t>
  </si>
  <si>
    <t>LEXUS</t>
  </si>
  <si>
    <t>LFIC</t>
  </si>
  <si>
    <t>LGBBROSLTD</t>
  </si>
  <si>
    <t>LGBFORGE</t>
  </si>
  <si>
    <t>LIBAS</t>
  </si>
  <si>
    <t>LIBERTSHOE</t>
  </si>
  <si>
    <t>LICHSGFIN</t>
  </si>
  <si>
    <t>LICNETFGSC</t>
  </si>
  <si>
    <t>LICNETFN50</t>
  </si>
  <si>
    <t>LICNETFSEN</t>
  </si>
  <si>
    <t>LICNFNHGP</t>
  </si>
  <si>
    <t>LINCOLN</t>
  </si>
  <si>
    <t>LINCPEN</t>
  </si>
  <si>
    <t>LINDEINDIA</t>
  </si>
  <si>
    <t>LIQUIDBEES</t>
  </si>
  <si>
    <t>LIQUIDETF</t>
  </si>
  <si>
    <t>LITL</t>
  </si>
  <si>
    <t>LOKESHMACH</t>
  </si>
  <si>
    <t>LOTUSEYE</t>
  </si>
  <si>
    <t>LOVABLE</t>
  </si>
  <si>
    <t>LPDC</t>
  </si>
  <si>
    <t>LSIL</t>
  </si>
  <si>
    <t>LT</t>
  </si>
  <si>
    <t>LTI</t>
  </si>
  <si>
    <t>LTTS</t>
  </si>
  <si>
    <t>LUMAXIND</t>
  </si>
  <si>
    <t>LUMAXTECH</t>
  </si>
  <si>
    <t>LUPIN</t>
  </si>
  <si>
    <t>LUXIND</t>
  </si>
  <si>
    <t>LYCOS</t>
  </si>
  <si>
    <t>LYKALABS</t>
  </si>
  <si>
    <t>LYPSAGEMS</t>
  </si>
  <si>
    <t>M&amp;M</t>
  </si>
  <si>
    <t>M&amp;MFIN</t>
  </si>
  <si>
    <t>M100</t>
  </si>
  <si>
    <t>M14RG</t>
  </si>
  <si>
    <t>M50</t>
  </si>
  <si>
    <t>MAANALU</t>
  </si>
  <si>
    <t>MACPOWER</t>
  </si>
  <si>
    <t>MADHAV</t>
  </si>
  <si>
    <t>MADHUCON</t>
  </si>
  <si>
    <t>MADRASFERT</t>
  </si>
  <si>
    <t>MAGADSUGAR</t>
  </si>
  <si>
    <t>MAGMA</t>
  </si>
  <si>
    <t>MAGNUM</t>
  </si>
  <si>
    <t>MAHABANK</t>
  </si>
  <si>
    <t>MAHAPEXLTD</t>
  </si>
  <si>
    <t>MAHASTEEL</t>
  </si>
  <si>
    <t>MAHESHWARI</t>
  </si>
  <si>
    <t>MAHICKRA</t>
  </si>
  <si>
    <t>MAHINDCIE</t>
  </si>
  <si>
    <t>MAHLIFE</t>
  </si>
  <si>
    <t>MAHLOG</t>
  </si>
  <si>
    <t>MAHSCOOTER</t>
  </si>
  <si>
    <t>MAHSEAMLES</t>
  </si>
  <si>
    <t>MAITHANALL</t>
  </si>
  <si>
    <t>MAJESCO</t>
  </si>
  <si>
    <t>MALUPAPER</t>
  </si>
  <si>
    <t>MANAKALUCO</t>
  </si>
  <si>
    <t>MANAKCOAT</t>
  </si>
  <si>
    <t>MANAKSIA</t>
  </si>
  <si>
    <t>MANAKSTEEL</t>
  </si>
  <si>
    <t>MANALIPETC</t>
  </si>
  <si>
    <t>MANAPPURAM</t>
  </si>
  <si>
    <t>MANDHANA</t>
  </si>
  <si>
    <t>MANGALAM</t>
  </si>
  <si>
    <t>MANGCHEFER</t>
  </si>
  <si>
    <t>MANGLMCEM</t>
  </si>
  <si>
    <t>MANGTIMBER</t>
  </si>
  <si>
    <t>MANINDS</t>
  </si>
  <si>
    <t>MANINFRA</t>
  </si>
  <si>
    <t>MANPASAND</t>
  </si>
  <si>
    <t>MANUGRAPH</t>
  </si>
  <si>
    <t>MARALOVER</t>
  </si>
  <si>
    <t>MARATHON</t>
  </si>
  <si>
    <t>MARICO</t>
  </si>
  <si>
    <t>MARKSANS</t>
  </si>
  <si>
    <t>MARUTI</t>
  </si>
  <si>
    <t>MASFIN</t>
  </si>
  <si>
    <t>MASTEK</t>
  </si>
  <si>
    <t>MATRIMONY</t>
  </si>
  <si>
    <t>MAWANASUG</t>
  </si>
  <si>
    <t>MAXINDIA</t>
  </si>
  <si>
    <t>MAXVIL</t>
  </si>
  <si>
    <t>MAYURUNIQ</t>
  </si>
  <si>
    <t>MAZDA</t>
  </si>
  <si>
    <t>MBECL</t>
  </si>
  <si>
    <t>MBLINFRA</t>
  </si>
  <si>
    <t>MCDHOLDING</t>
  </si>
  <si>
    <t>MCDOWELL-N</t>
  </si>
  <si>
    <t>MCL</t>
  </si>
  <si>
    <t>MCLEODRUSS</t>
  </si>
  <si>
    <t>MCX</t>
  </si>
  <si>
    <t>MEGASOFT</t>
  </si>
  <si>
    <t>MEGH</t>
  </si>
  <si>
    <t>MENONBE</t>
  </si>
  <si>
    <t>MEP</t>
  </si>
  <si>
    <t>MERCATOR</t>
  </si>
  <si>
    <t>MERCK</t>
  </si>
  <si>
    <t>METALFORGE</t>
  </si>
  <si>
    <t>METKORE</t>
  </si>
  <si>
    <t>MFSL</t>
  </si>
  <si>
    <t>MGL</t>
  </si>
  <si>
    <t>MHHL</t>
  </si>
  <si>
    <t>MHRIL</t>
  </si>
  <si>
    <t>MIC</t>
  </si>
  <si>
    <t>MIDHANI</t>
  </si>
  <si>
    <t>MINDACORP</t>
  </si>
  <si>
    <t>MINDAIND</t>
  </si>
  <si>
    <t>MINDTECK</t>
  </si>
  <si>
    <t>MINDTREE</t>
  </si>
  <si>
    <t>MIRCELECTR</t>
  </si>
  <si>
    <t>MIRZAINT</t>
  </si>
  <si>
    <t>MITCON</t>
  </si>
  <si>
    <t>MITTAL</t>
  </si>
  <si>
    <t>MKPL</t>
  </si>
  <si>
    <t>MMFL</t>
  </si>
  <si>
    <t>MMP</t>
  </si>
  <si>
    <t>MMTC</t>
  </si>
  <si>
    <t>MOHITIND</t>
  </si>
  <si>
    <t>MOHOTAIND</t>
  </si>
  <si>
    <t>MOIL</t>
  </si>
  <si>
    <t>MOKSH</t>
  </si>
  <si>
    <t>MOLDTECH</t>
  </si>
  <si>
    <t>MOLDTKPAC</t>
  </si>
  <si>
    <t>MONNETISPA</t>
  </si>
  <si>
    <t>MONSANTO</t>
  </si>
  <si>
    <t>MONTECARLO</t>
  </si>
  <si>
    <t>MORARJEE</t>
  </si>
  <si>
    <t>MOREPENLAB</t>
  </si>
  <si>
    <t>MOSERBAER</t>
  </si>
  <si>
    <t>MOTHERSUMI</t>
  </si>
  <si>
    <t>MOTILALOFS</t>
  </si>
  <si>
    <t>MOTOGENFIN</t>
  </si>
  <si>
    <t>MPHASIS</t>
  </si>
  <si>
    <t>MPSLTD</t>
  </si>
  <si>
    <t>MPTODAY</t>
  </si>
  <si>
    <t>MRF</t>
  </si>
  <si>
    <t>MRO-TEK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</si>
  <si>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</si>
  <si>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</si>
  <si>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</si>
  <si>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</si>
  <si>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</si>
  <si>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</si>
  <si>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</si>
  <si>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</si>
  <si>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</si>
  <si>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MUTHOOTCAP</t>
  </si>
  <si>
    <t>MUTHOOTFIN</t>
  </si>
  <si>
    <t>MVL</t>
  </si>
  <si>
    <t>N100</t>
  </si>
  <si>
    <t>NABARD</t>
  </si>
  <si>
    <t>NACLIND</t>
  </si>
  <si>
    <t>NAGAFERT</t>
  </si>
  <si>
    <t>NAGAROIL</t>
  </si>
  <si>
    <t>NAGREEKCAP</t>
  </si>
  <si>
    <t>NAGREEKEXP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</si>
  <si>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</si>
  <si>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</si>
  <si>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</si>
  <si>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</si>
  <si>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</si>
  <si>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</si>
  <si>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</si>
  <si>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</si>
  <si>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</si>
  <si>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</si>
  <si>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</si>
  <si>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NAVKARCORP</t>
  </si>
  <si>
    <t>NAVNETEDUL</t>
  </si>
  <si>
    <t>NBCC</t>
  </si>
  <si>
    <t>NBIFIN</t>
  </si>
  <si>
    <t>NBVENTURES</t>
  </si>
  <si>
    <t>NCC</t>
  </si>
  <si>
    <t>NCLIND</t>
  </si>
  <si>
    <t>NDGL</t>
  </si>
  <si>
    <t>NDL</t>
  </si>
  <si>
    <t>NDTV</t>
  </si>
  <si>
    <t>NECCLTD</t>
  </si>
  <si>
    <t>NECLIFE</t>
  </si>
  <si>
    <t>NELCAST</t>
  </si>
  <si>
    <t>NELCO</t>
  </si>
  <si>
    <t>NESCO</t>
  </si>
  <si>
    <t>NESTLEIND</t>
  </si>
  <si>
    <t>NETWORK18</t>
  </si>
  <si>
    <t>NEULANDLAB</t>
  </si>
  <si>
    <t>NEWGEN</t>
  </si>
  <si>
    <t>NEXTMEDIA</t>
  </si>
  <si>
    <t>NFL</t>
  </si>
  <si>
    <t>NH</t>
  </si>
  <si>
    <t>NHAI</t>
  </si>
  <si>
    <t>NHBTF2014</t>
  </si>
  <si>
    <t>NHBTF2023</t>
  </si>
  <si>
    <t>NHPC</t>
  </si>
  <si>
    <t>NIACL</t>
  </si>
  <si>
    <t>NIBL</t>
  </si>
  <si>
    <t>NIFTYBEES</t>
  </si>
  <si>
    <t>NIFTYEES</t>
  </si>
  <si>
    <t>NIITLTD</t>
  </si>
  <si>
    <t>NIITTECH</t>
  </si>
  <si>
    <t>NILAINFRA</t>
  </si>
  <si>
    <t>NILKAMAL</t>
  </si>
  <si>
    <t>NIPPOBATRY</t>
  </si>
  <si>
    <t>NITCO</t>
  </si>
  <si>
    <t>NITESHEST</t>
  </si>
  <si>
    <t>NITINFIRE</t>
  </si>
  <si>
    <t>NITINSPIN</t>
  </si>
  <si>
    <t>NITIRAJ</t>
  </si>
  <si>
    <t>NKIND</t>
  </si>
  <si>
    <t>NOCIL</t>
  </si>
  <si>
    <t>NOIDATOLL</t>
  </si>
  <si>
    <t>NORBTEAEXP</t>
  </si>
  <si>
    <t>NRAIL</t>
  </si>
  <si>
    <t>NRBBEARING</t>
  </si>
  <si>
    <t>NSIL</t>
  </si>
  <si>
    <t>NTL</t>
  </si>
  <si>
    <t>NTPC</t>
  </si>
  <si>
    <t>NUCLEUS</t>
  </si>
  <si>
    <t>NUTEK</t>
  </si>
  <si>
    <t>OBEROIRLTY</t>
  </si>
  <si>
    <t>OCCL</t>
  </si>
  <si>
    <t>OCL</t>
  </si>
  <si>
    <t>OFSS</t>
  </si>
  <si>
    <t>OIL</t>
  </si>
  <si>
    <t>OILCOUNTUB</t>
  </si>
  <si>
    <t>OISL</t>
  </si>
  <si>
    <t>OMAXAUTO</t>
  </si>
  <si>
    <t>OMAXE</t>
  </si>
  <si>
    <t>OMKARCHEM</t>
  </si>
  <si>
    <t>OMMETALS</t>
  </si>
  <si>
    <t>ONELIFECAP</t>
  </si>
  <si>
    <t>ONEPOINT</t>
  </si>
  <si>
    <t>ONGC</t>
  </si>
  <si>
    <t>ONMOBILE</t>
  </si>
  <si>
    <t>ONWARDTEC</t>
  </si>
  <si>
    <t>OPTIEMUS</t>
  </si>
  <si>
    <t>OPTOCIRCUI</t>
  </si>
  <si>
    <t>ORBTEXP</t>
  </si>
  <si>
    <t>ORCHIDPHAR</t>
  </si>
  <si>
    <t>ORICONENT</t>
  </si>
  <si>
    <t>ORIENTABRA</t>
  </si>
  <si>
    <t>ORIENTALTL</t>
  </si>
  <si>
    <t>ORIENTBANK</t>
  </si>
  <si>
    <t>ORIENTBELL</t>
  </si>
  <si>
    <t>ORIENTCEM</t>
  </si>
  <si>
    <t>ORIENTELEC</t>
  </si>
  <si>
    <t>ORIENTHOT</t>
  </si>
  <si>
    <t>ORIENTLTD</t>
  </si>
  <si>
    <t>ORIENTPPR</t>
  </si>
  <si>
    <t>ORIENTREF</t>
  </si>
  <si>
    <t>ORISSAMINE</t>
  </si>
  <si>
    <t>ORTEL</t>
  </si>
  <si>
    <t>ORTINLABSS</t>
  </si>
  <si>
    <t>OSWALAGRO</t>
  </si>
  <si>
    <t>OSWALSEEDS</t>
  </si>
  <si>
    <t>PAGEIND</t>
  </si>
  <si>
    <t>PAISALO</t>
  </si>
  <si>
    <t>PALASHSECU</t>
  </si>
  <si>
    <t>PALREDTEC</t>
  </si>
  <si>
    <t>PANACEABIO</t>
  </si>
  <si>
    <t>PANAMAPET</t>
  </si>
  <si>
    <t>PANORAMUNI</t>
  </si>
  <si>
    <t>PAPERPROD</t>
  </si>
  <si>
    <t>PARABDRUGS</t>
  </si>
  <si>
    <t>PARACABLES</t>
  </si>
  <si>
    <t>PARAGMILK</t>
  </si>
  <si>
    <t>PARSVNATH</t>
  </si>
  <si>
    <t>PATELENG</t>
  </si>
  <si>
    <t>PATINTLOG</t>
  </si>
  <si>
    <t>PATSPINLTD</t>
  </si>
  <si>
    <t>PBAINFRA</t>
  </si>
  <si>
    <t>PCJEWELLER</t>
  </si>
  <si>
    <t>PDMJEPAPER</t>
  </si>
  <si>
    <t>PDPL</t>
  </si>
  <si>
    <t>PDSMFL</t>
  </si>
  <si>
    <t>PEARLPOLY</t>
  </si>
  <si>
    <t>PEL</t>
  </si>
  <si>
    <t>PENIND</t>
  </si>
  <si>
    <t>PENINLAND</t>
  </si>
  <si>
    <t>PENPEBS</t>
  </si>
  <si>
    <t>PERFECT</t>
  </si>
  <si>
    <t>PERSISTENT</t>
  </si>
  <si>
    <t>PETRONENGG</t>
  </si>
  <si>
    <t>PETRONET</t>
  </si>
  <si>
    <t>PFIZER</t>
  </si>
  <si>
    <t>PFOCUS</t>
  </si>
  <si>
    <t>PFS</t>
  </si>
  <si>
    <t>PGEL</t>
  </si>
  <si>
    <t>PGHH</t>
  </si>
  <si>
    <t>PGIL</t>
  </si>
  <si>
    <t>PHILIPCARB</t>
  </si>
  <si>
    <t>PHOENIXLTD</t>
  </si>
  <si>
    <t>PIDILITIND</t>
  </si>
  <si>
    <t>PIGL</t>
  </si>
  <si>
    <t>PIIND</t>
  </si>
  <si>
    <t>PILANIINVS</t>
  </si>
  <si>
    <t>PILITA</t>
  </si>
  <si>
    <t>PIONDIST</t>
  </si>
  <si>
    <t>PIONEEREMB</t>
  </si>
  <si>
    <t>PIRPHYTO</t>
  </si>
  <si>
    <t>PITTIENG</t>
  </si>
  <si>
    <t>PKTEA</t>
  </si>
  <si>
    <t>PLASTIBLEN</t>
  </si>
  <si>
    <t>PNB</t>
  </si>
  <si>
    <t>PNBGILTS</t>
  </si>
  <si>
    <t>PNBHOUSING</t>
  </si>
  <si>
    <t>PNC</t>
  </si>
  <si>
    <t>PNCINFRA</t>
  </si>
  <si>
    <t>POCHIRAJU</t>
  </si>
  <si>
    <t>PODDARHOUS</t>
  </si>
  <si>
    <t>PODDARMENT</t>
  </si>
  <si>
    <t>POKARNA</t>
  </si>
  <si>
    <t>POLARIS</t>
  </si>
  <si>
    <t>POLYMED</t>
  </si>
  <si>
    <t>POLYPLEX</t>
  </si>
  <si>
    <t>PONNIERODE</t>
  </si>
  <si>
    <t>POWERGRID</t>
  </si>
  <si>
    <t>POWERMECH</t>
  </si>
  <si>
    <t>PPAP</t>
  </si>
  <si>
    <t>PRABHAT</t>
  </si>
  <si>
    <t>PRADIP</t>
  </si>
  <si>
    <t>PRAENG</t>
  </si>
  <si>
    <t>PRAKASH</t>
  </si>
  <si>
    <t>PRAKASHCON</t>
  </si>
  <si>
    <t>PRATIBHA</t>
  </si>
  <si>
    <t>PRAXIS</t>
  </si>
  <si>
    <t>PRECAM</t>
  </si>
  <si>
    <t>PRECOT</t>
  </si>
  <si>
    <t>PRECWIRE</t>
  </si>
  <si>
    <t>PREMEXPLN</t>
  </si>
  <si>
    <t>PREMIER</t>
  </si>
  <si>
    <t>PREMIERPOL</t>
  </si>
  <si>
    <t>PRESSMN</t>
  </si>
  <si>
    <t>PRESTIGE</t>
  </si>
  <si>
    <t>PRICOLLTD</t>
  </si>
  <si>
    <t>PRIMESECU</t>
  </si>
  <si>
    <t>PRITI</t>
  </si>
  <si>
    <t>PROLIFE</t>
  </si>
  <si>
    <t>PROVOGE</t>
  </si>
  <si>
    <t>PROZONINTU</t>
  </si>
  <si>
    <t>PRSMJOHNSN</t>
  </si>
  <si>
    <t>PSB</t>
  </si>
  <si>
    <t>PSL</t>
  </si>
  <si>
    <t>PSPPROJECT</t>
  </si>
  <si>
    <t>PSUBNKBEES</t>
  </si>
  <si>
    <t>PTL</t>
  </si>
  <si>
    <t>PUNJABCHEM</t>
  </si>
  <si>
    <t>PUNJLLOYD</t>
  </si>
  <si>
    <t>PURVA</t>
  </si>
  <si>
    <t>PVP</t>
  </si>
  <si>
    <t>PVR</t>
  </si>
  <si>
    <t>QGOLDHALF</t>
  </si>
  <si>
    <t>QUESS</t>
  </si>
  <si>
    <t>QUICKHEAL</t>
  </si>
  <si>
    <t>RADAAN</t>
  </si>
  <si>
    <t>RADICO</t>
  </si>
  <si>
    <t>RADIOCITY</t>
  </si>
  <si>
    <t>RAIN</t>
  </si>
  <si>
    <t>RAINBOWPAP</t>
  </si>
  <si>
    <t>RAJESHEXPO</t>
  </si>
  <si>
    <t>RAJRAYON</t>
  </si>
  <si>
    <t>RAJSREESUG</t>
  </si>
  <si>
    <t>RAJTV</t>
  </si>
  <si>
    <t>RAJVIR</t>
  </si>
  <si>
    <t>RALLIS</t>
  </si>
  <si>
    <t>RAMANEWS</t>
  </si>
  <si>
    <t>RAMASTEEL</t>
  </si>
  <si>
    <t>RAMCOCEM</t>
  </si>
  <si>
    <t>RAMCOIND</t>
  </si>
  <si>
    <t>RAMCOSYS</t>
  </si>
  <si>
    <t>RAMGOPOLY</t>
  </si>
  <si>
    <t>RAMKY</t>
  </si>
  <si>
    <t>RANASUG</t>
  </si>
  <si>
    <t>RANEENGINE</t>
  </si>
  <si>
    <t>RANEHOLDIN</t>
  </si>
  <si>
    <t>RATNAMANI</t>
  </si>
  <si>
    <t>RAYMOND</t>
  </si>
  <si>
    <t>RBL</t>
  </si>
  <si>
    <t>RBLBANK</t>
  </si>
  <si>
    <t>RCF</t>
  </si>
  <si>
    <t>RCOM</t>
  </si>
  <si>
    <t>RECLTD</t>
  </si>
  <si>
    <t>REDINGTON</t>
  </si>
  <si>
    <t>REFEX</t>
  </si>
  <si>
    <t>REGENCERAM</t>
  </si>
  <si>
    <t>RELAXO</t>
  </si>
  <si>
    <t>RELCAPITAL</t>
  </si>
  <si>
    <t>RELCNX100</t>
  </si>
  <si>
    <t>RELCONS</t>
  </si>
  <si>
    <t>RELDIVOPP</t>
  </si>
  <si>
    <t>RELIABLE</t>
  </si>
  <si>
    <t>RELIANCE</t>
  </si>
  <si>
    <t>RELIFIN</t>
  </si>
  <si>
    <t>RELIGARE</t>
  </si>
  <si>
    <t>RELINFRA</t>
  </si>
  <si>
    <t>RELNV20</t>
  </si>
  <si>
    <t>REMSONSIND</t>
  </si>
  <si>
    <t>RENUKA</t>
  </si>
  <si>
    <t>REPCOHOME</t>
  </si>
  <si>
    <t>REPL</t>
  </si>
  <si>
    <t>RESPONIND</t>
  </si>
  <si>
    <t>REVATHI</t>
  </si>
  <si>
    <t>RHFL</t>
  </si>
  <si>
    <t>RICOAUTO</t>
  </si>
  <si>
    <t>RIIL</t>
  </si>
  <si>
    <t>RITES</t>
  </si>
  <si>
    <t>RJL</t>
  </si>
  <si>
    <t>RKDL</t>
  </si>
  <si>
    <t>RKEC</t>
  </si>
  <si>
    <t>RKFORGE</t>
  </si>
  <si>
    <t>RMCL</t>
  </si>
  <si>
    <t>RMDRIP</t>
  </si>
  <si>
    <t>RML</t>
  </si>
  <si>
    <t>RNAM</t>
  </si>
  <si>
    <t>RNAVAL</t>
  </si>
  <si>
    <t>ROHITFERRO</t>
  </si>
  <si>
    <t>ROHLTD</t>
  </si>
  <si>
    <t>ROLLT</t>
  </si>
  <si>
    <t>ROSSELLIND</t>
  </si>
  <si>
    <t>RPGLIFE</t>
  </si>
  <si>
    <t>RPOWER</t>
  </si>
  <si>
    <t>RPPINFRA</t>
  </si>
  <si>
    <t>RSSOFTWARE</t>
  </si>
  <si>
    <t>RSWM</t>
  </si>
  <si>
    <t>RSYSTEMS</t>
  </si>
  <si>
    <t>RTNINFRA</t>
  </si>
  <si>
    <t>RTNPOWER</t>
  </si>
  <si>
    <t>RUBYMILLS</t>
  </si>
  <si>
    <t>RUCHIRA</t>
  </si>
  <si>
    <t>RUCHISOYA</t>
  </si>
  <si>
    <t>RUPA</t>
  </si>
  <si>
    <t>RUSHIL</t>
  </si>
  <si>
    <t>SABEVENTS</t>
  </si>
  <si>
    <t>SABTN</t>
  </si>
  <si>
    <t>SADBHAV</t>
  </si>
  <si>
    <t>SADBHIN</t>
  </si>
  <si>
    <t>SAGCEM</t>
  </si>
  <si>
    <t>SAIL</t>
  </si>
  <si>
    <t>SAKHTISUG</t>
  </si>
  <si>
    <t>SAKSOFT</t>
  </si>
  <si>
    <t>SAKUMA</t>
  </si>
  <si>
    <t>SALASAR</t>
  </si>
  <si>
    <t>SALONA</t>
  </si>
  <si>
    <t>SALORAINTL</t>
  </si>
  <si>
    <t>SALSTEEL</t>
  </si>
  <si>
    <t>SALZERELEC</t>
  </si>
  <si>
    <t>SAMBHAAV</t>
  </si>
  <si>
    <t>SANCO</t>
  </si>
  <si>
    <t>SANDESH</t>
  </si>
  <si>
    <t>SANDHAR</t>
  </si>
  <si>
    <t>SANGAMIND</t>
  </si>
  <si>
    <t>SANGHIIND</t>
  </si>
  <si>
    <t>SANGHVIFOR</t>
  </si>
  <si>
    <t>SANGHVIMOV</t>
  </si>
  <si>
    <t>SANGINITA</t>
  </si>
  <si>
    <t>SANOFI</t>
  </si>
  <si>
    <t>SANWARIA</t>
  </si>
  <si>
    <t>SARDAEN</t>
  </si>
  <si>
    <t>SAREGAMA</t>
  </si>
  <si>
    <t>SARLAPOLY</t>
  </si>
  <si>
    <t>SARVESHWAR</t>
  </si>
  <si>
    <t>SASKEN</t>
  </si>
  <si>
    <t>SASTASUNDR</t>
  </si>
  <si>
    <t>SATHAISPAT</t>
  </si>
  <si>
    <t>SATIN</t>
  </si>
  <si>
    <t>SBILIFE</t>
  </si>
  <si>
    <t>SBIN</t>
  </si>
  <si>
    <t>SCAPDVR</t>
  </si>
  <si>
    <t>SCHAEFFLER</t>
  </si>
  <si>
    <t>SCHAND</t>
  </si>
  <si>
    <t>SCHNEIDER</t>
  </si>
  <si>
    <t>SCI</t>
  </si>
  <si>
    <t>SDBL</t>
  </si>
  <si>
    <t>SEAMECLTD</t>
  </si>
  <si>
    <t>SECURCRED</t>
  </si>
  <si>
    <t>SELAN</t>
  </si>
  <si>
    <t>SELMCL</t>
  </si>
  <si>
    <t>SEPOWER</t>
  </si>
  <si>
    <t>SEQUENT</t>
  </si>
  <si>
    <t>SESHAPAPER</t>
  </si>
  <si>
    <t>SETCO</t>
  </si>
  <si>
    <t>SETFGOLD</t>
  </si>
  <si>
    <t>SETFNIF50</t>
  </si>
  <si>
    <t>SETFNIFBK</t>
  </si>
  <si>
    <t>SETFNN50</t>
  </si>
  <si>
    <t>SEZAL</t>
  </si>
  <si>
    <t>SFL</t>
  </si>
  <si>
    <t>SGBAUG24</t>
  </si>
  <si>
    <t>SGBFEB24</t>
  </si>
  <si>
    <t>SGBJAN26</t>
  </si>
  <si>
    <t>SGBJUL25</t>
  </si>
  <si>
    <t>SGBMAR24</t>
  </si>
  <si>
    <t>SGBMAR25</t>
  </si>
  <si>
    <t>SGBMAY25</t>
  </si>
  <si>
    <t>SGBMAY26</t>
  </si>
  <si>
    <t>SGBNOV23</t>
  </si>
  <si>
    <t>SGBNOV24</t>
  </si>
  <si>
    <t>SGBNOV25</t>
  </si>
  <si>
    <t>SGBNOV25VI</t>
  </si>
  <si>
    <t>SGBOCT25</t>
  </si>
  <si>
    <t>SGBSEP24</t>
  </si>
  <si>
    <t>SGL</t>
  </si>
  <si>
    <t>SHAHALLOYS</t>
  </si>
  <si>
    <t>SHAKTIPUMP</t>
  </si>
  <si>
    <t>SHALBY</t>
  </si>
  <si>
    <t>SHALPAINTS</t>
  </si>
  <si>
    <t>SHANKARA</t>
  </si>
  <si>
    <t>SHANTIGEAR</t>
  </si>
  <si>
    <t>SHARDACROP</t>
  </si>
  <si>
    <t>SHARDAMOTR</t>
  </si>
  <si>
    <t>SHARIABEES</t>
  </si>
  <si>
    <t>SHARONBIO</t>
  </si>
  <si>
    <t>SHEMAROO</t>
  </si>
  <si>
    <t>SHILPAMED</t>
  </si>
  <si>
    <t>SHILPI</t>
  </si>
  <si>
    <t>SHIRPUR-G</t>
  </si>
  <si>
    <t>SHIVAMAUTO</t>
  </si>
  <si>
    <t>SHIVAMILLS</t>
  </si>
  <si>
    <t>SHIVATEX</t>
  </si>
  <si>
    <t>SHK</t>
  </si>
  <si>
    <t>SHOPERSTOP</t>
  </si>
  <si>
    <t>SHREECEM</t>
  </si>
  <si>
    <t>SHREEPUSHK</t>
  </si>
  <si>
    <t>SHREERAMA</t>
  </si>
  <si>
    <t>SHRENIK</t>
  </si>
  <si>
    <t>SHREYANIND</t>
  </si>
  <si>
    <t>SHREYAS</t>
  </si>
  <si>
    <t>SHRIPISTON</t>
  </si>
  <si>
    <t>SHRIRAMCIT</t>
  </si>
  <si>
    <t>SHRIRAMEPC</t>
  </si>
  <si>
    <t>SHYAMCENT</t>
  </si>
  <si>
    <t>SHYAMTEL</t>
  </si>
  <si>
    <t>SICAGEN</t>
  </si>
  <si>
    <t>SICAL</t>
  </si>
  <si>
    <t>SIEMENS</t>
  </si>
  <si>
    <t>SIGNET</t>
  </si>
  <si>
    <t>SIIL</t>
  </si>
  <si>
    <t>SIL</t>
  </si>
  <si>
    <t>SILINV</t>
  </si>
  <si>
    <t>SILLYMONKS</t>
  </si>
  <si>
    <t>SILVERTUC</t>
  </si>
  <si>
    <t>SIMBHALS</t>
  </si>
  <si>
    <t>SIMPLEX</t>
  </si>
  <si>
    <t>SIMPLEXINF</t>
  </si>
  <si>
    <t>SINTERCOM</t>
  </si>
  <si>
    <t>SINTEX</t>
  </si>
  <si>
    <t>SIRCA</t>
  </si>
  <si>
    <t>SIS</t>
  </si>
  <si>
    <t>SITASHREE</t>
  </si>
  <si>
    <t>SITINET</t>
  </si>
  <si>
    <t>SIYSIL</t>
  </si>
  <si>
    <t>SJVN</t>
  </si>
  <si>
    <t>SKFINDIA</t>
  </si>
  <si>
    <t>SKIL</t>
  </si>
  <si>
    <t>SKIPPER</t>
  </si>
  <si>
    <t>SKMEGGPROD</t>
  </si>
  <si>
    <t>SMARTLINK</t>
  </si>
  <si>
    <t>SMLISUZU</t>
  </si>
  <si>
    <t>SMPL</t>
  </si>
  <si>
    <t>SMSLIFE</t>
  </si>
  <si>
    <t>SMSPHARMA</t>
  </si>
  <si>
    <t>SMVD</t>
  </si>
  <si>
    <t>SNOWMAN</t>
  </si>
  <si>
    <t>SOBHA</t>
  </si>
  <si>
    <t>SOFTTECH</t>
  </si>
  <si>
    <t>SOLARA</t>
  </si>
  <si>
    <t>SOLARINDS</t>
  </si>
  <si>
    <t>SOLEX</t>
  </si>
  <si>
    <t>SOMANYCERA</t>
  </si>
  <si>
    <t>SOMATEX</t>
  </si>
  <si>
    <t>SOMICONVEY</t>
  </si>
  <si>
    <t>SONAMCLOCK</t>
  </si>
  <si>
    <t>SONATSOFTW</t>
  </si>
  <si>
    <t>SORILINFRA</t>
  </si>
  <si>
    <t>SOTL</t>
  </si>
  <si>
    <t>SOUTHBANK</t>
  </si>
  <si>
    <t>SOUTHWEST</t>
  </si>
  <si>
    <t>SPAL</t>
  </si>
  <si>
    <t>SPARC</t>
  </si>
  <si>
    <t>SPECIALITY</t>
  </si>
  <si>
    <t>SPENTEX</t>
  </si>
  <si>
    <t>SPIC</t>
  </si>
  <si>
    <t>SPICEMOBI</t>
  </si>
  <si>
    <t>SPLIL</t>
  </si>
  <si>
    <t>SPMLINFRA</t>
  </si>
  <si>
    <t>SPTL</t>
  </si>
  <si>
    <t>SPYL</t>
  </si>
  <si>
    <t>SQSBFSI</t>
  </si>
  <si>
    <t>SREEL</t>
  </si>
  <si>
    <t>SREIBNPNCD</t>
  </si>
  <si>
    <t>SREINFRA</t>
  </si>
  <si>
    <t>SRF</t>
  </si>
  <si>
    <t>SRHHYPOLTD</t>
  </si>
  <si>
    <t>SRIPIPES</t>
  </si>
  <si>
    <t>SRIRAM</t>
  </si>
  <si>
    <t>SRSLTD</t>
  </si>
  <si>
    <t>SRTRANSFIN</t>
  </si>
  <si>
    <t>SSWL</t>
  </si>
  <si>
    <t>STAMPEDE</t>
  </si>
  <si>
    <t>STAN</t>
  </si>
  <si>
    <t>STAR</t>
  </si>
  <si>
    <t>STARCEMENT</t>
  </si>
  <si>
    <t>STARPAPER</t>
  </si>
  <si>
    <t>STCINDIA</t>
  </si>
  <si>
    <t>STEELCITY</t>
  </si>
  <si>
    <t>STEELXIND</t>
  </si>
  <si>
    <t>STEL</t>
  </si>
  <si>
    <t>STERTOOLS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</si>
  <si>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</si>
  <si>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</si>
  <si>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</si>
  <si>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</si>
  <si>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</si>
  <si>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</si>
  <si>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</si>
  <si>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</si>
  <si>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</si>
  <si>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</si>
  <si>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SUNDARMHLD</t>
  </si>
  <si>
    <t>SUNDRMBRAK</t>
  </si>
  <si>
    <t>SUNDRMFAST</t>
  </si>
  <si>
    <t>SUNFLAG</t>
  </si>
  <si>
    <t>SUNILHITEC</t>
  </si>
  <si>
    <t>SUNPHARMA</t>
  </si>
  <si>
    <t>SUNTECK</t>
  </si>
  <si>
    <t>SUNTV</t>
  </si>
  <si>
    <t>SUPERHOUSE</t>
  </si>
  <si>
    <t>SUPERSPIN</t>
  </si>
  <si>
    <t>SUPPETRO</t>
  </si>
  <si>
    <t>SUPRAJIT</t>
  </si>
  <si>
    <t>SUPREMEIND</t>
  </si>
  <si>
    <t>SUPREMEINF</t>
  </si>
  <si>
    <t>SUPREMETEX</t>
  </si>
  <si>
    <t>SURANAIND</t>
  </si>
  <si>
    <t>SURANASOL</t>
  </si>
  <si>
    <t>SURANAT&amp;P</t>
  </si>
  <si>
    <t>SURYALAXMI</t>
  </si>
  <si>
    <t>SURYAROSNI</t>
  </si>
  <si>
    <t>SUTLEJTEX</t>
  </si>
  <si>
    <t>SUULD</t>
  </si>
  <si>
    <t>SUVEN</t>
  </si>
  <si>
    <t>SUZLON</t>
  </si>
  <si>
    <t>SWANENERGY</t>
  </si>
  <si>
    <t>SWARAJENG</t>
  </si>
  <si>
    <t>SWELECTES</t>
  </si>
  <si>
    <t>SYMPHONY</t>
  </si>
  <si>
    <t>SYNCOM</t>
  </si>
  <si>
    <t>SYNDIBANK</t>
  </si>
  <si>
    <t>SYNGENE</t>
  </si>
  <si>
    <t>TAINWALCHM</t>
  </si>
  <si>
    <t>TAJGVK</t>
  </si>
  <si>
    <t>TAKE</t>
  </si>
  <si>
    <t>TALBROAUTO</t>
  </si>
  <si>
    <t>TALWALKARS</t>
  </si>
  <si>
    <t>TALWGYM</t>
  </si>
  <si>
    <t>TANLA</t>
  </si>
  <si>
    <t>TANTIACONS</t>
  </si>
  <si>
    <t>TARACHAND</t>
  </si>
  <si>
    <t>TARAJEWELS</t>
  </si>
  <si>
    <t>TARAPUR</t>
  </si>
  <si>
    <t>TARMAT</t>
  </si>
  <si>
    <t>TASTYBITE</t>
  </si>
  <si>
    <t>TATACHEM</t>
  </si>
  <si>
    <t>TATACOFFEE</t>
  </si>
  <si>
    <t>TATACOMM</t>
  </si>
  <si>
    <t>TATAELXSI</t>
  </si>
  <si>
    <t>TATAGLOBAL</t>
  </si>
  <si>
    <t>TATAINVEST</t>
  </si>
  <si>
    <t>TATAMETALI</t>
  </si>
  <si>
    <t>TATAMOTORS</t>
  </si>
  <si>
    <t>TATAMTRDVR</t>
  </si>
  <si>
    <t>TATAPOWER</t>
  </si>
  <si>
    <t>TATASPONGE</t>
  </si>
  <si>
    <t>TATASTEEL</t>
  </si>
  <si>
    <t>TBZ</t>
  </si>
  <si>
    <t>TCFSL</t>
  </si>
  <si>
    <t>TCI</t>
  </si>
  <si>
    <t>TCIDEVELOP</t>
  </si>
  <si>
    <t>TCIEXP</t>
  </si>
  <si>
    <t>TCIFINANCE</t>
  </si>
  <si>
    <t>TCPLPACK</t>
  </si>
  <si>
    <t>TCS</t>
  </si>
  <si>
    <t>TDPOWERSYS</t>
  </si>
  <si>
    <t>TEAMLEASE</t>
  </si>
  <si>
    <t>TECHIN</t>
  </si>
  <si>
    <t>TECHNO</t>
  </si>
  <si>
    <t>TECHNOFAB</t>
  </si>
  <si>
    <t>TEJASNET</t>
  </si>
  <si>
    <t>TERASOFT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</si>
  <si>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</si>
  <si>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</si>
  <si>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</si>
  <si>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</si>
  <si>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</si>
  <si>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</si>
  <si>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</si>
  <si>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</si>
  <si>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THERMAX</t>
  </si>
  <si>
    <t>THIRUSUGAR</t>
  </si>
  <si>
    <t>THOMASCOOK</t>
  </si>
  <si>
    <t>THOMASCOTT</t>
  </si>
  <si>
    <t>THYROCARE</t>
  </si>
  <si>
    <t>TI</t>
  </si>
  <si>
    <t>TIDEWATER</t>
  </si>
  <si>
    <t>TIFIN</t>
  </si>
  <si>
    <t>TIIL</t>
  </si>
  <si>
    <t>TIINDIA</t>
  </si>
  <si>
    <t>TIJARIA</t>
  </si>
  <si>
    <t>TIL</t>
  </si>
  <si>
    <t>TIMESGTY</t>
  </si>
  <si>
    <t>TIMETECHNO</t>
  </si>
  <si>
    <t>TIMKEN</t>
  </si>
  <si>
    <t>TINPLATE</t>
  </si>
  <si>
    <t>TIPSINDLTD</t>
  </si>
  <si>
    <t>TIRUMALCHM</t>
  </si>
  <si>
    <t>TIRUPATIFL</t>
  </si>
  <si>
    <t>TITAN</t>
  </si>
  <si>
    <t>TMRVL</t>
  </si>
  <si>
    <t>TNPETRO</t>
  </si>
  <si>
    <t>TNPL</t>
  </si>
  <si>
    <t>TNTELE</t>
  </si>
  <si>
    <t>TOKYOPLAST</t>
  </si>
  <si>
    <t>TORNTPHARM</t>
  </si>
  <si>
    <t>TORNTPOWER</t>
  </si>
  <si>
    <t>TOTAL</t>
  </si>
  <si>
    <t>TOUCHWOOD</t>
  </si>
  <si>
    <t>TPLPLASTEH</t>
  </si>
  <si>
    <t>TREEHOUSE</t>
  </si>
  <si>
    <t>TRENT</t>
  </si>
  <si>
    <t>TRF</t>
  </si>
  <si>
    <t>TRIDENT</t>
  </si>
  <si>
    <t>TRIGYN</t>
  </si>
  <si>
    <t>TRIL</t>
  </si>
  <si>
    <t>TRITURBINE</t>
  </si>
  <si>
    <t>TRIVENI</t>
  </si>
  <si>
    <t>TTKHLTCARE</t>
  </si>
  <si>
    <t>TTKPRESTIG</t>
  </si>
  <si>
    <t>TTL</t>
  </si>
  <si>
    <t>TTML</t>
  </si>
  <si>
    <t>TULSI</t>
  </si>
  <si>
    <t>TV18BRDCST</t>
  </si>
  <si>
    <t>TVSELECT</t>
  </si>
  <si>
    <t>TVSMOTOR</t>
  </si>
  <si>
    <t>TVSSRICHAK</t>
  </si>
  <si>
    <t>TVTODAY</t>
  </si>
  <si>
    <t>TVVISION</t>
  </si>
  <si>
    <t>TWL</t>
  </si>
  <si>
    <t>UBL</t>
  </si>
  <si>
    <t>UCALFUEL</t>
  </si>
  <si>
    <t>UCOBANK</t>
  </si>
  <si>
    <t>UFLEX</t>
  </si>
  <si>
    <t>UFO</t>
  </si>
  <si>
    <t>UGARSUGAR</t>
  </si>
  <si>
    <t>UJAAS</t>
  </si>
  <si>
    <t>UJJIVAN</t>
  </si>
  <si>
    <t>ULTRACEMCO</t>
  </si>
  <si>
    <t>UMANGDAIRY</t>
  </si>
  <si>
    <t>UMESLTD</t>
  </si>
  <si>
    <t>UNICHEMLAB</t>
  </si>
  <si>
    <t>UNIENTER</t>
  </si>
  <si>
    <t>UNIINFO</t>
  </si>
  <si>
    <t>UNIONBANK</t>
  </si>
  <si>
    <t>UNIPLY</t>
  </si>
  <si>
    <t>UNITECH</t>
  </si>
  <si>
    <t>UNITEDBNK</t>
  </si>
  <si>
    <t>UNITY</t>
  </si>
  <si>
    <t>UNIVCABLES</t>
  </si>
  <si>
    <t>UPL</t>
  </si>
  <si>
    <t>URJA</t>
  </si>
  <si>
    <t>USHAMART</t>
  </si>
  <si>
    <t>USHERAGRO</t>
  </si>
  <si>
    <t>UTIFEFRGR4</t>
  </si>
  <si>
    <t>UTINEXT50</t>
  </si>
  <si>
    <t>UTINIFTETF</t>
  </si>
  <si>
    <t>UTTAMSTL</t>
  </si>
  <si>
    <t>UTTAMSUGAR</t>
  </si>
  <si>
    <t>UVSL</t>
  </si>
  <si>
    <t>V2RETAIL</t>
  </si>
  <si>
    <t>VADILALIND</t>
  </si>
  <si>
    <t>VAIBHAVGBL</t>
  </si>
  <si>
    <t>VAKRANGEE</t>
  </si>
  <si>
    <t>VARDHACRLC</t>
  </si>
  <si>
    <t>VARDMNPOLY</t>
  </si>
  <si>
    <t>VARROC</t>
  </si>
  <si>
    <t>VASA</t>
  </si>
  <si>
    <t>VASCONEQ</t>
  </si>
  <si>
    <t>VASWANI</t>
  </si>
  <si>
    <t>VBL</t>
  </si>
  <si>
    <t>VEDL</t>
  </si>
  <si>
    <t>VENKEYS</t>
  </si>
  <si>
    <t>VENUSREM</t>
  </si>
  <si>
    <t>VERTOZ</t>
  </si>
  <si>
    <t>VESUVIUS</t>
  </si>
  <si>
    <t>VETO</t>
  </si>
  <si>
    <t>VGUARD</t>
  </si>
  <si>
    <t>VHL</t>
  </si>
  <si>
    <t>VICEROY</t>
  </si>
  <si>
    <t>VIDEOIND</t>
  </si>
  <si>
    <t>VIDHIING</t>
  </si>
  <si>
    <t>VIJAYABANK</t>
  </si>
  <si>
    <t>VIJIFIN</t>
  </si>
  <si>
    <t>VIJSHAN</t>
  </si>
  <si>
    <t>VIKASECO</t>
  </si>
  <si>
    <t>VIMTALABS</t>
  </si>
  <si>
    <t>VINATIORGA</t>
  </si>
  <si>
    <t>VINDHYATEL</t>
  </si>
  <si>
    <t>VINYLINDIA</t>
  </si>
  <si>
    <t>VIPCLOTHNG</t>
  </si>
  <si>
    <t>VIPIND</t>
  </si>
  <si>
    <t>VIPULLTD</t>
  </si>
  <si>
    <t>VISAKAIND</t>
  </si>
  <si>
    <t>VISASTEEL</t>
  </si>
  <si>
    <t>VISESHINFO</t>
  </si>
  <si>
    <t>VISHNU</t>
  </si>
  <si>
    <t>VIVIDHA</t>
  </si>
  <si>
    <t>VIVIMEDLAB</t>
  </si>
  <si>
    <t>VLSFINANCE</t>
  </si>
  <si>
    <t>VMART</t>
  </si>
  <si>
    <t>VOLTAMP</t>
  </si>
  <si>
    <t>VOLTAS</t>
  </si>
  <si>
    <t>VRLLOG</t>
  </si>
  <si>
    <t>VSCL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</si>
  <si>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</si>
  <si>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</si>
  <si>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</si>
  <si>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</si>
  <si>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</si>
  <si>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</si>
  <si>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</si>
  <si>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</si>
  <si>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</si>
  <si>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</si>
  <si>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</si>
  <si>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</si>
  <si>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WELENT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</si>
  <si>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</si>
  <si>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</si>
  <si>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</si>
  <si>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</si>
  <si>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</si>
  <si>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</si>
  <si>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</si>
  <si>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</si>
  <si>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</si>
  <si>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</si>
  <si>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</si>
  <si>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</si>
  <si>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</si>
  <si>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</si>
  <si>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</si>
  <si>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</si>
  <si>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ZEEL</t>
  </si>
  <si>
    <t>ZEELEARN</t>
  </si>
  <si>
    <t>ZEEMEDIA</t>
  </si>
  <si>
    <t>ZENITHBIR</t>
  </si>
  <si>
    <t>ZENITHEXPO</t>
  </si>
  <si>
    <t>ZENSARTECH</t>
  </si>
  <si>
    <t>ZENTEC</t>
  </si>
  <si>
    <t>ZICOM</t>
  </si>
  <si>
    <t>ZODIAC</t>
  </si>
  <si>
    <t>ZODIACLOTH</t>
  </si>
  <si>
    <t>ZODJRDMKJ</t>
  </si>
  <si>
    <t>ZOTA</t>
  </si>
  <si>
    <t>ZUARI</t>
  </si>
  <si>
    <t>ZUARIGLOB</t>
  </si>
  <si>
    <t>ZYDUSWELL</t>
  </si>
  <si>
    <t>ZYLOG</t>
  </si>
  <si>
    <t>Open</t>
  </si>
  <si>
    <t>52 Week High</t>
  </si>
  <si>
    <t>52 Week Low</t>
  </si>
  <si>
    <t>Previous Close</t>
  </si>
  <si>
    <t>z</t>
  </si>
  <si>
    <t>Day High</t>
  </si>
  <si>
    <t>Day Low</t>
  </si>
  <si>
    <t>Last Price</t>
  </si>
  <si>
    <t>1W</t>
  </si>
  <si>
    <t>4W</t>
  </si>
  <si>
    <t>12W</t>
  </si>
  <si>
    <t>24W</t>
  </si>
  <si>
    <t>1Y</t>
  </si>
  <si>
    <t>3Y</t>
  </si>
  <si>
    <t>Tenor</t>
  </si>
  <si>
    <t>BASIC EPS</t>
  </si>
  <si>
    <t>BOOK VALUE PER SHARE EXCL REVAL</t>
  </si>
  <si>
    <t>BOOK VALUE PER SHARE INCL REVAL</t>
  </si>
  <si>
    <t>CASH EPS</t>
  </si>
  <si>
    <t>DIVIDEND PER SHARE</t>
  </si>
  <si>
    <t>EARNINGS YIELD</t>
  </si>
  <si>
    <t>NET PROFIT MARGIN</t>
  </si>
  <si>
    <t>NET PROFIT PER SHARE</t>
  </si>
  <si>
    <t>RETENTION RATIOS</t>
  </si>
  <si>
    <t>RETURN ON ASSETS</t>
  </si>
  <si>
    <t>RETURN ON EQUITY</t>
  </si>
  <si>
    <t>PERIOD RETURNS</t>
  </si>
  <si>
    <t>PRICES</t>
  </si>
  <si>
    <t>OPTION CHAIN</t>
  </si>
  <si>
    <t>Expiry</t>
  </si>
  <si>
    <t>C A L L S</t>
  </si>
  <si>
    <t>P U T S</t>
  </si>
  <si>
    <t>6M</t>
  </si>
  <si>
    <t>CALL_OI</t>
  </si>
  <si>
    <t>CALL_Volume</t>
  </si>
  <si>
    <t>CALL_IV</t>
  </si>
  <si>
    <t>CALL_LTP</t>
  </si>
  <si>
    <t>CALL_BidQty</t>
  </si>
  <si>
    <t>CALL_BidPrice</t>
  </si>
  <si>
    <t>CALL_AskPrice</t>
  </si>
  <si>
    <t>CALL_AskQty</t>
  </si>
  <si>
    <t>PUT_BidQty</t>
  </si>
  <si>
    <t>PUT_BidPrice</t>
  </si>
  <si>
    <t>PUT_AskPrice</t>
  </si>
  <si>
    <t>PUT_AskQty</t>
  </si>
  <si>
    <t>PUT_LTP</t>
  </si>
  <si>
    <t>PUT_IV</t>
  </si>
  <si>
    <t>PUT_Volume</t>
  </si>
  <si>
    <t>PUT_OI</t>
  </si>
  <si>
    <t>COVERED CALL TRADES</t>
  </si>
  <si>
    <t>Max Profit</t>
  </si>
  <si>
    <t>Max Loss</t>
  </si>
  <si>
    <t>Initial Yield</t>
  </si>
  <si>
    <t>Initial Yld/Day</t>
  </si>
  <si>
    <t>Outlay</t>
  </si>
  <si>
    <t>Max Yield</t>
  </si>
  <si>
    <t>Min Yield</t>
  </si>
  <si>
    <t>Max Stock Drawdown %</t>
  </si>
  <si>
    <t>Avg Yield</t>
  </si>
  <si>
    <t>CALL_Chng_in_OI</t>
  </si>
  <si>
    <t>CALL_Net_Chng</t>
  </si>
  <si>
    <t>PUT_Net_Chng</t>
  </si>
  <si>
    <t>PUT_Chng_in_OI</t>
  </si>
  <si>
    <t>Strike_Price</t>
  </si>
  <si>
    <t>Symbol</t>
  </si>
  <si>
    <t>Underlying</t>
  </si>
  <si>
    <t>Lot</t>
  </si>
  <si>
    <t>MaxDrawdown</t>
  </si>
  <si>
    <t>MTM</t>
  </si>
  <si>
    <t>Stock Drawdown %</t>
  </si>
  <si>
    <t>Current Stock Price</t>
  </si>
  <si>
    <t>Current Yield</t>
  </si>
  <si>
    <t xml:space="preserve"> ABAN| ACC|OC Downloaded | PCR and IVSKEW test passed |  valid expiry of [datetime.date(2019, 1, 31)]| Final OC Accepted 
 ALBK|OC Downloaded | PCR and IVSKEW test passed |  valid expiry of [datetime.date(2019, 1, 31)]| AMBUJACEM|OC Downloaded | PCR and IVSKEW test passed |  ANDHRABANK| APOLLOHOSP|OC Downloaded | PCR and IVSKEW test passed |  APOLLOTYRE|OC Downloaded | PCR and IVSKEW test passed |  ASIANPAINT|OC Downloaded | PCR and IVSKEW test passed |  valid expiry of [datetime.date(2019, 1, 31)]| Final OC Accepted 
 AUROPHARMA|OC Downloaded | PCR and IVSKEW test passed |  valid expiry of [datetime.date(2019, 1, 31)]| Final OC Accepted 
 AXISBANK|OC Downloaded | PCR and IVSKEW test passed |  valid expiry of [datetime.date(2019, 1, 31)]| Final OC Accepted 
 BAJAJHIND| BALRAMCHIN| BANKBARODA|OC Downloaded | PCR and IVSKEW test passed |  valid expiry of [datetime.date(2019, 1, 31)]| Final OC Accepted 
 BANKINDIA|OC Downloaded | PCR and IVSKEW test passed |  valid expiry of [datetime.date(2019, 1, 31)]| Final OC Accepted 
 BATAINDIA|OC Downloaded | PCR and IVSKEW test passed |  valid expiry of [datetime.date(2019, 1, 31)]| Final OC Accepted 
 BEL|OC Downloaded | PCR and IVSKEW test passed |  valid expiry of [datetime.date(2019, 1, 31)]| Final OC Accepted 
 BEML|OC Downloaded | PCR and IVSKEW test passed |  valid expiry of [datetime.date(2019, 1, 31)]| Final OC Accepted 
 BERGEPAINT|OC Downloaded | PCR and IVSKEW test passed |  BHARTIARTL|OC Downloaded | PCR and IVSKEW test passed |  valid expiry of [datetime.date(2019, 1, 31)]| Final OC Accepted 
 BHEL|OC Downloaded | PCR and IVSKEW test passed |  valid expiry of [datetime.date(2019, 1, 31)]| Final OC Accepted 
 BHUSANSTL| BIOCON|OC Downloaded | PCR and IVSKEW test passed |  valid expiry of [datetime.date(2019, 1, 31)]| BPCL|OC Downloaded | PCR and IVSKEW test passed |  valid expiry of [datetime.date(2019, 1, 31)]| Final OC Accepted 
 CADILAHC|OC Downloaded | PCR and IVSKEW test passed |  CANBK|OC Downloaded | PCR and IVSKEW test passed |  valid expiry of [datetime.date(2019, 1, 31)]| Final OC Accepted 
 CANFINHOME|OC Downloaded | PCR and IVSKEW test passed |  CEATLTD|OC Downloaded | PCR and IVSKEW test passed |  CENTRALBK| CENTURYTEX|OC Downloaded | PCR and IVSKEW test passed |  valid expiry of [datetime.date(2019, 1, 31)]| CHENNPETRO|OC Downloaded | PCR and IVSKEW test passed |  COLPAL|OC Downloaded | PCR and IVSKEW test passed |  CONCOR|OC Downloaded | PCR and IVSKEW test passed |  CUB| CUMMINSIND|OC Downloaded | PCR and IVSKEW test passed |  DAAWAT| DABUR|OC Downloaded | PCR and IVSKEW test passed |  DCBBANK|OC Downloaded | PCR and IVSKEW test passed |  DELTACORP| DENABANK| DHAMPURSUG| DHANBANK| DIVISLAB|OC Downloaded | PCR and IVSKEW test passed |  valid expiry of [datetime.date(2019, 1, 31)]| Final OC Accepted 
 DLF|OC Downloaded | PCR and IVSKEW test passed |  valid expiry of [datetime.date(2019, 1, 31)]| Final OC Accepted 
 DRREDDY|OC Downloaded | PCR and IVSKEW test passed |  valid expiry of [datetime.date(2019, 1, 31)]| Final OC Accepted 
 EDELWEISS| ENGINERSIN|OC Downloaded | PCR and IVSKEW test passed |  ESCORTS|OC Downloaded | PCR and IVSKEW test passed |  valid expiry of [datetime.date(2019, 1, 31)]| Final OC Accepted 
 EXIDEIND|OC Downloaded | PCR and IVSKEW test passed |  valid expiry of [datetime.date(2019, 1, 31)]| FEDERALBNK|OC Downloaded | PCR and IVSKEW test passed |  valid expiry of [datetime.date(2019, 1, 31)]| Final OC Accepted 
 FORTIS| GAIL|OC Downloaded | PCR and IVSKEW test passed |  valid expiry of [datetime.date(2019, 1, 31)]| Final OC Accepted 
 GATI| GLENMARK|OC Downloaded | PCR and IVSKEW test passed |  GMRINFRA|OC Downloaded | PCR and IVSKEW test passed |  valid expiry of [datetime.date(2019, 1, 31)]| Final OC Accepted 
 GNFC| GODREJCP|OC Downloaded | PCR and IVSKEW test passed |  GODREJIND|OC Downloaded | PCR and IVSKEW test passed |  valid expiry of [datetime.date(2019, 1, 31)]| Final OC Accepted 
 GRASIM|OC Downloaded | PCR and IVSKEW test passed |  valid expiry of [datetime.date(2019, 1, 31)]| Final OC Accepted 
 GSFC|OC Downloaded | PCR and IVSKEW test passed |  HAVELLS|OC Downloaded | PCR and IVSKEW test passed |  valid expiry of [datetime.date(2019, 1, 31)]| Final OC Accepted 
 HCL-INSYS| HDFC|OC Downloaded | PCR and IVSKEW test passed |  valid expiry of [datetime.date(2019, 1, 31)]| Final OC Accepted 
 HDFCBANK|OC Downloaded | PCR and IVSKEW test passed |  valid expiry of [datetime.date(2019, 1, 31)]| Final OC Accepted 
 HDIL| HINDALCO|OC Downloaded | PCR and IVSKEW test passed |  valid expiry of [datetime.date(2019, 1, 31)]| Final OC Accepted 
 HINDPETRO|OC Downloaded | PCR and IVSKEW test passed |  valid expiry of [datetime.date(2019, 1, 31)]| Final OC Accepted 
 HINDUNILVR|OC Downloaded | PCR and IVSKEW test passed |  valid expiry of [datetime.date(2019, 1, 31)]| HOTELEELA| IBREALEST| ICICIBANK|OC Downloaded | PCR and IVSKEW test passed |  valid expiry of [datetime.date(2019, 1, 31)]| Final OC Accepted 
 IDBI|OC Downloaded | PCR and IVSKEW test passed |  valid expiry of [datetime.date(2019, 1, 31)]| Final OC Accepted 
 IDEA|OC Downloaded | PCR and IVSKEW test passed |  valid expiry of [datetime.date(2019, 1, 31)]| IDFC|OC Downloaded | PCR and IVSKEW test passed |  valid expiry of [datetime.date(2019, 1, 31)]| IFCI|OC Downloaded | PCR and IVSKEW test passed |  IGL|OC Downloaded | PCR and IVSKEW test passed |  INDHOTEL| INDIACEM|OC Downloaded | PCR and IVSKEW test passed |  valid expiry of [datetime.date(2019, 1, 31)]| Final OC Accepted 
 INDIANB|OC Downloaded | PCR and IVSKEW test passed |  INDUSINDBK|OC Downloaded | PCR and IVSKEW test passed |  valid expiry of [datetime.date(2019, 1, 31)]| Final OC Accepted 
 IOB| IOC|OC Downloaded | PCR and IVSKEW test passed |  valid expiry of [datetime.date(2019, 1, 31)]| Final OC Accepted 
 IRB|OC Downloaded | PCR and IVSKEW test passed |  ITI| JAICORPLTD| JETAIRWAYS|OC Downloaded | PCR and IVSKEW test passed |  JINDALSAW| JINDALSTEL|OC Downloaded | PCR and IVSKEW test passed |  valid expiry of [datetime.date(2019, 1, 31)]| Final OC Accepted 
 JISLJALEQS|OC Downloaded | PCR and IVSKEW test passed |  valid expiry of [datetime.date(2019, 1, 31)]| Final OC Accepted 
 JKTYRE| JMFINANCIL| KAJARIACER|OC Downloaded | PCR and IVSKEW test passed |  KARURVYSYA| KESORAMIND| KOTAKBANK|OC Downloaded | PCR and IVSKEW test passed |  valid expiry of [datetime.date(2019, 1, 31)]| Final OC Accepted 
 KPIT|OC Downloaded | PCR and IVSKEW test passed |  KTKBANK|OC Downloaded | PCR and IVSKEW test passed |  valid expiry of [datetime.date(2019, 1, 31)]| LAKSHVILAS| LICHSGFIN|OC Downloaded | PCR and IVSKEW test passed |  valid expiry of [datetime.date(2019, 1, 31)]| LT|OC Downloaded | PCR and IVSKEW test passed |  valid expiry of [datetime.date(2019, 1, 31)]| Final OC Accepted 
 LUPIN|OC Downloaded | PCR and IVSKEW test passed |  valid expiry of [datetime.date(2019, 1, 31)]| Final OC Accepted 
 M&amp;M| M&amp;MFIN| MAHABANK| MARICO|OC Downloaded | PCR and IVSKEW test passed |  valid expiry of [datetime.date(2019, 1, 31)]| Final OC Accepted 
 MARKSANS| MARUTI|OC Downloaded | PCR and IVSKEW test passed |  valid expiry of [datetime.date(2019, 1, 31)]| Final OC Accepted 
 MCDOWELL-N|OC Downloaded | PCR and IVSKEW test passed |  MINDTREE|OC Downloaded | PCR and IVSKEW test passed |  MOREPENLAB| MOTHERSUMI|OC Downloaded | PCR and IVSKEW test passed |  valid expiry of [datetime.date(2019, 1, 31)]| MTNL| NIITLTD| NOCIL| ORIENTBANK|OC Downloaded | PCR and IVSKEW test passed |  valid expiry of [datetime.date(2019, 1, 31)]| PARACABLES| PETRONET|OC Downloaded | PCR and IVSKEW test passed |  valid expiry of [datetime.date(2019, 1, 31)]| Final OC Accepted 
 PFC|OC Downloaded | PCR and IVSKEW test passed |  valid expiry of [datetime.date(2019, 1, 31)]| Final OC Accepted 
 PIDILITIND|OC Downloaded | PCR and IVSKEW test passed |  valid expiry of [datetime.date(2019, 1, 31)]| PNB|OC Downloaded | PCR and IVSKEW test passed |  valid expiry of [datetime.date(2019, 1, 31)]| Final OC Accepted 
 POWERGRID|OC Downloaded | PCR and IVSKEW test passed |  PRAJIND| PTC|OC Downloaded | PCR and IVSKEW test passed |  valid expiry of [datetime.date(2019, 1, 31)]| Final OC Accepted 
 RADICO| RAYMOND|OC Downloaded | PCR and IVSKEW test passed |  RCF| RCOM|OC Downloaded | PCR and IVSKEW test passed |  valid expiry of [datetime.date(2019, 1, 31)]| Final OC Accepted 
 RECLTD|OC Downloaded | PCR and IVSKEW test passed |  valid expiry of [datetime.date(2019, 1, 31)]| RELIANCE|OC Downloaded | PCR and IVSKEW test passed |  valid expiry of [datetime.date(2019, 1, 31)]| Final OC Accepted 
 RPOWER|OC Downloaded | PCR and IVSKEW test passed |  valid expiry of [datetime.date(2019, 1, 31)]| Final OC Accepted 
 SBIN|OC Downloaded | PCR and IVSKEW test passed |  valid expiry of [datetime.date(2019, 1, 31)]| Final OC Accepted 
 SCI| SIEMENS|OC Downloaded | PCR and IVSKEW test passed |  valid expiry of [datetime.date(2019, 1, 31)]| Final OC Accepted 
 SINTEX| SOUTHBANK|OC Downloaded | PCR and IVSKEW test passed |  valid expiry of [datetime.date(2019, 1, 31)]| SRTRANSFIN|OC Downloaded | PCR and IVSKEW test passed |  valid expiry of [datetime.date(2019, 1, 31)]| STAR|OC Downloaded | PCR and IVSKEW test passed |  valid expiry of [datetime.date(2019, 1, 31)]| SYNDIBANK|OC Downloaded | PCR and IVSKEW test passed |  valid expiry of [datetime.date(2019, 1, 31)]| Final OC Accepted 
 TATACHEM|OC Downloaded | PCR and IVSKEW test passed |  TATAELXSI|OC Downloaded | PCR and IVSKEW test passed |  valid expiry of [datetime.date(2019, 1, 31)]| Final OC Accepted 
 TATAMOTORS|OC Downloaded | PCR and IVSKEW test passed |  valid expiry of [datetime.date(2019, 1, 31)]| Final OC Accepted 
 TATAMTRDVR|OC Downloaded | PCR and IVSKEW test passed |  valid expiry of [datetime.date(2019, 1, 31)]| Final OC Accepted 
 TATAPOWER|OC Downloaded | PCR and IVSKEW test passed |  valid expiry of [datetime.date(2019, 1, 31)]| TCS|OC Downloaded | PCR and IVSKEW test passed |  valid expiry of [datetime.date(2019, 1, 31)]| Final OC Accepted 
 TECHM|OC Downloaded | PCR and IVSKEW test passed |  valid expiry of [datetime.date(2019, 1, 31)]| Final OC Accepted 
 TITAN|OC Downloaded | PCR and IVSKEW test passed |  valid expiry of [datetime.date(2019, 1, 31)]| Final OC Accepted 
 TORNTPOWER|OC Downloaded | PCR and IVSKEW test passed |  TRIVENI| TVSMOTOR|OC Downloaded | PCR and IVSKEW test passed |  UBL|OC Downloaded | PCR and IVSKEW test passed |  UCOBANK| UNIONBANK|OC Downloaded | PCR and IVSKEW test passed |  valid expiry of [datetime.date(2019, 1, 31)]| USHAMART| UTTAMSTL| VGUARD|OC Downloaded | PCR and IVSKEW test passed |  VIJAYABANK| VOLTAS|OC Downloaded | PCR and IVSKEW test passed |  WELSPUNIND| WIPRO|OC Downloaded | PCR and IVSKEW test passed |  valid expiry of [datetime.date(2019, 1, 31)]| Final OC Accepted 
 WOCKPHARMA|OC Downloaded | PCR and IVSKEW test passed |  valid expiry of [datetime.date(2019, 1, 31)]| Final OC Accepted 
 YESBANK|OC Downloaded | PCR and IVSKEW test passed |  valid expiry of [datetime.date(2019, 1, 31)]| Final OC Accepted 
 ZEEL|OC Downloaded | PCR and IVSKEW test passed |  valid expiry of [datetime.date(2019, 1, 31)]| Final OC Accepted 
</t>
  </si>
  <si>
    <t>Avg Stock Drawdown %</t>
  </si>
  <si>
    <t>Avg Loss</t>
  </si>
  <si>
    <t>Max Stock Drawdown Scenario</t>
  </si>
  <si>
    <t>Avg Stock Drawdown Scenario</t>
  </si>
  <si>
    <t>Max Profit Scenario</t>
  </si>
  <si>
    <t>BULL PUT SPREAD TRADES</t>
  </si>
  <si>
    <t>BEAR CALL SPREAD TRADES</t>
  </si>
  <si>
    <t>Net Credit</t>
  </si>
  <si>
    <t>Max Risk</t>
  </si>
  <si>
    <t>RISK</t>
  </si>
  <si>
    <t>Beta</t>
  </si>
  <si>
    <t>SD</t>
  </si>
  <si>
    <t>Sharpe</t>
  </si>
  <si>
    <t>Sortino</t>
  </si>
  <si>
    <t>Treynor</t>
  </si>
  <si>
    <t>FUNDAMENTAL</t>
  </si>
  <si>
    <t>VaR(95)</t>
  </si>
  <si>
    <t>CASH EARNINGS RETENTION RATIO</t>
  </si>
  <si>
    <t>CURRENT RATIO</t>
  </si>
  <si>
    <t>DILUTED EPS</t>
  </si>
  <si>
    <t>DIVIDEND PAYOUT RATIO NP</t>
  </si>
  <si>
    <t>DIVIDEND PAYOUT RATIO CP</t>
  </si>
  <si>
    <t>EARNINGS RETENTION RATIO</t>
  </si>
  <si>
    <t>EV TO EBITDA</t>
  </si>
  <si>
    <t>EV TO NET OPERATING REVENUE</t>
  </si>
  <si>
    <t>INVENTORY TURNOVER RATIO</t>
  </si>
  <si>
    <t>MARKETCAP TO NET OPERATING REVENUE</t>
  </si>
  <si>
    <t>PBDIT MARGIN</t>
  </si>
  <si>
    <t>PBDIT PER SHARE</t>
  </si>
  <si>
    <t>PBIT MARGIN</t>
  </si>
  <si>
    <t>PBIT PER SHARE</t>
  </si>
  <si>
    <t>PBT MARGIN</t>
  </si>
  <si>
    <t>PBT PER SHARE</t>
  </si>
  <si>
    <t>PRICE TO BV</t>
  </si>
  <si>
    <t>PRICE TO NET OPERATING REVENUE</t>
  </si>
  <si>
    <t>QUICK RATIO</t>
  </si>
  <si>
    <t>RETURN ON CAPITAL EMPLOYED</t>
  </si>
  <si>
    <t>REVENUE FROM OPERATIONS PER SHARE</t>
  </si>
  <si>
    <t>DEBT TO EQUITY</t>
  </si>
  <si>
    <t>20MICRONS</t>
  </si>
  <si>
    <t>LIVE</t>
  </si>
  <si>
    <t>S</t>
  </si>
  <si>
    <t>S_C</t>
  </si>
  <si>
    <t>L_C</t>
  </si>
  <si>
    <t>CF</t>
  </si>
  <si>
    <t>Strategy</t>
  </si>
  <si>
    <t>Higher_Strike</t>
  </si>
  <si>
    <t>Higher_Strike_LTP</t>
  </si>
  <si>
    <t>S_P</t>
  </si>
  <si>
    <t>L_P</t>
  </si>
  <si>
    <t>Lower_Strike</t>
  </si>
  <si>
    <t>Lower_Strike_LTP</t>
  </si>
  <si>
    <t>SIRIUS</t>
  </si>
  <si>
    <t>dbhost</t>
  </si>
  <si>
    <t>live</t>
  </si>
  <si>
    <t>stored</t>
  </si>
  <si>
    <t>IDFCFIRSTB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</si>
</sst>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.000%"/>
    <numFmt numFmtId="166" formatCode="[$-409]d\-mmm\-yy;@"/>
    <numFmt numFmtId="167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sz val="11"/>
      <color rgb="FFFFFF00"/>
      <name val="Calibri"/>
      <family val="2"/>
      <scheme val="minor"/>
    </font>
    <font>
      <b/>
      <u/>
      <sz val="11"/>
      <color rgb="FFFFFF00"/>
      <name val="Calibri"/>
      <family val="2"/>
      <scheme val="minor"/>
    </font>
    <font>
      <sz val="14"/>
      <color theme="5"/>
      <name val="Calibri"/>
      <family val="2"/>
      <scheme val="minor"/>
    </font>
    <font>
      <b/>
      <sz val="11"/>
      <color rgb="FF00FFFF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 style="thin">
        <color rgb="FFFFFF00"/>
      </bottom>
      <diagonal/>
    </border>
    <border>
      <left/>
      <right/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/>
      <bottom style="thin">
        <color rgb="FFFFFF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73">
    <xf numFmtId="0" fontId="0" fillId="0" borderId="0" xfId="0"/>
    <xf numFmtId="0" fontId="2" fillId="2" borderId="0" xfId="0" applyFont="1" applyFill="1"/>
    <xf numFmtId="0" fontId="6" fillId="2" borderId="0" xfId="0" applyFont="1" applyFill="1"/>
    <xf numFmtId="0" fontId="7" fillId="2" borderId="0" xfId="0" applyFont="1" applyFill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65" fontId="3" fillId="2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5" fontId="4" fillId="2" borderId="0" xfId="1" applyNumberFormat="1" applyFont="1" applyFill="1" applyAlignment="1">
      <alignment horizontal="center" vertical="center"/>
    </xf>
    <xf numFmtId="10" fontId="2" fillId="2" borderId="0" xfId="1" applyNumberFormat="1" applyFont="1" applyFill="1" applyAlignment="1">
      <alignment horizontal="left" vertical="center"/>
    </xf>
    <xf numFmtId="0" fontId="6" fillId="0" borderId="0" xfId="0" applyFont="1"/>
    <xf numFmtId="0" fontId="9" fillId="2" borderId="0" xfId="0" applyFont="1" applyFill="1" applyAlignment="1">
      <alignment wrapText="1"/>
    </xf>
    <xf numFmtId="0" fontId="8" fillId="2" borderId="0" xfId="0" applyFont="1" applyFill="1" applyAlignment="1">
      <alignment horizontal="right"/>
    </xf>
    <xf numFmtId="0" fontId="4" fillId="2" borderId="1" xfId="0" applyFont="1" applyFill="1" applyBorder="1" applyAlignment="1">
      <alignment horizontal="center" vertical="center"/>
    </xf>
    <xf numFmtId="10" fontId="3" fillId="2" borderId="0" xfId="1" applyNumberFormat="1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64" fontId="3" fillId="2" borderId="0" xfId="2" applyFont="1" applyFill="1" applyAlignment="1"/>
    <xf numFmtId="2" fontId="10" fillId="2" borderId="2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/>
    </xf>
    <xf numFmtId="164" fontId="6" fillId="2" borderId="0" xfId="2" applyFont="1" applyFill="1" applyAlignment="1"/>
    <xf numFmtId="0" fontId="11" fillId="2" borderId="0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166" fontId="2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12" fillId="2" borderId="3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0" fillId="0" borderId="0" xfId="2" applyFont="1"/>
    <xf numFmtId="167" fontId="2" fillId="2" borderId="0" xfId="2" applyNumberFormat="1" applyFont="1" applyFill="1" applyAlignment="1">
      <alignment horizontal="left" vertical="center"/>
    </xf>
    <xf numFmtId="0" fontId="9" fillId="2" borderId="3" xfId="0" applyFont="1" applyFill="1" applyBorder="1" applyAlignment="1"/>
    <xf numFmtId="9" fontId="3" fillId="2" borderId="0" xfId="1" applyNumberFormat="1" applyFont="1" applyFill="1" applyAlignment="1">
      <alignment horizontal="center" vertical="center"/>
    </xf>
    <xf numFmtId="164" fontId="3" fillId="2" borderId="0" xfId="0" applyNumberFormat="1" applyFont="1" applyFill="1"/>
    <xf numFmtId="0" fontId="0" fillId="0" borderId="0" xfId="0" applyAlignment="1"/>
    <xf numFmtId="14" fontId="0" fillId="0" borderId="0" xfId="0" applyNumberFormat="1"/>
    <xf numFmtId="10" fontId="2" fillId="2" borderId="0" xfId="1" applyNumberFormat="1" applyFont="1" applyFill="1"/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2" fillId="2" borderId="0" xfId="0" applyFont="1" applyFill="1" applyAlignment="1"/>
    <xf numFmtId="164" fontId="4" fillId="2" borderId="0" xfId="2" applyFont="1" applyFill="1" applyAlignment="1">
      <alignment horizontal="center" vertical="center"/>
    </xf>
    <xf numFmtId="0" fontId="2" fillId="2" borderId="0" xfId="0" applyFont="1" applyFill="1" applyAlignment="1">
      <alignment wrapText="1"/>
    </xf>
    <xf numFmtId="14" fontId="3" fillId="2" borderId="0" xfId="2" applyNumberFormat="1" applyFont="1" applyFill="1" applyAlignment="1"/>
    <xf numFmtId="0" fontId="8" fillId="2" borderId="4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166" fontId="2" fillId="2" borderId="4" xfId="0" applyNumberFormat="1" applyFont="1" applyFill="1" applyBorder="1" applyAlignment="1">
      <alignment horizontal="left"/>
    </xf>
    <xf numFmtId="166" fontId="2" fillId="2" borderId="16" xfId="0" applyNumberFormat="1" applyFont="1" applyFill="1" applyBorder="1" applyAlignment="1">
      <alignment horizontal="left"/>
    </xf>
    <xf numFmtId="0" fontId="2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8" fillId="2" borderId="3" xfId="0" applyFont="1" applyFill="1" applyBorder="1" applyAlignment="1">
      <alignment horizontal="center" vertical="top" wrapText="1"/>
    </xf>
    <xf numFmtId="0" fontId="8" fillId="2" borderId="9" xfId="0" applyFont="1" applyFill="1" applyBorder="1" applyAlignment="1">
      <alignment horizontal="center" vertical="top" wrapText="1"/>
    </xf>
    <xf numFmtId="0" fontId="8" fillId="2" borderId="10" xfId="0" applyFont="1" applyFill="1" applyBorder="1" applyAlignment="1">
      <alignment horizontal="center" vertical="top" wrapText="1"/>
    </xf>
    <xf numFmtId="0" fontId="9" fillId="2" borderId="3" xfId="0" applyFont="1" applyFill="1" applyBorder="1" applyAlignment="1">
      <alignment horizontal="center"/>
    </xf>
    <xf numFmtId="0" fontId="0" fillId="0" borderId="17" xfId="0" applyBorder="1"/>
    <xf numFmtId="0" fontId="0" fillId="0" borderId="17" xfId="0" applyBorder="1" applyAlignment="1"/>
    <xf numFmtId="164" fontId="0" fillId="0" borderId="17" xfId="2" applyFont="1" applyBorder="1"/>
    <xf numFmtId="0" fontId="9" fillId="2" borderId="0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FF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'Bull Put Spread'!$AH$3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419.4</c:v>
                </c:pt>
                <c:pt idx="1">
                  <c:v>419.59999999999997</c:v>
                </c:pt>
                <c:pt idx="2">
                  <c:v>419.79999999999995</c:v>
                </c:pt>
                <c:pt idx="3">
                  <c:v>419.99999999999994</c:v>
                </c:pt>
                <c:pt idx="4">
                  <c:v>420.19999999999993</c:v>
                </c:pt>
                <c:pt idx="5">
                  <c:v>420.39999999999992</c:v>
                </c:pt>
                <c:pt idx="6">
                  <c:v>420.59999999999991</c:v>
                </c:pt>
                <c:pt idx="7">
                  <c:v>420.7999999999999</c:v>
                </c:pt>
                <c:pt idx="8">
                  <c:v>420.99999999999989</c:v>
                </c:pt>
                <c:pt idx="9">
                  <c:v>421.19999999999987</c:v>
                </c:pt>
                <c:pt idx="10">
                  <c:v>421.39999999999986</c:v>
                </c:pt>
                <c:pt idx="11">
                  <c:v>421.59999999999985</c:v>
                </c:pt>
                <c:pt idx="12">
                  <c:v>421.79999999999984</c:v>
                </c:pt>
                <c:pt idx="13">
                  <c:v>421.99999999999983</c:v>
                </c:pt>
                <c:pt idx="14">
                  <c:v>422.19999999999982</c:v>
                </c:pt>
                <c:pt idx="15">
                  <c:v>422.39999999999981</c:v>
                </c:pt>
                <c:pt idx="16">
                  <c:v>422.5999999999998</c:v>
                </c:pt>
                <c:pt idx="17">
                  <c:v>422.79999999999978</c:v>
                </c:pt>
                <c:pt idx="18">
                  <c:v>422.99999999999977</c:v>
                </c:pt>
                <c:pt idx="19">
                  <c:v>423.19999999999976</c:v>
                </c:pt>
                <c:pt idx="20">
                  <c:v>423.39999999999975</c:v>
                </c:pt>
                <c:pt idx="21">
                  <c:v>423.59999999999974</c:v>
                </c:pt>
                <c:pt idx="22">
                  <c:v>423.79999999999973</c:v>
                </c:pt>
                <c:pt idx="23">
                  <c:v>423.99999999999972</c:v>
                </c:pt>
                <c:pt idx="24">
                  <c:v>424.1999999999997</c:v>
                </c:pt>
                <c:pt idx="25">
                  <c:v>424.39999999999969</c:v>
                </c:pt>
                <c:pt idx="26">
                  <c:v>424.59999999999968</c:v>
                </c:pt>
                <c:pt idx="27">
                  <c:v>424.79999999999967</c:v>
                </c:pt>
                <c:pt idx="28">
                  <c:v>424.99999999999966</c:v>
                </c:pt>
                <c:pt idx="29">
                  <c:v>425.19999999999965</c:v>
                </c:pt>
                <c:pt idx="30">
                  <c:v>425.39999999999964</c:v>
                </c:pt>
                <c:pt idx="31">
                  <c:v>425.59999999999962</c:v>
                </c:pt>
                <c:pt idx="32">
                  <c:v>425.79999999999961</c:v>
                </c:pt>
                <c:pt idx="33">
                  <c:v>425.9999999999996</c:v>
                </c:pt>
                <c:pt idx="34">
                  <c:v>426.19999999999959</c:v>
                </c:pt>
                <c:pt idx="35">
                  <c:v>426.39999999999958</c:v>
                </c:pt>
                <c:pt idx="36">
                  <c:v>426.59999999999957</c:v>
                </c:pt>
                <c:pt idx="37">
                  <c:v>426.79999999999956</c:v>
                </c:pt>
                <c:pt idx="38">
                  <c:v>426.99999999999955</c:v>
                </c:pt>
                <c:pt idx="39">
                  <c:v>427.19999999999953</c:v>
                </c:pt>
                <c:pt idx="40">
                  <c:v>427.39999999999952</c:v>
                </c:pt>
                <c:pt idx="41">
                  <c:v>427.59999999999951</c:v>
                </c:pt>
                <c:pt idx="42">
                  <c:v>427.7999999999995</c:v>
                </c:pt>
                <c:pt idx="43">
                  <c:v>427.99999999999949</c:v>
                </c:pt>
                <c:pt idx="44">
                  <c:v>428.19999999999948</c:v>
                </c:pt>
                <c:pt idx="45">
                  <c:v>428.39999999999947</c:v>
                </c:pt>
                <c:pt idx="46">
                  <c:v>428.59999999999945</c:v>
                </c:pt>
                <c:pt idx="47">
                  <c:v>428.79999999999944</c:v>
                </c:pt>
                <c:pt idx="48">
                  <c:v>428.99999999999943</c:v>
                </c:pt>
                <c:pt idx="49">
                  <c:v>429.19999999999942</c:v>
                </c:pt>
                <c:pt idx="50">
                  <c:v>429.39999999999941</c:v>
                </c:pt>
                <c:pt idx="51">
                  <c:v>429.5999999999994</c:v>
                </c:pt>
                <c:pt idx="52">
                  <c:v>429.79999999999939</c:v>
                </c:pt>
                <c:pt idx="53">
                  <c:v>429.99999999999937</c:v>
                </c:pt>
                <c:pt idx="54">
                  <c:v>430.19999999999936</c:v>
                </c:pt>
                <c:pt idx="55">
                  <c:v>430.39999999999935</c:v>
                </c:pt>
                <c:pt idx="56">
                  <c:v>430.59999999999934</c:v>
                </c:pt>
              </c:numCache>
            </c:numRef>
          </c:cat>
          <c:val>
            <c:numRef>
              <c:f>'Bull Put Spread'!$AH$8:$AH$64</c:f>
              <c:numCache>
                <c:formatCode>General</c:formatCode>
                <c:ptCount val="57"/>
                <c:pt idx="0">
                  <c:v>419.4</c:v>
                </c:pt>
                <c:pt idx="1">
                  <c:v>419.59999999999997</c:v>
                </c:pt>
                <c:pt idx="2">
                  <c:v>419.79999999999995</c:v>
                </c:pt>
                <c:pt idx="3">
                  <c:v>419.99999999999994</c:v>
                </c:pt>
                <c:pt idx="4">
                  <c:v>420.19999999999993</c:v>
                </c:pt>
                <c:pt idx="5">
                  <c:v>420.39999999999992</c:v>
                </c:pt>
                <c:pt idx="6">
                  <c:v>420.59999999999991</c:v>
                </c:pt>
                <c:pt idx="7">
                  <c:v>420.7999999999999</c:v>
                </c:pt>
                <c:pt idx="8">
                  <c:v>420.99999999999989</c:v>
                </c:pt>
                <c:pt idx="9">
                  <c:v>421.19999999999987</c:v>
                </c:pt>
                <c:pt idx="10">
                  <c:v>421.39999999999986</c:v>
                </c:pt>
                <c:pt idx="11">
                  <c:v>421.59999999999985</c:v>
                </c:pt>
                <c:pt idx="12">
                  <c:v>421.79999999999984</c:v>
                </c:pt>
                <c:pt idx="13">
                  <c:v>421.99999999999983</c:v>
                </c:pt>
                <c:pt idx="14">
                  <c:v>422.19999999999982</c:v>
                </c:pt>
                <c:pt idx="15">
                  <c:v>422.39999999999981</c:v>
                </c:pt>
                <c:pt idx="16">
                  <c:v>422.5999999999998</c:v>
                </c:pt>
                <c:pt idx="17">
                  <c:v>422.79999999999978</c:v>
                </c:pt>
                <c:pt idx="18">
                  <c:v>422.99999999999977</c:v>
                </c:pt>
                <c:pt idx="19">
                  <c:v>423.19999999999976</c:v>
                </c:pt>
                <c:pt idx="20">
                  <c:v>423.39999999999975</c:v>
                </c:pt>
                <c:pt idx="21">
                  <c:v>423.59999999999974</c:v>
                </c:pt>
                <c:pt idx="22">
                  <c:v>423.79999999999973</c:v>
                </c:pt>
                <c:pt idx="23">
                  <c:v>423.99999999999972</c:v>
                </c:pt>
                <c:pt idx="24">
                  <c:v>424.1999999999997</c:v>
                </c:pt>
                <c:pt idx="25">
                  <c:v>424.39999999999969</c:v>
                </c:pt>
                <c:pt idx="26">
                  <c:v>424.59999999999968</c:v>
                </c:pt>
                <c:pt idx="27">
                  <c:v>424.79999999999967</c:v>
                </c:pt>
                <c:pt idx="28">
                  <c:v>424.99999999999966</c:v>
                </c:pt>
                <c:pt idx="29">
                  <c:v>425.19999999999965</c:v>
                </c:pt>
                <c:pt idx="30">
                  <c:v>425.39999999999964</c:v>
                </c:pt>
                <c:pt idx="31">
                  <c:v>425.59999999999962</c:v>
                </c:pt>
                <c:pt idx="32">
                  <c:v>425.79999999999961</c:v>
                </c:pt>
                <c:pt idx="33">
                  <c:v>425.9999999999996</c:v>
                </c:pt>
                <c:pt idx="34">
                  <c:v>426.19999999999959</c:v>
                </c:pt>
                <c:pt idx="35">
                  <c:v>426.39999999999958</c:v>
                </c:pt>
                <c:pt idx="36">
                  <c:v>426.59999999999957</c:v>
                </c:pt>
                <c:pt idx="37">
                  <c:v>426.79999999999956</c:v>
                </c:pt>
                <c:pt idx="38">
                  <c:v>426.99999999999955</c:v>
                </c:pt>
                <c:pt idx="39">
                  <c:v>427.19999999999953</c:v>
                </c:pt>
                <c:pt idx="40">
                  <c:v>427.39999999999952</c:v>
                </c:pt>
                <c:pt idx="41">
                  <c:v>427.59999999999951</c:v>
                </c:pt>
                <c:pt idx="42">
                  <c:v>427.7999999999995</c:v>
                </c:pt>
                <c:pt idx="43">
                  <c:v>427.99999999999949</c:v>
                </c:pt>
                <c:pt idx="44">
                  <c:v>428.19999999999948</c:v>
                </c:pt>
                <c:pt idx="45">
                  <c:v>428.39999999999947</c:v>
                </c:pt>
                <c:pt idx="46">
                  <c:v>428.59999999999945</c:v>
                </c:pt>
                <c:pt idx="47">
                  <c:v>428.79999999999944</c:v>
                </c:pt>
                <c:pt idx="48">
                  <c:v>428.99999999999943</c:v>
                </c:pt>
                <c:pt idx="49">
                  <c:v>429.19999999999942</c:v>
                </c:pt>
                <c:pt idx="50">
                  <c:v>429.39999999999941</c:v>
                </c:pt>
                <c:pt idx="51">
                  <c:v>429.5999999999994</c:v>
                </c:pt>
                <c:pt idx="52">
                  <c:v>429.79999999999939</c:v>
                </c:pt>
                <c:pt idx="53">
                  <c:v>429.99999999999937</c:v>
                </c:pt>
                <c:pt idx="54">
                  <c:v>430.19999999999936</c:v>
                </c:pt>
                <c:pt idx="55">
                  <c:v>430.39999999999935</c:v>
                </c:pt>
                <c:pt idx="56">
                  <c:v>430.59999999999934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76-44C9-9CAE-C6A5211B6399}"/>
            </c:ext>
          </c:extLst>
        </c:ser>
        <c:ser>
          <c:idx val="1"/>
          <c:order val="1"/>
          <c:tx>
            <c:strRef>
              <c:f>'Bear Call Spread'!$AI$3</c:f>
              <c:strCache>
                <c:ptCount val="1"/>
                <c:pt idx="0">
                  <c:v>S_C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419.4</c:v>
                </c:pt>
                <c:pt idx="1">
                  <c:v>419.59999999999997</c:v>
                </c:pt>
                <c:pt idx="2">
                  <c:v>419.79999999999995</c:v>
                </c:pt>
                <c:pt idx="3">
                  <c:v>419.99999999999994</c:v>
                </c:pt>
                <c:pt idx="4">
                  <c:v>420.19999999999993</c:v>
                </c:pt>
                <c:pt idx="5">
                  <c:v>420.39999999999992</c:v>
                </c:pt>
                <c:pt idx="6">
                  <c:v>420.59999999999991</c:v>
                </c:pt>
                <c:pt idx="7">
                  <c:v>420.7999999999999</c:v>
                </c:pt>
                <c:pt idx="8">
                  <c:v>420.99999999999989</c:v>
                </c:pt>
                <c:pt idx="9">
                  <c:v>421.19999999999987</c:v>
                </c:pt>
                <c:pt idx="10">
                  <c:v>421.39999999999986</c:v>
                </c:pt>
                <c:pt idx="11">
                  <c:v>421.59999999999985</c:v>
                </c:pt>
                <c:pt idx="12">
                  <c:v>421.79999999999984</c:v>
                </c:pt>
                <c:pt idx="13">
                  <c:v>421.99999999999983</c:v>
                </c:pt>
                <c:pt idx="14">
                  <c:v>422.19999999999982</c:v>
                </c:pt>
                <c:pt idx="15">
                  <c:v>422.39999999999981</c:v>
                </c:pt>
                <c:pt idx="16">
                  <c:v>422.5999999999998</c:v>
                </c:pt>
                <c:pt idx="17">
                  <c:v>422.79999999999978</c:v>
                </c:pt>
                <c:pt idx="18">
                  <c:v>422.99999999999977</c:v>
                </c:pt>
                <c:pt idx="19">
                  <c:v>423.19999999999976</c:v>
                </c:pt>
                <c:pt idx="20">
                  <c:v>423.39999999999975</c:v>
                </c:pt>
                <c:pt idx="21">
                  <c:v>423.59999999999974</c:v>
                </c:pt>
                <c:pt idx="22">
                  <c:v>423.79999999999973</c:v>
                </c:pt>
                <c:pt idx="23">
                  <c:v>423.99999999999972</c:v>
                </c:pt>
                <c:pt idx="24">
                  <c:v>424.1999999999997</c:v>
                </c:pt>
                <c:pt idx="25">
                  <c:v>424.39999999999969</c:v>
                </c:pt>
                <c:pt idx="26">
                  <c:v>424.59999999999968</c:v>
                </c:pt>
                <c:pt idx="27">
                  <c:v>424.79999999999967</c:v>
                </c:pt>
                <c:pt idx="28">
                  <c:v>424.99999999999966</c:v>
                </c:pt>
                <c:pt idx="29">
                  <c:v>425.19999999999965</c:v>
                </c:pt>
                <c:pt idx="30">
                  <c:v>425.39999999999964</c:v>
                </c:pt>
                <c:pt idx="31">
                  <c:v>425.59999999999962</c:v>
                </c:pt>
                <c:pt idx="32">
                  <c:v>425.79999999999961</c:v>
                </c:pt>
                <c:pt idx="33">
                  <c:v>425.9999999999996</c:v>
                </c:pt>
                <c:pt idx="34">
                  <c:v>426.19999999999959</c:v>
                </c:pt>
                <c:pt idx="35">
                  <c:v>426.39999999999958</c:v>
                </c:pt>
                <c:pt idx="36">
                  <c:v>426.59999999999957</c:v>
                </c:pt>
                <c:pt idx="37">
                  <c:v>426.79999999999956</c:v>
                </c:pt>
                <c:pt idx="38">
                  <c:v>426.99999999999955</c:v>
                </c:pt>
                <c:pt idx="39">
                  <c:v>427.19999999999953</c:v>
                </c:pt>
                <c:pt idx="40">
                  <c:v>427.39999999999952</c:v>
                </c:pt>
                <c:pt idx="41">
                  <c:v>427.59999999999951</c:v>
                </c:pt>
                <c:pt idx="42">
                  <c:v>427.7999999999995</c:v>
                </c:pt>
                <c:pt idx="43">
                  <c:v>427.99999999999949</c:v>
                </c:pt>
                <c:pt idx="44">
                  <c:v>428.19999999999948</c:v>
                </c:pt>
                <c:pt idx="45">
                  <c:v>428.39999999999947</c:v>
                </c:pt>
                <c:pt idx="46">
                  <c:v>428.59999999999945</c:v>
                </c:pt>
                <c:pt idx="47">
                  <c:v>428.79999999999944</c:v>
                </c:pt>
                <c:pt idx="48">
                  <c:v>428.99999999999943</c:v>
                </c:pt>
                <c:pt idx="49">
                  <c:v>429.19999999999942</c:v>
                </c:pt>
                <c:pt idx="50">
                  <c:v>429.39999999999941</c:v>
                </c:pt>
                <c:pt idx="51">
                  <c:v>429.5999999999994</c:v>
                </c:pt>
                <c:pt idx="52">
                  <c:v>429.79999999999939</c:v>
                </c:pt>
                <c:pt idx="53">
                  <c:v>429.99999999999937</c:v>
                </c:pt>
                <c:pt idx="54">
                  <c:v>430.19999999999936</c:v>
                </c:pt>
                <c:pt idx="55">
                  <c:v>430.39999999999935</c:v>
                </c:pt>
                <c:pt idx="56">
                  <c:v>430.59999999999934</c:v>
                </c:pt>
              </c:numCache>
              <c:extLst xmlns:c15="http://schemas.microsoft.com/office/drawing/2012/chart"/>
            </c:numRef>
          </c:cat>
          <c:val>
            <c:numRef>
              <c:f>'Bear Call Spread'!$AI$8:$AI$43</c:f>
              <c:numCache>
                <c:formatCode>General</c:formatCode>
                <c:ptCount val="3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3.9999999999999716</c:v>
                </c:pt>
                <c:pt idx="4">
                  <c:v>3.9499999999999602</c:v>
                </c:pt>
                <c:pt idx="5">
                  <c:v>3.8999999999999488</c:v>
                </c:pt>
                <c:pt idx="6">
                  <c:v>3.8499999999999375</c:v>
                </c:pt>
                <c:pt idx="7">
                  <c:v>3.7999999999999261</c:v>
                </c:pt>
                <c:pt idx="8">
                  <c:v>3.7499999999999147</c:v>
                </c:pt>
                <c:pt idx="9">
                  <c:v>3.6999999999999034</c:v>
                </c:pt>
                <c:pt idx="10">
                  <c:v>3.649999999999892</c:v>
                </c:pt>
                <c:pt idx="11">
                  <c:v>3.5999999999998806</c:v>
                </c:pt>
                <c:pt idx="12">
                  <c:v>3.5499999999998693</c:v>
                </c:pt>
                <c:pt idx="13">
                  <c:v>3.4999999999998579</c:v>
                </c:pt>
                <c:pt idx="14">
                  <c:v>3.4499999999998465</c:v>
                </c:pt>
                <c:pt idx="15">
                  <c:v>3.3999999999998352</c:v>
                </c:pt>
                <c:pt idx="16">
                  <c:v>3.3499999999998238</c:v>
                </c:pt>
                <c:pt idx="17">
                  <c:v>3.2999999999998124</c:v>
                </c:pt>
                <c:pt idx="18">
                  <c:v>3.249999999999801</c:v>
                </c:pt>
                <c:pt idx="19">
                  <c:v>3.1999999999997897</c:v>
                </c:pt>
                <c:pt idx="20">
                  <c:v>3.1499999999997783</c:v>
                </c:pt>
                <c:pt idx="21">
                  <c:v>3.0999999999997669</c:v>
                </c:pt>
                <c:pt idx="22">
                  <c:v>3.0499999999997556</c:v>
                </c:pt>
                <c:pt idx="23">
                  <c:v>2.9999999999997442</c:v>
                </c:pt>
                <c:pt idx="24">
                  <c:v>2.9499999999997328</c:v>
                </c:pt>
                <c:pt idx="25">
                  <c:v>2.8999999999997215</c:v>
                </c:pt>
                <c:pt idx="26">
                  <c:v>2.8499999999997101</c:v>
                </c:pt>
                <c:pt idx="27">
                  <c:v>2.7999999999996987</c:v>
                </c:pt>
                <c:pt idx="28">
                  <c:v>2.7499999999996874</c:v>
                </c:pt>
                <c:pt idx="29">
                  <c:v>2.699999999999676</c:v>
                </c:pt>
                <c:pt idx="30">
                  <c:v>2.6499999999996646</c:v>
                </c:pt>
                <c:pt idx="31">
                  <c:v>2.5999999999996533</c:v>
                </c:pt>
                <c:pt idx="32">
                  <c:v>2.5499999999996419</c:v>
                </c:pt>
                <c:pt idx="33">
                  <c:v>2.4999999999996305</c:v>
                </c:pt>
                <c:pt idx="34">
                  <c:v>2.4499999999996191</c:v>
                </c:pt>
                <c:pt idx="35">
                  <c:v>2.3999999999996078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D76-44C9-9CAE-C6A5211B6399}"/>
            </c:ext>
          </c:extLst>
        </c:ser>
        <c:ser>
          <c:idx val="2"/>
          <c:order val="2"/>
          <c:tx>
            <c:strRef>
              <c:f>'Bear Call Spread'!$AJ$3</c:f>
              <c:strCache>
                <c:ptCount val="1"/>
                <c:pt idx="0">
                  <c:v>L_C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419.4</c:v>
                </c:pt>
                <c:pt idx="1">
                  <c:v>419.59999999999997</c:v>
                </c:pt>
                <c:pt idx="2">
                  <c:v>419.79999999999995</c:v>
                </c:pt>
                <c:pt idx="3">
                  <c:v>419.99999999999994</c:v>
                </c:pt>
                <c:pt idx="4">
                  <c:v>420.19999999999993</c:v>
                </c:pt>
                <c:pt idx="5">
                  <c:v>420.39999999999992</c:v>
                </c:pt>
                <c:pt idx="6">
                  <c:v>420.59999999999991</c:v>
                </c:pt>
                <c:pt idx="7">
                  <c:v>420.7999999999999</c:v>
                </c:pt>
                <c:pt idx="8">
                  <c:v>420.99999999999989</c:v>
                </c:pt>
                <c:pt idx="9">
                  <c:v>421.19999999999987</c:v>
                </c:pt>
                <c:pt idx="10">
                  <c:v>421.39999999999986</c:v>
                </c:pt>
                <c:pt idx="11">
                  <c:v>421.59999999999985</c:v>
                </c:pt>
                <c:pt idx="12">
                  <c:v>421.79999999999984</c:v>
                </c:pt>
                <c:pt idx="13">
                  <c:v>421.99999999999983</c:v>
                </c:pt>
                <c:pt idx="14">
                  <c:v>422.19999999999982</c:v>
                </c:pt>
                <c:pt idx="15">
                  <c:v>422.39999999999981</c:v>
                </c:pt>
                <c:pt idx="16">
                  <c:v>422.5999999999998</c:v>
                </c:pt>
                <c:pt idx="17">
                  <c:v>422.79999999999978</c:v>
                </c:pt>
                <c:pt idx="18">
                  <c:v>422.99999999999977</c:v>
                </c:pt>
                <c:pt idx="19">
                  <c:v>423.19999999999976</c:v>
                </c:pt>
                <c:pt idx="20">
                  <c:v>423.39999999999975</c:v>
                </c:pt>
                <c:pt idx="21">
                  <c:v>423.59999999999974</c:v>
                </c:pt>
                <c:pt idx="22">
                  <c:v>423.79999999999973</c:v>
                </c:pt>
                <c:pt idx="23">
                  <c:v>423.99999999999972</c:v>
                </c:pt>
                <c:pt idx="24">
                  <c:v>424.1999999999997</c:v>
                </c:pt>
                <c:pt idx="25">
                  <c:v>424.39999999999969</c:v>
                </c:pt>
                <c:pt idx="26">
                  <c:v>424.59999999999968</c:v>
                </c:pt>
                <c:pt idx="27">
                  <c:v>424.79999999999967</c:v>
                </c:pt>
                <c:pt idx="28">
                  <c:v>424.99999999999966</c:v>
                </c:pt>
                <c:pt idx="29">
                  <c:v>425.19999999999965</c:v>
                </c:pt>
                <c:pt idx="30">
                  <c:v>425.39999999999964</c:v>
                </c:pt>
                <c:pt idx="31">
                  <c:v>425.59999999999962</c:v>
                </c:pt>
                <c:pt idx="32">
                  <c:v>425.79999999999961</c:v>
                </c:pt>
                <c:pt idx="33">
                  <c:v>425.9999999999996</c:v>
                </c:pt>
                <c:pt idx="34">
                  <c:v>426.19999999999959</c:v>
                </c:pt>
                <c:pt idx="35">
                  <c:v>426.39999999999958</c:v>
                </c:pt>
                <c:pt idx="36">
                  <c:v>426.59999999999957</c:v>
                </c:pt>
                <c:pt idx="37">
                  <c:v>426.79999999999956</c:v>
                </c:pt>
                <c:pt idx="38">
                  <c:v>426.99999999999955</c:v>
                </c:pt>
                <c:pt idx="39">
                  <c:v>427.19999999999953</c:v>
                </c:pt>
                <c:pt idx="40">
                  <c:v>427.39999999999952</c:v>
                </c:pt>
                <c:pt idx="41">
                  <c:v>427.59999999999951</c:v>
                </c:pt>
                <c:pt idx="42">
                  <c:v>427.7999999999995</c:v>
                </c:pt>
                <c:pt idx="43">
                  <c:v>427.99999999999949</c:v>
                </c:pt>
                <c:pt idx="44">
                  <c:v>428.19999999999948</c:v>
                </c:pt>
                <c:pt idx="45">
                  <c:v>428.39999999999947</c:v>
                </c:pt>
                <c:pt idx="46">
                  <c:v>428.59999999999945</c:v>
                </c:pt>
                <c:pt idx="47">
                  <c:v>428.79999999999944</c:v>
                </c:pt>
                <c:pt idx="48">
                  <c:v>428.99999999999943</c:v>
                </c:pt>
                <c:pt idx="49">
                  <c:v>429.19999999999942</c:v>
                </c:pt>
                <c:pt idx="50">
                  <c:v>429.39999999999941</c:v>
                </c:pt>
                <c:pt idx="51">
                  <c:v>429.5999999999994</c:v>
                </c:pt>
                <c:pt idx="52">
                  <c:v>429.79999999999939</c:v>
                </c:pt>
                <c:pt idx="53">
                  <c:v>429.99999999999937</c:v>
                </c:pt>
                <c:pt idx="54">
                  <c:v>430.19999999999936</c:v>
                </c:pt>
                <c:pt idx="55">
                  <c:v>430.39999999999935</c:v>
                </c:pt>
                <c:pt idx="56">
                  <c:v>430.59999999999934</c:v>
                </c:pt>
              </c:numCache>
              <c:extLst xmlns:c15="http://schemas.microsoft.com/office/drawing/2012/chart"/>
            </c:numRef>
          </c:cat>
          <c:val>
            <c:numRef>
              <c:f>'Bear Call Spread'!$AJ$8:$AJ$43</c:f>
              <c:numCache>
                <c:formatCode>General</c:formatCode>
                <c:ptCount val="36"/>
                <c:pt idx="0">
                  <c:v>-3.25</c:v>
                </c:pt>
                <c:pt idx="1">
                  <c:v>-3.25</c:v>
                </c:pt>
                <c:pt idx="2">
                  <c:v>-3.25</c:v>
                </c:pt>
                <c:pt idx="3">
                  <c:v>-3.25</c:v>
                </c:pt>
                <c:pt idx="4">
                  <c:v>-3.25</c:v>
                </c:pt>
                <c:pt idx="5">
                  <c:v>-3.25</c:v>
                </c:pt>
                <c:pt idx="6">
                  <c:v>-3.25</c:v>
                </c:pt>
                <c:pt idx="7">
                  <c:v>-3.25</c:v>
                </c:pt>
                <c:pt idx="8">
                  <c:v>-3.25</c:v>
                </c:pt>
                <c:pt idx="9">
                  <c:v>-3.25</c:v>
                </c:pt>
                <c:pt idx="10">
                  <c:v>-3.25</c:v>
                </c:pt>
                <c:pt idx="11">
                  <c:v>-3.25</c:v>
                </c:pt>
                <c:pt idx="12">
                  <c:v>-3.25</c:v>
                </c:pt>
                <c:pt idx="13">
                  <c:v>-3.25</c:v>
                </c:pt>
                <c:pt idx="14">
                  <c:v>-3.25</c:v>
                </c:pt>
                <c:pt idx="15">
                  <c:v>-3.25</c:v>
                </c:pt>
                <c:pt idx="16">
                  <c:v>-3.25</c:v>
                </c:pt>
                <c:pt idx="17">
                  <c:v>-3.25</c:v>
                </c:pt>
                <c:pt idx="18">
                  <c:v>-3.25</c:v>
                </c:pt>
                <c:pt idx="19">
                  <c:v>-3.25</c:v>
                </c:pt>
                <c:pt idx="20">
                  <c:v>-3.25</c:v>
                </c:pt>
                <c:pt idx="21">
                  <c:v>-3.25</c:v>
                </c:pt>
                <c:pt idx="22">
                  <c:v>-3.25</c:v>
                </c:pt>
                <c:pt idx="23">
                  <c:v>-3.25</c:v>
                </c:pt>
                <c:pt idx="24">
                  <c:v>-3.25</c:v>
                </c:pt>
                <c:pt idx="25">
                  <c:v>-3.25</c:v>
                </c:pt>
                <c:pt idx="26">
                  <c:v>-3.25</c:v>
                </c:pt>
                <c:pt idx="27">
                  <c:v>-3.25</c:v>
                </c:pt>
                <c:pt idx="28">
                  <c:v>-3.25</c:v>
                </c:pt>
                <c:pt idx="29">
                  <c:v>-3.25</c:v>
                </c:pt>
                <c:pt idx="30">
                  <c:v>-3.25</c:v>
                </c:pt>
                <c:pt idx="31">
                  <c:v>-3.25</c:v>
                </c:pt>
                <c:pt idx="32">
                  <c:v>-3.25</c:v>
                </c:pt>
                <c:pt idx="33">
                  <c:v>-3.25</c:v>
                </c:pt>
                <c:pt idx="34">
                  <c:v>-3.25</c:v>
                </c:pt>
                <c:pt idx="35">
                  <c:v>-3.25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D76-44C9-9CAE-C6A5211B6399}"/>
            </c:ext>
          </c:extLst>
        </c:ser>
        <c:ser>
          <c:idx val="3"/>
          <c:order val="3"/>
          <c:tx>
            <c:strRef>
              <c:f>'Bull Put Spread'!$AK$3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419.4</c:v>
                </c:pt>
                <c:pt idx="1">
                  <c:v>419.59999999999997</c:v>
                </c:pt>
                <c:pt idx="2">
                  <c:v>419.79999999999995</c:v>
                </c:pt>
                <c:pt idx="3">
                  <c:v>419.99999999999994</c:v>
                </c:pt>
                <c:pt idx="4">
                  <c:v>420.19999999999993</c:v>
                </c:pt>
                <c:pt idx="5">
                  <c:v>420.39999999999992</c:v>
                </c:pt>
                <c:pt idx="6">
                  <c:v>420.59999999999991</c:v>
                </c:pt>
                <c:pt idx="7">
                  <c:v>420.7999999999999</c:v>
                </c:pt>
                <c:pt idx="8">
                  <c:v>420.99999999999989</c:v>
                </c:pt>
                <c:pt idx="9">
                  <c:v>421.19999999999987</c:v>
                </c:pt>
                <c:pt idx="10">
                  <c:v>421.39999999999986</c:v>
                </c:pt>
                <c:pt idx="11">
                  <c:v>421.59999999999985</c:v>
                </c:pt>
                <c:pt idx="12">
                  <c:v>421.79999999999984</c:v>
                </c:pt>
                <c:pt idx="13">
                  <c:v>421.99999999999983</c:v>
                </c:pt>
                <c:pt idx="14">
                  <c:v>422.19999999999982</c:v>
                </c:pt>
                <c:pt idx="15">
                  <c:v>422.39999999999981</c:v>
                </c:pt>
                <c:pt idx="16">
                  <c:v>422.5999999999998</c:v>
                </c:pt>
                <c:pt idx="17">
                  <c:v>422.79999999999978</c:v>
                </c:pt>
                <c:pt idx="18">
                  <c:v>422.99999999999977</c:v>
                </c:pt>
                <c:pt idx="19">
                  <c:v>423.19999999999976</c:v>
                </c:pt>
                <c:pt idx="20">
                  <c:v>423.39999999999975</c:v>
                </c:pt>
                <c:pt idx="21">
                  <c:v>423.59999999999974</c:v>
                </c:pt>
                <c:pt idx="22">
                  <c:v>423.79999999999973</c:v>
                </c:pt>
                <c:pt idx="23">
                  <c:v>423.99999999999972</c:v>
                </c:pt>
                <c:pt idx="24">
                  <c:v>424.1999999999997</c:v>
                </c:pt>
                <c:pt idx="25">
                  <c:v>424.39999999999969</c:v>
                </c:pt>
                <c:pt idx="26">
                  <c:v>424.59999999999968</c:v>
                </c:pt>
                <c:pt idx="27">
                  <c:v>424.79999999999967</c:v>
                </c:pt>
                <c:pt idx="28">
                  <c:v>424.99999999999966</c:v>
                </c:pt>
                <c:pt idx="29">
                  <c:v>425.19999999999965</c:v>
                </c:pt>
                <c:pt idx="30">
                  <c:v>425.39999999999964</c:v>
                </c:pt>
                <c:pt idx="31">
                  <c:v>425.59999999999962</c:v>
                </c:pt>
                <c:pt idx="32">
                  <c:v>425.79999999999961</c:v>
                </c:pt>
                <c:pt idx="33">
                  <c:v>425.9999999999996</c:v>
                </c:pt>
                <c:pt idx="34">
                  <c:v>426.19999999999959</c:v>
                </c:pt>
                <c:pt idx="35">
                  <c:v>426.39999999999958</c:v>
                </c:pt>
                <c:pt idx="36">
                  <c:v>426.59999999999957</c:v>
                </c:pt>
                <c:pt idx="37">
                  <c:v>426.79999999999956</c:v>
                </c:pt>
                <c:pt idx="38">
                  <c:v>426.99999999999955</c:v>
                </c:pt>
                <c:pt idx="39">
                  <c:v>427.19999999999953</c:v>
                </c:pt>
                <c:pt idx="40">
                  <c:v>427.39999999999952</c:v>
                </c:pt>
                <c:pt idx="41">
                  <c:v>427.59999999999951</c:v>
                </c:pt>
                <c:pt idx="42">
                  <c:v>427.7999999999995</c:v>
                </c:pt>
                <c:pt idx="43">
                  <c:v>427.99999999999949</c:v>
                </c:pt>
                <c:pt idx="44">
                  <c:v>428.19999999999948</c:v>
                </c:pt>
                <c:pt idx="45">
                  <c:v>428.39999999999947</c:v>
                </c:pt>
                <c:pt idx="46">
                  <c:v>428.59999999999945</c:v>
                </c:pt>
                <c:pt idx="47">
                  <c:v>428.79999999999944</c:v>
                </c:pt>
                <c:pt idx="48">
                  <c:v>428.99999999999943</c:v>
                </c:pt>
                <c:pt idx="49">
                  <c:v>429.19999999999942</c:v>
                </c:pt>
                <c:pt idx="50">
                  <c:v>429.39999999999941</c:v>
                </c:pt>
                <c:pt idx="51">
                  <c:v>429.5999999999994</c:v>
                </c:pt>
                <c:pt idx="52">
                  <c:v>429.79999999999939</c:v>
                </c:pt>
                <c:pt idx="53">
                  <c:v>429.99999999999937</c:v>
                </c:pt>
                <c:pt idx="54">
                  <c:v>430.19999999999936</c:v>
                </c:pt>
                <c:pt idx="55">
                  <c:v>430.39999999999935</c:v>
                </c:pt>
                <c:pt idx="56">
                  <c:v>430.59999999999934</c:v>
                </c:pt>
              </c:numCache>
            </c:numRef>
          </c:cat>
          <c:val>
            <c:numRef>
              <c:f>'Bull Put Spread'!$AK$8:$AK$64</c:f>
              <c:numCache>
                <c:formatCode>_(* #,##0.00_);_(* \(#,##0.00\);_(* "-"??_);_(@_)</c:formatCode>
                <c:ptCount val="57"/>
                <c:pt idx="0">
                  <c:v>-5654.9999999999991</c:v>
                </c:pt>
                <c:pt idx="1">
                  <c:v>-5654.9999999999991</c:v>
                </c:pt>
                <c:pt idx="2">
                  <c:v>-5654.9999999999991</c:v>
                </c:pt>
                <c:pt idx="3">
                  <c:v>-5654.9999999999991</c:v>
                </c:pt>
                <c:pt idx="4">
                  <c:v>-5395.0000000000882</c:v>
                </c:pt>
                <c:pt idx="5">
                  <c:v>-5135.0000000001028</c:v>
                </c:pt>
                <c:pt idx="6">
                  <c:v>-4875.0000000001173</c:v>
                </c:pt>
                <c:pt idx="7">
                  <c:v>-4615.0000000001328</c:v>
                </c:pt>
                <c:pt idx="8">
                  <c:v>-4355.0000000001473</c:v>
                </c:pt>
                <c:pt idx="9">
                  <c:v>-4095.0000000001619</c:v>
                </c:pt>
                <c:pt idx="10">
                  <c:v>-3835.0000000001769</c:v>
                </c:pt>
                <c:pt idx="11">
                  <c:v>-3575.0000000001914</c:v>
                </c:pt>
                <c:pt idx="12">
                  <c:v>-3315.0000000002065</c:v>
                </c:pt>
                <c:pt idx="13">
                  <c:v>-3055.000000000221</c:v>
                </c:pt>
                <c:pt idx="14">
                  <c:v>-2795.000000000236</c:v>
                </c:pt>
                <c:pt idx="15">
                  <c:v>-2535.0000000002506</c:v>
                </c:pt>
                <c:pt idx="16">
                  <c:v>-2275.0000000002656</c:v>
                </c:pt>
                <c:pt idx="17">
                  <c:v>-2015.0000000002804</c:v>
                </c:pt>
                <c:pt idx="18">
                  <c:v>-1755.0000000002951</c:v>
                </c:pt>
                <c:pt idx="19">
                  <c:v>-1495.0000000003099</c:v>
                </c:pt>
                <c:pt idx="20">
                  <c:v>-1235.0000000003247</c:v>
                </c:pt>
                <c:pt idx="21">
                  <c:v>-975.00000000033947</c:v>
                </c:pt>
                <c:pt idx="22">
                  <c:v>-715.00000000035425</c:v>
                </c:pt>
                <c:pt idx="23">
                  <c:v>-455.00000000036903</c:v>
                </c:pt>
                <c:pt idx="24">
                  <c:v>-195.00000000038381</c:v>
                </c:pt>
                <c:pt idx="25">
                  <c:v>64.999999999601414</c:v>
                </c:pt>
                <c:pt idx="26">
                  <c:v>324.99999999958663</c:v>
                </c:pt>
                <c:pt idx="27">
                  <c:v>584.99999999957186</c:v>
                </c:pt>
                <c:pt idx="28">
                  <c:v>844.99999999955708</c:v>
                </c:pt>
                <c:pt idx="29">
                  <c:v>1104.9999999995423</c:v>
                </c:pt>
                <c:pt idx="30">
                  <c:v>1364.9999999995275</c:v>
                </c:pt>
                <c:pt idx="31">
                  <c:v>1624.9999999995127</c:v>
                </c:pt>
                <c:pt idx="32">
                  <c:v>1884.999999999498</c:v>
                </c:pt>
                <c:pt idx="33">
                  <c:v>2144.9999999994834</c:v>
                </c:pt>
                <c:pt idx="34">
                  <c:v>2404.9999999994684</c:v>
                </c:pt>
                <c:pt idx="35">
                  <c:v>2664.9999999994538</c:v>
                </c:pt>
                <c:pt idx="36">
                  <c:v>2924.9999999994388</c:v>
                </c:pt>
                <c:pt idx="37">
                  <c:v>3184.9999999994243</c:v>
                </c:pt>
                <c:pt idx="38">
                  <c:v>3444.9999999994093</c:v>
                </c:pt>
                <c:pt idx="39">
                  <c:v>3704.9999999993947</c:v>
                </c:pt>
                <c:pt idx="40">
                  <c:v>3964.9999999993797</c:v>
                </c:pt>
                <c:pt idx="41">
                  <c:v>4224.9999999993652</c:v>
                </c:pt>
                <c:pt idx="42">
                  <c:v>4484.9999999993506</c:v>
                </c:pt>
                <c:pt idx="43">
                  <c:v>4744.9999999993352</c:v>
                </c:pt>
                <c:pt idx="44">
                  <c:v>5004.9999999993206</c:v>
                </c:pt>
                <c:pt idx="45">
                  <c:v>5264.9999999993061</c:v>
                </c:pt>
                <c:pt idx="46">
                  <c:v>5524.9999999992915</c:v>
                </c:pt>
                <c:pt idx="47">
                  <c:v>5784.999999999276</c:v>
                </c:pt>
                <c:pt idx="48">
                  <c:v>6044.9999999992615</c:v>
                </c:pt>
                <c:pt idx="49">
                  <c:v>6304.9999999992469</c:v>
                </c:pt>
                <c:pt idx="50">
                  <c:v>6564.9999999992324</c:v>
                </c:pt>
                <c:pt idx="51">
                  <c:v>6824.9999999992169</c:v>
                </c:pt>
                <c:pt idx="52">
                  <c:v>7084.9999999992024</c:v>
                </c:pt>
                <c:pt idx="53">
                  <c:v>7344.9999999991878</c:v>
                </c:pt>
                <c:pt idx="54">
                  <c:v>7345.0000000000009</c:v>
                </c:pt>
                <c:pt idx="55">
                  <c:v>7345.0000000000009</c:v>
                </c:pt>
                <c:pt idx="56">
                  <c:v>7345.0000000000009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76-44C9-9CAE-C6A5211B6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920992"/>
        <c:axId val="915923072"/>
        <c:extLst/>
      </c:lineChart>
      <c:catAx>
        <c:axId val="91592099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3072"/>
        <c:crosses val="autoZero"/>
        <c:auto val="1"/>
        <c:lblAlgn val="ctr"/>
        <c:lblOffset val="100"/>
        <c:noMultiLvlLbl val="0"/>
      </c:catAx>
      <c:valAx>
        <c:axId val="91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0992"/>
        <c:crosses val="autoZero"/>
        <c:crossBetween val="between"/>
        <c:majorUnit val="2000"/>
        <c:minorUnit val="1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'Bear Call Spread'!$AH$3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149.85</c:v>
                </c:pt>
                <c:pt idx="1">
                  <c:v>149.9</c:v>
                </c:pt>
                <c:pt idx="2">
                  <c:v>149.95000000000002</c:v>
                </c:pt>
                <c:pt idx="3">
                  <c:v>150.00000000000003</c:v>
                </c:pt>
                <c:pt idx="4">
                  <c:v>150.05000000000004</c:v>
                </c:pt>
                <c:pt idx="5">
                  <c:v>150.10000000000005</c:v>
                </c:pt>
                <c:pt idx="6">
                  <c:v>150.15000000000006</c:v>
                </c:pt>
                <c:pt idx="7">
                  <c:v>150.20000000000007</c:v>
                </c:pt>
                <c:pt idx="8">
                  <c:v>150.25000000000009</c:v>
                </c:pt>
                <c:pt idx="9">
                  <c:v>150.3000000000001</c:v>
                </c:pt>
                <c:pt idx="10">
                  <c:v>150.35000000000011</c:v>
                </c:pt>
                <c:pt idx="11">
                  <c:v>150.40000000000012</c:v>
                </c:pt>
                <c:pt idx="12">
                  <c:v>150.45000000000013</c:v>
                </c:pt>
                <c:pt idx="13">
                  <c:v>150.50000000000014</c:v>
                </c:pt>
                <c:pt idx="14">
                  <c:v>150.55000000000015</c:v>
                </c:pt>
                <c:pt idx="15">
                  <c:v>150.60000000000016</c:v>
                </c:pt>
                <c:pt idx="16">
                  <c:v>150.65000000000018</c:v>
                </c:pt>
                <c:pt idx="17">
                  <c:v>150.70000000000019</c:v>
                </c:pt>
                <c:pt idx="18">
                  <c:v>150.7500000000002</c:v>
                </c:pt>
                <c:pt idx="19">
                  <c:v>150.80000000000021</c:v>
                </c:pt>
                <c:pt idx="20">
                  <c:v>150.85000000000022</c:v>
                </c:pt>
                <c:pt idx="21">
                  <c:v>150.90000000000023</c:v>
                </c:pt>
                <c:pt idx="22">
                  <c:v>150.95000000000024</c:v>
                </c:pt>
                <c:pt idx="23">
                  <c:v>151.00000000000026</c:v>
                </c:pt>
                <c:pt idx="24">
                  <c:v>151.05000000000027</c:v>
                </c:pt>
                <c:pt idx="25">
                  <c:v>151.10000000000028</c:v>
                </c:pt>
                <c:pt idx="26">
                  <c:v>151.15000000000029</c:v>
                </c:pt>
                <c:pt idx="27">
                  <c:v>151.2000000000003</c:v>
                </c:pt>
                <c:pt idx="28">
                  <c:v>151.25000000000031</c:v>
                </c:pt>
                <c:pt idx="29">
                  <c:v>151.30000000000032</c:v>
                </c:pt>
                <c:pt idx="30">
                  <c:v>151.35000000000034</c:v>
                </c:pt>
                <c:pt idx="31">
                  <c:v>151.40000000000035</c:v>
                </c:pt>
                <c:pt idx="32">
                  <c:v>151.45000000000036</c:v>
                </c:pt>
                <c:pt idx="33">
                  <c:v>151.50000000000037</c:v>
                </c:pt>
                <c:pt idx="34">
                  <c:v>151.55000000000038</c:v>
                </c:pt>
                <c:pt idx="35">
                  <c:v>151.60000000000039</c:v>
                </c:pt>
                <c:pt idx="36">
                  <c:v>151.6500000000004</c:v>
                </c:pt>
                <c:pt idx="37">
                  <c:v>151.70000000000041</c:v>
                </c:pt>
                <c:pt idx="38">
                  <c:v>151.75000000000043</c:v>
                </c:pt>
                <c:pt idx="39">
                  <c:v>151.80000000000044</c:v>
                </c:pt>
                <c:pt idx="40">
                  <c:v>151.85000000000045</c:v>
                </c:pt>
                <c:pt idx="41">
                  <c:v>151.90000000000046</c:v>
                </c:pt>
                <c:pt idx="42">
                  <c:v>151.95000000000047</c:v>
                </c:pt>
                <c:pt idx="43">
                  <c:v>152.00000000000048</c:v>
                </c:pt>
                <c:pt idx="44">
                  <c:v>152.05000000000049</c:v>
                </c:pt>
                <c:pt idx="45">
                  <c:v>152.10000000000051</c:v>
                </c:pt>
                <c:pt idx="46">
                  <c:v>152.15000000000052</c:v>
                </c:pt>
                <c:pt idx="47">
                  <c:v>152.20000000000053</c:v>
                </c:pt>
                <c:pt idx="48">
                  <c:v>152.25000000000054</c:v>
                </c:pt>
                <c:pt idx="49">
                  <c:v>152.30000000000055</c:v>
                </c:pt>
                <c:pt idx="50">
                  <c:v>152.35000000000056</c:v>
                </c:pt>
                <c:pt idx="51">
                  <c:v>152.40000000000057</c:v>
                </c:pt>
                <c:pt idx="52">
                  <c:v>152.45000000000059</c:v>
                </c:pt>
                <c:pt idx="53">
                  <c:v>152.5000000000006</c:v>
                </c:pt>
                <c:pt idx="54">
                  <c:v>152.55000000000061</c:v>
                </c:pt>
                <c:pt idx="55">
                  <c:v>152.60000000000062</c:v>
                </c:pt>
                <c:pt idx="56">
                  <c:v>152.65000000000063</c:v>
                </c:pt>
              </c:numCache>
            </c:numRef>
          </c:cat>
          <c:val>
            <c:numRef>
              <c:f>'Bear Call Spread'!$AH$8:$AH$64</c:f>
              <c:numCache>
                <c:formatCode>General</c:formatCode>
                <c:ptCount val="57"/>
                <c:pt idx="0">
                  <c:v>149.85</c:v>
                </c:pt>
                <c:pt idx="1">
                  <c:v>149.9</c:v>
                </c:pt>
                <c:pt idx="2">
                  <c:v>149.95000000000002</c:v>
                </c:pt>
                <c:pt idx="3">
                  <c:v>150.00000000000003</c:v>
                </c:pt>
                <c:pt idx="4">
                  <c:v>150.05000000000004</c:v>
                </c:pt>
                <c:pt idx="5">
                  <c:v>150.10000000000005</c:v>
                </c:pt>
                <c:pt idx="6">
                  <c:v>150.15000000000006</c:v>
                </c:pt>
                <c:pt idx="7">
                  <c:v>150.20000000000007</c:v>
                </c:pt>
                <c:pt idx="8">
                  <c:v>150.25000000000009</c:v>
                </c:pt>
                <c:pt idx="9">
                  <c:v>150.3000000000001</c:v>
                </c:pt>
                <c:pt idx="10">
                  <c:v>150.35000000000011</c:v>
                </c:pt>
                <c:pt idx="11">
                  <c:v>150.40000000000012</c:v>
                </c:pt>
                <c:pt idx="12">
                  <c:v>150.45000000000013</c:v>
                </c:pt>
                <c:pt idx="13">
                  <c:v>150.50000000000014</c:v>
                </c:pt>
                <c:pt idx="14">
                  <c:v>150.55000000000015</c:v>
                </c:pt>
                <c:pt idx="15">
                  <c:v>150.60000000000016</c:v>
                </c:pt>
                <c:pt idx="16">
                  <c:v>150.65000000000018</c:v>
                </c:pt>
                <c:pt idx="17">
                  <c:v>150.70000000000019</c:v>
                </c:pt>
                <c:pt idx="18">
                  <c:v>150.7500000000002</c:v>
                </c:pt>
                <c:pt idx="19">
                  <c:v>150.80000000000021</c:v>
                </c:pt>
                <c:pt idx="20">
                  <c:v>150.85000000000022</c:v>
                </c:pt>
                <c:pt idx="21">
                  <c:v>150.90000000000023</c:v>
                </c:pt>
                <c:pt idx="22">
                  <c:v>150.95000000000024</c:v>
                </c:pt>
                <c:pt idx="23">
                  <c:v>151.00000000000026</c:v>
                </c:pt>
                <c:pt idx="24">
                  <c:v>151.05000000000027</c:v>
                </c:pt>
                <c:pt idx="25">
                  <c:v>151.10000000000028</c:v>
                </c:pt>
                <c:pt idx="26">
                  <c:v>151.15000000000029</c:v>
                </c:pt>
                <c:pt idx="27">
                  <c:v>151.2000000000003</c:v>
                </c:pt>
                <c:pt idx="28">
                  <c:v>151.25000000000031</c:v>
                </c:pt>
                <c:pt idx="29">
                  <c:v>151.30000000000032</c:v>
                </c:pt>
                <c:pt idx="30">
                  <c:v>151.35000000000034</c:v>
                </c:pt>
                <c:pt idx="31">
                  <c:v>151.40000000000035</c:v>
                </c:pt>
                <c:pt idx="32">
                  <c:v>151.45000000000036</c:v>
                </c:pt>
                <c:pt idx="33">
                  <c:v>151.50000000000037</c:v>
                </c:pt>
                <c:pt idx="34">
                  <c:v>151.55000000000038</c:v>
                </c:pt>
                <c:pt idx="35">
                  <c:v>151.60000000000039</c:v>
                </c:pt>
                <c:pt idx="36">
                  <c:v>151.6500000000004</c:v>
                </c:pt>
                <c:pt idx="37">
                  <c:v>151.70000000000041</c:v>
                </c:pt>
                <c:pt idx="38">
                  <c:v>151.75000000000043</c:v>
                </c:pt>
                <c:pt idx="39">
                  <c:v>151.80000000000044</c:v>
                </c:pt>
                <c:pt idx="40">
                  <c:v>151.85000000000045</c:v>
                </c:pt>
                <c:pt idx="41">
                  <c:v>151.90000000000046</c:v>
                </c:pt>
                <c:pt idx="42">
                  <c:v>151.95000000000047</c:v>
                </c:pt>
                <c:pt idx="43">
                  <c:v>152.00000000000048</c:v>
                </c:pt>
                <c:pt idx="44">
                  <c:v>152.05000000000049</c:v>
                </c:pt>
                <c:pt idx="45">
                  <c:v>152.10000000000051</c:v>
                </c:pt>
                <c:pt idx="46">
                  <c:v>152.15000000000052</c:v>
                </c:pt>
                <c:pt idx="47">
                  <c:v>152.20000000000053</c:v>
                </c:pt>
                <c:pt idx="48">
                  <c:v>152.25000000000054</c:v>
                </c:pt>
                <c:pt idx="49">
                  <c:v>152.30000000000055</c:v>
                </c:pt>
                <c:pt idx="50">
                  <c:v>152.35000000000056</c:v>
                </c:pt>
                <c:pt idx="51">
                  <c:v>152.40000000000057</c:v>
                </c:pt>
                <c:pt idx="52">
                  <c:v>152.45000000000059</c:v>
                </c:pt>
                <c:pt idx="53">
                  <c:v>152.5000000000006</c:v>
                </c:pt>
                <c:pt idx="54">
                  <c:v>152.55000000000061</c:v>
                </c:pt>
                <c:pt idx="55">
                  <c:v>152.60000000000062</c:v>
                </c:pt>
                <c:pt idx="56">
                  <c:v>152.65000000000063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70-4FB0-A92B-FD4AE76CDF68}"/>
            </c:ext>
          </c:extLst>
        </c:ser>
        <c:ser>
          <c:idx val="1"/>
          <c:order val="1"/>
          <c:tx>
            <c:strRef>
              <c:f>'Bear Call Spread'!$AI$3</c:f>
              <c:strCache>
                <c:ptCount val="1"/>
                <c:pt idx="0">
                  <c:v>S_C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149.85</c:v>
                </c:pt>
                <c:pt idx="1">
                  <c:v>149.9</c:v>
                </c:pt>
                <c:pt idx="2">
                  <c:v>149.95000000000002</c:v>
                </c:pt>
                <c:pt idx="3">
                  <c:v>150.00000000000003</c:v>
                </c:pt>
                <c:pt idx="4">
                  <c:v>150.05000000000004</c:v>
                </c:pt>
                <c:pt idx="5">
                  <c:v>150.10000000000005</c:v>
                </c:pt>
                <c:pt idx="6">
                  <c:v>150.15000000000006</c:v>
                </c:pt>
                <c:pt idx="7">
                  <c:v>150.20000000000007</c:v>
                </c:pt>
                <c:pt idx="8">
                  <c:v>150.25000000000009</c:v>
                </c:pt>
                <c:pt idx="9">
                  <c:v>150.3000000000001</c:v>
                </c:pt>
                <c:pt idx="10">
                  <c:v>150.35000000000011</c:v>
                </c:pt>
                <c:pt idx="11">
                  <c:v>150.40000000000012</c:v>
                </c:pt>
                <c:pt idx="12">
                  <c:v>150.45000000000013</c:v>
                </c:pt>
                <c:pt idx="13">
                  <c:v>150.50000000000014</c:v>
                </c:pt>
                <c:pt idx="14">
                  <c:v>150.55000000000015</c:v>
                </c:pt>
                <c:pt idx="15">
                  <c:v>150.60000000000016</c:v>
                </c:pt>
                <c:pt idx="16">
                  <c:v>150.65000000000018</c:v>
                </c:pt>
                <c:pt idx="17">
                  <c:v>150.70000000000019</c:v>
                </c:pt>
                <c:pt idx="18">
                  <c:v>150.7500000000002</c:v>
                </c:pt>
                <c:pt idx="19">
                  <c:v>150.80000000000021</c:v>
                </c:pt>
                <c:pt idx="20">
                  <c:v>150.85000000000022</c:v>
                </c:pt>
                <c:pt idx="21">
                  <c:v>150.90000000000023</c:v>
                </c:pt>
                <c:pt idx="22">
                  <c:v>150.95000000000024</c:v>
                </c:pt>
                <c:pt idx="23">
                  <c:v>151.00000000000026</c:v>
                </c:pt>
                <c:pt idx="24">
                  <c:v>151.05000000000027</c:v>
                </c:pt>
                <c:pt idx="25">
                  <c:v>151.10000000000028</c:v>
                </c:pt>
                <c:pt idx="26">
                  <c:v>151.15000000000029</c:v>
                </c:pt>
                <c:pt idx="27">
                  <c:v>151.2000000000003</c:v>
                </c:pt>
                <c:pt idx="28">
                  <c:v>151.25000000000031</c:v>
                </c:pt>
                <c:pt idx="29">
                  <c:v>151.30000000000032</c:v>
                </c:pt>
                <c:pt idx="30">
                  <c:v>151.35000000000034</c:v>
                </c:pt>
                <c:pt idx="31">
                  <c:v>151.40000000000035</c:v>
                </c:pt>
                <c:pt idx="32">
                  <c:v>151.45000000000036</c:v>
                </c:pt>
                <c:pt idx="33">
                  <c:v>151.50000000000037</c:v>
                </c:pt>
                <c:pt idx="34">
                  <c:v>151.55000000000038</c:v>
                </c:pt>
                <c:pt idx="35">
                  <c:v>151.60000000000039</c:v>
                </c:pt>
                <c:pt idx="36">
                  <c:v>151.6500000000004</c:v>
                </c:pt>
                <c:pt idx="37">
                  <c:v>151.70000000000041</c:v>
                </c:pt>
                <c:pt idx="38">
                  <c:v>151.75000000000043</c:v>
                </c:pt>
                <c:pt idx="39">
                  <c:v>151.80000000000044</c:v>
                </c:pt>
                <c:pt idx="40">
                  <c:v>151.85000000000045</c:v>
                </c:pt>
                <c:pt idx="41">
                  <c:v>151.90000000000046</c:v>
                </c:pt>
                <c:pt idx="42">
                  <c:v>151.95000000000047</c:v>
                </c:pt>
                <c:pt idx="43">
                  <c:v>152.00000000000048</c:v>
                </c:pt>
                <c:pt idx="44">
                  <c:v>152.05000000000049</c:v>
                </c:pt>
                <c:pt idx="45">
                  <c:v>152.10000000000051</c:v>
                </c:pt>
                <c:pt idx="46">
                  <c:v>152.15000000000052</c:v>
                </c:pt>
                <c:pt idx="47">
                  <c:v>152.20000000000053</c:v>
                </c:pt>
                <c:pt idx="48">
                  <c:v>152.25000000000054</c:v>
                </c:pt>
                <c:pt idx="49">
                  <c:v>152.30000000000055</c:v>
                </c:pt>
                <c:pt idx="50">
                  <c:v>152.35000000000056</c:v>
                </c:pt>
                <c:pt idx="51">
                  <c:v>152.40000000000057</c:v>
                </c:pt>
                <c:pt idx="52">
                  <c:v>152.45000000000059</c:v>
                </c:pt>
                <c:pt idx="53">
                  <c:v>152.5000000000006</c:v>
                </c:pt>
                <c:pt idx="54">
                  <c:v>152.55000000000061</c:v>
                </c:pt>
                <c:pt idx="55">
                  <c:v>152.60000000000062</c:v>
                </c:pt>
                <c:pt idx="56">
                  <c:v>152.65000000000063</c:v>
                </c:pt>
              </c:numCache>
              <c:extLst xmlns:c15="http://schemas.microsoft.com/office/drawing/2012/chart"/>
            </c:numRef>
          </c:cat>
          <c:val>
            <c:numRef>
              <c:f>'Bear Call Spread'!$AI$8:$AI$43</c:f>
              <c:numCache>
                <c:formatCode>General</c:formatCode>
                <c:ptCount val="3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3.9999999999999716</c:v>
                </c:pt>
                <c:pt idx="4">
                  <c:v>3.9499999999999602</c:v>
                </c:pt>
                <c:pt idx="5">
                  <c:v>3.8999999999999488</c:v>
                </c:pt>
                <c:pt idx="6">
                  <c:v>3.8499999999999375</c:v>
                </c:pt>
                <c:pt idx="7">
                  <c:v>3.7999999999999261</c:v>
                </c:pt>
                <c:pt idx="8">
                  <c:v>3.7499999999999147</c:v>
                </c:pt>
                <c:pt idx="9">
                  <c:v>3.6999999999999034</c:v>
                </c:pt>
                <c:pt idx="10">
                  <c:v>3.649999999999892</c:v>
                </c:pt>
                <c:pt idx="11">
                  <c:v>3.5999999999998806</c:v>
                </c:pt>
                <c:pt idx="12">
                  <c:v>3.5499999999998693</c:v>
                </c:pt>
                <c:pt idx="13">
                  <c:v>3.4999999999998579</c:v>
                </c:pt>
                <c:pt idx="14">
                  <c:v>3.4499999999998465</c:v>
                </c:pt>
                <c:pt idx="15">
                  <c:v>3.3999999999998352</c:v>
                </c:pt>
                <c:pt idx="16">
                  <c:v>3.3499999999998238</c:v>
                </c:pt>
                <c:pt idx="17">
                  <c:v>3.2999999999998124</c:v>
                </c:pt>
                <c:pt idx="18">
                  <c:v>3.249999999999801</c:v>
                </c:pt>
                <c:pt idx="19">
                  <c:v>3.1999999999997897</c:v>
                </c:pt>
                <c:pt idx="20">
                  <c:v>3.1499999999997783</c:v>
                </c:pt>
                <c:pt idx="21">
                  <c:v>3.0999999999997669</c:v>
                </c:pt>
                <c:pt idx="22">
                  <c:v>3.0499999999997556</c:v>
                </c:pt>
                <c:pt idx="23">
                  <c:v>2.9999999999997442</c:v>
                </c:pt>
                <c:pt idx="24">
                  <c:v>2.9499999999997328</c:v>
                </c:pt>
                <c:pt idx="25">
                  <c:v>2.8999999999997215</c:v>
                </c:pt>
                <c:pt idx="26">
                  <c:v>2.8499999999997101</c:v>
                </c:pt>
                <c:pt idx="27">
                  <c:v>2.7999999999996987</c:v>
                </c:pt>
                <c:pt idx="28">
                  <c:v>2.7499999999996874</c:v>
                </c:pt>
                <c:pt idx="29">
                  <c:v>2.699999999999676</c:v>
                </c:pt>
                <c:pt idx="30">
                  <c:v>2.6499999999996646</c:v>
                </c:pt>
                <c:pt idx="31">
                  <c:v>2.5999999999996533</c:v>
                </c:pt>
                <c:pt idx="32">
                  <c:v>2.5499999999996419</c:v>
                </c:pt>
                <c:pt idx="33">
                  <c:v>2.4999999999996305</c:v>
                </c:pt>
                <c:pt idx="34">
                  <c:v>2.4499999999996191</c:v>
                </c:pt>
                <c:pt idx="35">
                  <c:v>2.3999999999996078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670-4FB0-A92B-FD4AE76CDF68}"/>
            </c:ext>
          </c:extLst>
        </c:ser>
        <c:ser>
          <c:idx val="2"/>
          <c:order val="2"/>
          <c:tx>
            <c:strRef>
              <c:f>'Bear Call Spread'!$AJ$3</c:f>
              <c:strCache>
                <c:ptCount val="1"/>
                <c:pt idx="0">
                  <c:v>L_C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149.85</c:v>
                </c:pt>
                <c:pt idx="1">
                  <c:v>149.9</c:v>
                </c:pt>
                <c:pt idx="2">
                  <c:v>149.95000000000002</c:v>
                </c:pt>
                <c:pt idx="3">
                  <c:v>150.00000000000003</c:v>
                </c:pt>
                <c:pt idx="4">
                  <c:v>150.05000000000004</c:v>
                </c:pt>
                <c:pt idx="5">
                  <c:v>150.10000000000005</c:v>
                </c:pt>
                <c:pt idx="6">
                  <c:v>150.15000000000006</c:v>
                </c:pt>
                <c:pt idx="7">
                  <c:v>150.20000000000007</c:v>
                </c:pt>
                <c:pt idx="8">
                  <c:v>150.25000000000009</c:v>
                </c:pt>
                <c:pt idx="9">
                  <c:v>150.3000000000001</c:v>
                </c:pt>
                <c:pt idx="10">
                  <c:v>150.35000000000011</c:v>
                </c:pt>
                <c:pt idx="11">
                  <c:v>150.40000000000012</c:v>
                </c:pt>
                <c:pt idx="12">
                  <c:v>150.45000000000013</c:v>
                </c:pt>
                <c:pt idx="13">
                  <c:v>150.50000000000014</c:v>
                </c:pt>
                <c:pt idx="14">
                  <c:v>150.55000000000015</c:v>
                </c:pt>
                <c:pt idx="15">
                  <c:v>150.60000000000016</c:v>
                </c:pt>
                <c:pt idx="16">
                  <c:v>150.65000000000018</c:v>
                </c:pt>
                <c:pt idx="17">
                  <c:v>150.70000000000019</c:v>
                </c:pt>
                <c:pt idx="18">
                  <c:v>150.7500000000002</c:v>
                </c:pt>
                <c:pt idx="19">
                  <c:v>150.80000000000021</c:v>
                </c:pt>
                <c:pt idx="20">
                  <c:v>150.85000000000022</c:v>
                </c:pt>
                <c:pt idx="21">
                  <c:v>150.90000000000023</c:v>
                </c:pt>
                <c:pt idx="22">
                  <c:v>150.95000000000024</c:v>
                </c:pt>
                <c:pt idx="23">
                  <c:v>151.00000000000026</c:v>
                </c:pt>
                <c:pt idx="24">
                  <c:v>151.05000000000027</c:v>
                </c:pt>
                <c:pt idx="25">
                  <c:v>151.10000000000028</c:v>
                </c:pt>
                <c:pt idx="26">
                  <c:v>151.15000000000029</c:v>
                </c:pt>
                <c:pt idx="27">
                  <c:v>151.2000000000003</c:v>
                </c:pt>
                <c:pt idx="28">
                  <c:v>151.25000000000031</c:v>
                </c:pt>
                <c:pt idx="29">
                  <c:v>151.30000000000032</c:v>
                </c:pt>
                <c:pt idx="30">
                  <c:v>151.35000000000034</c:v>
                </c:pt>
                <c:pt idx="31">
                  <c:v>151.40000000000035</c:v>
                </c:pt>
                <c:pt idx="32">
                  <c:v>151.45000000000036</c:v>
                </c:pt>
                <c:pt idx="33">
                  <c:v>151.50000000000037</c:v>
                </c:pt>
                <c:pt idx="34">
                  <c:v>151.55000000000038</c:v>
                </c:pt>
                <c:pt idx="35">
                  <c:v>151.60000000000039</c:v>
                </c:pt>
                <c:pt idx="36">
                  <c:v>151.6500000000004</c:v>
                </c:pt>
                <c:pt idx="37">
                  <c:v>151.70000000000041</c:v>
                </c:pt>
                <c:pt idx="38">
                  <c:v>151.75000000000043</c:v>
                </c:pt>
                <c:pt idx="39">
                  <c:v>151.80000000000044</c:v>
                </c:pt>
                <c:pt idx="40">
                  <c:v>151.85000000000045</c:v>
                </c:pt>
                <c:pt idx="41">
                  <c:v>151.90000000000046</c:v>
                </c:pt>
                <c:pt idx="42">
                  <c:v>151.95000000000047</c:v>
                </c:pt>
                <c:pt idx="43">
                  <c:v>152.00000000000048</c:v>
                </c:pt>
                <c:pt idx="44">
                  <c:v>152.05000000000049</c:v>
                </c:pt>
                <c:pt idx="45">
                  <c:v>152.10000000000051</c:v>
                </c:pt>
                <c:pt idx="46">
                  <c:v>152.15000000000052</c:v>
                </c:pt>
                <c:pt idx="47">
                  <c:v>152.20000000000053</c:v>
                </c:pt>
                <c:pt idx="48">
                  <c:v>152.25000000000054</c:v>
                </c:pt>
                <c:pt idx="49">
                  <c:v>152.30000000000055</c:v>
                </c:pt>
                <c:pt idx="50">
                  <c:v>152.35000000000056</c:v>
                </c:pt>
                <c:pt idx="51">
                  <c:v>152.40000000000057</c:v>
                </c:pt>
                <c:pt idx="52">
                  <c:v>152.45000000000059</c:v>
                </c:pt>
                <c:pt idx="53">
                  <c:v>152.5000000000006</c:v>
                </c:pt>
                <c:pt idx="54">
                  <c:v>152.55000000000061</c:v>
                </c:pt>
                <c:pt idx="55">
                  <c:v>152.60000000000062</c:v>
                </c:pt>
                <c:pt idx="56">
                  <c:v>152.65000000000063</c:v>
                </c:pt>
              </c:numCache>
              <c:extLst xmlns:c15="http://schemas.microsoft.com/office/drawing/2012/chart"/>
            </c:numRef>
          </c:cat>
          <c:val>
            <c:numRef>
              <c:f>'Bear Call Spread'!$AJ$8:$AJ$43</c:f>
              <c:numCache>
                <c:formatCode>General</c:formatCode>
                <c:ptCount val="36"/>
                <c:pt idx="0">
                  <c:v>-3.25</c:v>
                </c:pt>
                <c:pt idx="1">
                  <c:v>-3.25</c:v>
                </c:pt>
                <c:pt idx="2">
                  <c:v>-3.25</c:v>
                </c:pt>
                <c:pt idx="3">
                  <c:v>-3.25</c:v>
                </c:pt>
                <c:pt idx="4">
                  <c:v>-3.25</c:v>
                </c:pt>
                <c:pt idx="5">
                  <c:v>-3.25</c:v>
                </c:pt>
                <c:pt idx="6">
                  <c:v>-3.25</c:v>
                </c:pt>
                <c:pt idx="7">
                  <c:v>-3.25</c:v>
                </c:pt>
                <c:pt idx="8">
                  <c:v>-3.25</c:v>
                </c:pt>
                <c:pt idx="9">
                  <c:v>-3.25</c:v>
                </c:pt>
                <c:pt idx="10">
                  <c:v>-3.25</c:v>
                </c:pt>
                <c:pt idx="11">
                  <c:v>-3.25</c:v>
                </c:pt>
                <c:pt idx="12">
                  <c:v>-3.25</c:v>
                </c:pt>
                <c:pt idx="13">
                  <c:v>-3.25</c:v>
                </c:pt>
                <c:pt idx="14">
                  <c:v>-3.25</c:v>
                </c:pt>
                <c:pt idx="15">
                  <c:v>-3.25</c:v>
                </c:pt>
                <c:pt idx="16">
                  <c:v>-3.25</c:v>
                </c:pt>
                <c:pt idx="17">
                  <c:v>-3.25</c:v>
                </c:pt>
                <c:pt idx="18">
                  <c:v>-3.25</c:v>
                </c:pt>
                <c:pt idx="19">
                  <c:v>-3.25</c:v>
                </c:pt>
                <c:pt idx="20">
                  <c:v>-3.25</c:v>
                </c:pt>
                <c:pt idx="21">
                  <c:v>-3.25</c:v>
                </c:pt>
                <c:pt idx="22">
                  <c:v>-3.25</c:v>
                </c:pt>
                <c:pt idx="23">
                  <c:v>-3.25</c:v>
                </c:pt>
                <c:pt idx="24">
                  <c:v>-3.25</c:v>
                </c:pt>
                <c:pt idx="25">
                  <c:v>-3.25</c:v>
                </c:pt>
                <c:pt idx="26">
                  <c:v>-3.25</c:v>
                </c:pt>
                <c:pt idx="27">
                  <c:v>-3.25</c:v>
                </c:pt>
                <c:pt idx="28">
                  <c:v>-3.25</c:v>
                </c:pt>
                <c:pt idx="29">
                  <c:v>-3.25</c:v>
                </c:pt>
                <c:pt idx="30">
                  <c:v>-3.25</c:v>
                </c:pt>
                <c:pt idx="31">
                  <c:v>-3.25</c:v>
                </c:pt>
                <c:pt idx="32">
                  <c:v>-3.25</c:v>
                </c:pt>
                <c:pt idx="33">
                  <c:v>-3.25</c:v>
                </c:pt>
                <c:pt idx="34">
                  <c:v>-3.25</c:v>
                </c:pt>
                <c:pt idx="35">
                  <c:v>-3.25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670-4FB0-A92B-FD4AE76CDF68}"/>
            </c:ext>
          </c:extLst>
        </c:ser>
        <c:ser>
          <c:idx val="3"/>
          <c:order val="3"/>
          <c:tx>
            <c:strRef>
              <c:f>'Bear Call Spread'!$AK$3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149.85</c:v>
                </c:pt>
                <c:pt idx="1">
                  <c:v>149.9</c:v>
                </c:pt>
                <c:pt idx="2">
                  <c:v>149.95000000000002</c:v>
                </c:pt>
                <c:pt idx="3">
                  <c:v>150.00000000000003</c:v>
                </c:pt>
                <c:pt idx="4">
                  <c:v>150.05000000000004</c:v>
                </c:pt>
                <c:pt idx="5">
                  <c:v>150.10000000000005</c:v>
                </c:pt>
                <c:pt idx="6">
                  <c:v>150.15000000000006</c:v>
                </c:pt>
                <c:pt idx="7">
                  <c:v>150.20000000000007</c:v>
                </c:pt>
                <c:pt idx="8">
                  <c:v>150.25000000000009</c:v>
                </c:pt>
                <c:pt idx="9">
                  <c:v>150.3000000000001</c:v>
                </c:pt>
                <c:pt idx="10">
                  <c:v>150.35000000000011</c:v>
                </c:pt>
                <c:pt idx="11">
                  <c:v>150.40000000000012</c:v>
                </c:pt>
                <c:pt idx="12">
                  <c:v>150.45000000000013</c:v>
                </c:pt>
                <c:pt idx="13">
                  <c:v>150.50000000000014</c:v>
                </c:pt>
                <c:pt idx="14">
                  <c:v>150.55000000000015</c:v>
                </c:pt>
                <c:pt idx="15">
                  <c:v>150.60000000000016</c:v>
                </c:pt>
                <c:pt idx="16">
                  <c:v>150.65000000000018</c:v>
                </c:pt>
                <c:pt idx="17">
                  <c:v>150.70000000000019</c:v>
                </c:pt>
                <c:pt idx="18">
                  <c:v>150.7500000000002</c:v>
                </c:pt>
                <c:pt idx="19">
                  <c:v>150.80000000000021</c:v>
                </c:pt>
                <c:pt idx="20">
                  <c:v>150.85000000000022</c:v>
                </c:pt>
                <c:pt idx="21">
                  <c:v>150.90000000000023</c:v>
                </c:pt>
                <c:pt idx="22">
                  <c:v>150.95000000000024</c:v>
                </c:pt>
                <c:pt idx="23">
                  <c:v>151.00000000000026</c:v>
                </c:pt>
                <c:pt idx="24">
                  <c:v>151.05000000000027</c:v>
                </c:pt>
                <c:pt idx="25">
                  <c:v>151.10000000000028</c:v>
                </c:pt>
                <c:pt idx="26">
                  <c:v>151.15000000000029</c:v>
                </c:pt>
                <c:pt idx="27">
                  <c:v>151.2000000000003</c:v>
                </c:pt>
                <c:pt idx="28">
                  <c:v>151.25000000000031</c:v>
                </c:pt>
                <c:pt idx="29">
                  <c:v>151.30000000000032</c:v>
                </c:pt>
                <c:pt idx="30">
                  <c:v>151.35000000000034</c:v>
                </c:pt>
                <c:pt idx="31">
                  <c:v>151.40000000000035</c:v>
                </c:pt>
                <c:pt idx="32">
                  <c:v>151.45000000000036</c:v>
                </c:pt>
                <c:pt idx="33">
                  <c:v>151.50000000000037</c:v>
                </c:pt>
                <c:pt idx="34">
                  <c:v>151.55000000000038</c:v>
                </c:pt>
                <c:pt idx="35">
                  <c:v>151.60000000000039</c:v>
                </c:pt>
                <c:pt idx="36">
                  <c:v>151.6500000000004</c:v>
                </c:pt>
                <c:pt idx="37">
                  <c:v>151.70000000000041</c:v>
                </c:pt>
                <c:pt idx="38">
                  <c:v>151.75000000000043</c:v>
                </c:pt>
                <c:pt idx="39">
                  <c:v>151.80000000000044</c:v>
                </c:pt>
                <c:pt idx="40">
                  <c:v>151.85000000000045</c:v>
                </c:pt>
                <c:pt idx="41">
                  <c:v>151.90000000000046</c:v>
                </c:pt>
                <c:pt idx="42">
                  <c:v>151.95000000000047</c:v>
                </c:pt>
                <c:pt idx="43">
                  <c:v>152.00000000000048</c:v>
                </c:pt>
                <c:pt idx="44">
                  <c:v>152.05000000000049</c:v>
                </c:pt>
                <c:pt idx="45">
                  <c:v>152.10000000000051</c:v>
                </c:pt>
                <c:pt idx="46">
                  <c:v>152.15000000000052</c:v>
                </c:pt>
                <c:pt idx="47">
                  <c:v>152.20000000000053</c:v>
                </c:pt>
                <c:pt idx="48">
                  <c:v>152.25000000000054</c:v>
                </c:pt>
                <c:pt idx="49">
                  <c:v>152.30000000000055</c:v>
                </c:pt>
                <c:pt idx="50">
                  <c:v>152.35000000000056</c:v>
                </c:pt>
                <c:pt idx="51">
                  <c:v>152.40000000000057</c:v>
                </c:pt>
                <c:pt idx="52">
                  <c:v>152.45000000000059</c:v>
                </c:pt>
                <c:pt idx="53">
                  <c:v>152.5000000000006</c:v>
                </c:pt>
                <c:pt idx="54">
                  <c:v>152.55000000000061</c:v>
                </c:pt>
                <c:pt idx="55">
                  <c:v>152.60000000000062</c:v>
                </c:pt>
                <c:pt idx="56">
                  <c:v>152.65000000000063</c:v>
                </c:pt>
              </c:numCache>
            </c:numRef>
          </c:cat>
          <c:val>
            <c:numRef>
              <c:f>'Bear Call Spread'!$AK$8:$AK$64</c:f>
              <c:numCache>
                <c:formatCode>_(* #,##0.00_);_(* \(#,##0.00\);_(* "-"??_);_(@_)</c:formatCode>
                <c:ptCount val="57"/>
                <c:pt idx="0">
                  <c:v>2025</c:v>
                </c:pt>
                <c:pt idx="1">
                  <c:v>2025</c:v>
                </c:pt>
                <c:pt idx="2">
                  <c:v>2025</c:v>
                </c:pt>
                <c:pt idx="3">
                  <c:v>2024.9999999999231</c:v>
                </c:pt>
                <c:pt idx="4">
                  <c:v>1889.9999999998927</c:v>
                </c:pt>
                <c:pt idx="5">
                  <c:v>1754.9999999998618</c:v>
                </c:pt>
                <c:pt idx="6">
                  <c:v>1619.9999999998313</c:v>
                </c:pt>
                <c:pt idx="7">
                  <c:v>1484.9999999998004</c:v>
                </c:pt>
                <c:pt idx="8">
                  <c:v>1349.9999999997699</c:v>
                </c:pt>
                <c:pt idx="9">
                  <c:v>1214.999999999739</c:v>
                </c:pt>
                <c:pt idx="10">
                  <c:v>1079.9999999997085</c:v>
                </c:pt>
                <c:pt idx="11">
                  <c:v>944.9999999996777</c:v>
                </c:pt>
                <c:pt idx="12">
                  <c:v>809.999999999647</c:v>
                </c:pt>
                <c:pt idx="13">
                  <c:v>674.99999999961631</c:v>
                </c:pt>
                <c:pt idx="14">
                  <c:v>539.99999999958561</c:v>
                </c:pt>
                <c:pt idx="15">
                  <c:v>404.99999999955492</c:v>
                </c:pt>
                <c:pt idx="16">
                  <c:v>269.99999999952422</c:v>
                </c:pt>
                <c:pt idx="17">
                  <c:v>134.99999999949353</c:v>
                </c:pt>
                <c:pt idx="18">
                  <c:v>-5.3717030823463574E-10</c:v>
                </c:pt>
                <c:pt idx="19">
                  <c:v>-135.00000000056787</c:v>
                </c:pt>
                <c:pt idx="20">
                  <c:v>-270.00000000059856</c:v>
                </c:pt>
                <c:pt idx="21">
                  <c:v>-405.00000000062926</c:v>
                </c:pt>
                <c:pt idx="22">
                  <c:v>-540.00000000065995</c:v>
                </c:pt>
                <c:pt idx="23">
                  <c:v>-675.00000000069065</c:v>
                </c:pt>
                <c:pt idx="24">
                  <c:v>-810.00000000072134</c:v>
                </c:pt>
                <c:pt idx="25">
                  <c:v>-945.00000000075204</c:v>
                </c:pt>
                <c:pt idx="26">
                  <c:v>-1080.0000000007826</c:v>
                </c:pt>
                <c:pt idx="27">
                  <c:v>-1215.0000000008135</c:v>
                </c:pt>
                <c:pt idx="28">
                  <c:v>-1350.000000000844</c:v>
                </c:pt>
                <c:pt idx="29">
                  <c:v>-1485.0000000008749</c:v>
                </c:pt>
                <c:pt idx="30">
                  <c:v>-1620.0000000009054</c:v>
                </c:pt>
                <c:pt idx="31">
                  <c:v>-1755.0000000009363</c:v>
                </c:pt>
                <c:pt idx="32">
                  <c:v>-1890.0000000009668</c:v>
                </c:pt>
                <c:pt idx="33">
                  <c:v>-2025.0000000009977</c:v>
                </c:pt>
                <c:pt idx="34">
                  <c:v>-2160.0000000010282</c:v>
                </c:pt>
                <c:pt idx="35">
                  <c:v>-2295.0000000010591</c:v>
                </c:pt>
                <c:pt idx="36">
                  <c:v>-2430.0000000010896</c:v>
                </c:pt>
                <c:pt idx="37">
                  <c:v>-2565.0000000011205</c:v>
                </c:pt>
                <c:pt idx="38">
                  <c:v>-2700.000000001151</c:v>
                </c:pt>
                <c:pt idx="39">
                  <c:v>-2835.0000000011819</c:v>
                </c:pt>
                <c:pt idx="40">
                  <c:v>-2970.0000000012124</c:v>
                </c:pt>
                <c:pt idx="41">
                  <c:v>-3105.0000000012433</c:v>
                </c:pt>
                <c:pt idx="42">
                  <c:v>-3240.0000000012737</c:v>
                </c:pt>
                <c:pt idx="43">
                  <c:v>-3375.0000000013047</c:v>
                </c:pt>
                <c:pt idx="44">
                  <c:v>-3510.0000000013351</c:v>
                </c:pt>
                <c:pt idx="45">
                  <c:v>-3645.0000000013661</c:v>
                </c:pt>
                <c:pt idx="46">
                  <c:v>-3780.0000000013965</c:v>
                </c:pt>
                <c:pt idx="47">
                  <c:v>-3915.0000000014275</c:v>
                </c:pt>
                <c:pt idx="48">
                  <c:v>-4050.0000000014579</c:v>
                </c:pt>
                <c:pt idx="49">
                  <c:v>-4185.0000000014888</c:v>
                </c:pt>
                <c:pt idx="50">
                  <c:v>-4320.0000000015198</c:v>
                </c:pt>
                <c:pt idx="51">
                  <c:v>-4455.0000000015498</c:v>
                </c:pt>
                <c:pt idx="52">
                  <c:v>-4590.0000000015807</c:v>
                </c:pt>
                <c:pt idx="53">
                  <c:v>-4725</c:v>
                </c:pt>
                <c:pt idx="54">
                  <c:v>-4725</c:v>
                </c:pt>
                <c:pt idx="55">
                  <c:v>-4725</c:v>
                </c:pt>
                <c:pt idx="56">
                  <c:v>-4725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70-4FB0-A92B-FD4AE76CD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920992"/>
        <c:axId val="915923072"/>
        <c:extLst/>
      </c:lineChart>
      <c:catAx>
        <c:axId val="91592099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3072"/>
        <c:crosses val="autoZero"/>
        <c:auto val="1"/>
        <c:lblAlgn val="ctr"/>
        <c:lblOffset val="100"/>
        <c:noMultiLvlLbl val="0"/>
      </c:catAx>
      <c:valAx>
        <c:axId val="91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0992"/>
        <c:crosses val="autoZero"/>
        <c:crossBetween val="between"/>
        <c:majorUnit val="2000"/>
        <c:minorUnit val="1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76200</xdr:rowOff>
        </xdr:from>
        <xdr:to>
          <xdr:col>1</xdr:col>
          <xdr:colOff>1209675</xdr:colOff>
          <xdr:row>3</xdr:row>
          <xdr:rowOff>104775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</xdr:row>
      <xdr:rowOff>0</xdr:rowOff>
    </xdr:from>
    <xdr:to>
      <xdr:col>21</xdr:col>
      <xdr:colOff>254000</xdr:colOff>
      <xdr:row>14</xdr:row>
      <xdr:rowOff>63500</xdr:rowOff>
    </xdr:to>
    <xdr:pic>
      <xdr:nvPicPr>
        <xdr:cNvPr id="25" name="Pri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590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34</xdr:row>
      <xdr:rowOff>0</xdr:rowOff>
    </xdr:from>
    <xdr:to>
      <xdr:col>21</xdr:col>
      <xdr:colOff>254000</xdr:colOff>
      <xdr:row>47</xdr:row>
      <xdr:rowOff>63500</xdr:rowOff>
    </xdr:to>
    <xdr:pic>
      <xdr:nvPicPr>
        <xdr:cNvPr id="26" name="Bands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68770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51</xdr:row>
      <xdr:rowOff>0</xdr:rowOff>
    </xdr:from>
    <xdr:to>
      <xdr:col>21</xdr:col>
      <xdr:colOff>254000</xdr:colOff>
      <xdr:row>64</xdr:row>
      <xdr:rowOff>63500</xdr:rowOff>
    </xdr:to>
    <xdr:pic>
      <xdr:nvPicPr>
        <xdr:cNvPr id="27" name="MACD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10115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21</xdr:col>
      <xdr:colOff>254000</xdr:colOff>
      <xdr:row>29</xdr:row>
      <xdr:rowOff>63500</xdr:rowOff>
    </xdr:to>
    <xdr:pic>
      <xdr:nvPicPr>
        <xdr:cNvPr id="28" name="Returns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3448050"/>
          <a:ext cx="6350000" cy="2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476247</xdr:colOff>
      <xdr:row>4</xdr:row>
      <xdr:rowOff>11907</xdr:rowOff>
    </xdr:from>
    <xdr:to>
      <xdr:col>55</xdr:col>
      <xdr:colOff>226218</xdr:colOff>
      <xdr:row>27</xdr:row>
      <xdr:rowOff>154781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476247</xdr:colOff>
      <xdr:row>4</xdr:row>
      <xdr:rowOff>11907</xdr:rowOff>
    </xdr:from>
    <xdr:to>
      <xdr:col>55</xdr:col>
      <xdr:colOff>226218</xdr:colOff>
      <xdr:row>27</xdr:row>
      <xdr:rowOff>154781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Z300"/>
  <sheetViews>
    <sheetView zoomScale="80" zoomScaleNormal="80" workbookViewId="0">
      <selection activeCell="B13" sqref="B13"/>
    </sheetView>
  </sheetViews>
  <sheetFormatPr defaultRowHeight="15" x14ac:dyDescent="0.25"/>
  <cols>
    <col min="2" max="2" width="19.140625" customWidth="1"/>
    <col min="4" max="4" width="13.85546875" customWidth="1"/>
    <col min="5" max="10" width="11.42578125" customWidth="1"/>
    <col min="23" max="23" width="14.5703125" bestFit="1" customWidth="1"/>
  </cols>
  <sheetData>
    <row r="1" spans="1:52" ht="15.75" thickBot="1" x14ac:dyDescent="0.3">
      <c r="A1" s="1"/>
      <c r="B1" s="1"/>
      <c r="C1" s="1"/>
      <c r="D1" s="20" t="s">
        <v>1801</v>
      </c>
      <c r="E1" s="19"/>
      <c r="F1" s="19"/>
      <c r="G1" s="19"/>
      <c r="H1" s="19"/>
      <c r="I1" s="19"/>
      <c r="J1" s="19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 t="s">
        <v>1778</v>
      </c>
    </row>
    <row r="2" spans="1:52" ht="30.75" thickBot="1" x14ac:dyDescent="0.3">
      <c r="A2" s="1"/>
      <c r="B2" s="14" t="s">
        <v>167</v>
      </c>
      <c r="C2" s="1"/>
      <c r="D2" s="19" t="s">
        <v>1781</v>
      </c>
      <c r="E2" s="19" t="s">
        <v>1774</v>
      </c>
      <c r="F2" s="19" t="s">
        <v>1777</v>
      </c>
      <c r="G2" s="19" t="s">
        <v>1779</v>
      </c>
      <c r="H2" s="19" t="s">
        <v>1780</v>
      </c>
      <c r="I2" s="19" t="s">
        <v>1775</v>
      </c>
      <c r="J2" s="19" t="s">
        <v>1776</v>
      </c>
      <c r="K2" s="1"/>
      <c r="L2" s="16" t="s">
        <v>1788</v>
      </c>
      <c r="M2" s="14" t="s">
        <v>1806</v>
      </c>
      <c r="N2" s="1"/>
      <c r="O2" s="1"/>
      <c r="P2" s="1"/>
      <c r="Q2" s="1"/>
      <c r="R2" s="1"/>
      <c r="S2" s="1"/>
      <c r="T2" s="1"/>
      <c r="U2" s="1"/>
      <c r="V2" s="1"/>
      <c r="W2" s="20" t="s">
        <v>1802</v>
      </c>
      <c r="X2" s="20"/>
      <c r="Y2" s="20"/>
      <c r="Z2" s="20"/>
      <c r="AA2" s="20"/>
      <c r="AB2" s="27" t="s">
        <v>1804</v>
      </c>
      <c r="AC2" s="20"/>
      <c r="AD2" s="20"/>
      <c r="AE2" s="20"/>
      <c r="AF2" s="20"/>
      <c r="AG2" s="20"/>
      <c r="AH2" s="22"/>
      <c r="AI2" s="20"/>
      <c r="AJ2" s="20"/>
      <c r="AK2" s="20"/>
      <c r="AL2" s="20"/>
      <c r="AM2" s="20"/>
      <c r="AN2" s="27" t="s">
        <v>1805</v>
      </c>
      <c r="AO2" s="20"/>
      <c r="AP2" s="20"/>
      <c r="AQ2" s="20"/>
      <c r="AR2" s="20"/>
      <c r="AS2" s="1"/>
      <c r="AT2" s="1"/>
      <c r="AU2" s="1"/>
      <c r="AV2" s="1"/>
      <c r="AW2" s="1"/>
      <c r="AX2" s="1"/>
      <c r="AY2" s="1"/>
      <c r="AZ2" s="1"/>
    </row>
    <row r="3" spans="1:52" ht="30" x14ac:dyDescent="0.25">
      <c r="A3" s="1"/>
      <c r="B3" s="1"/>
      <c r="C3" s="1"/>
      <c r="D3" s="18">
        <v>4256.05</v>
      </c>
      <c r="E3" s="6">
        <v>4203</v>
      </c>
      <c r="F3" s="6">
        <v>4202.25</v>
      </c>
      <c r="G3" s="6">
        <v>4350</v>
      </c>
      <c r="H3" s="6">
        <v>4203</v>
      </c>
      <c r="I3" s="6">
        <v>5445</v>
      </c>
      <c r="J3" s="6">
        <v>2923.2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23" t="s">
        <v>1803</v>
      </c>
      <c r="X3" s="45" t="s">
        <v>1807</v>
      </c>
      <c r="Y3" s="46" t="s">
        <v>1833</v>
      </c>
      <c r="Z3" s="46" t="s">
        <v>1808</v>
      </c>
      <c r="AA3" s="46" t="s">
        <v>1809</v>
      </c>
      <c r="AB3" s="46" t="s">
        <v>1810</v>
      </c>
      <c r="AC3" s="46" t="s">
        <v>1834</v>
      </c>
      <c r="AD3" s="46" t="s">
        <v>1811</v>
      </c>
      <c r="AE3" s="46" t="s">
        <v>1812</v>
      </c>
      <c r="AF3" s="46" t="s">
        <v>1813</v>
      </c>
      <c r="AG3" s="46" t="s">
        <v>1814</v>
      </c>
      <c r="AH3" s="23" t="s">
        <v>1837</v>
      </c>
      <c r="AI3" s="46" t="s">
        <v>1815</v>
      </c>
      <c r="AJ3" s="46" t="s">
        <v>1816</v>
      </c>
      <c r="AK3" s="46" t="s">
        <v>1817</v>
      </c>
      <c r="AL3" s="46" t="s">
        <v>1818</v>
      </c>
      <c r="AM3" s="46" t="s">
        <v>1835</v>
      </c>
      <c r="AN3" s="46" t="s">
        <v>1819</v>
      </c>
      <c r="AO3" s="46" t="s">
        <v>1820</v>
      </c>
      <c r="AP3" s="46" t="s">
        <v>1821</v>
      </c>
      <c r="AQ3" s="46" t="s">
        <v>1836</v>
      </c>
      <c r="AR3" s="47" t="s">
        <v>1822</v>
      </c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57"/>
      <c r="X4" s="48"/>
      <c r="Y4" s="49"/>
      <c r="Z4" s="49"/>
      <c r="AA4" s="49"/>
      <c r="AB4" s="50"/>
      <c r="AC4" s="49"/>
      <c r="AD4" s="49"/>
      <c r="AE4" s="49"/>
      <c r="AF4" s="49"/>
      <c r="AG4" s="49"/>
      <c r="AH4" s="44"/>
      <c r="AI4" s="49"/>
      <c r="AJ4" s="49"/>
      <c r="AK4" s="49"/>
      <c r="AL4" s="49"/>
      <c r="AM4" s="49"/>
      <c r="AN4" s="50"/>
      <c r="AO4" s="49"/>
      <c r="AP4" s="49"/>
      <c r="AQ4" s="49"/>
      <c r="AR4" s="5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57"/>
      <c r="X5" s="48"/>
      <c r="Y5" s="49"/>
      <c r="Z5" s="49"/>
      <c r="AA5" s="49"/>
      <c r="AB5" s="50"/>
      <c r="AC5" s="49"/>
      <c r="AD5" s="49"/>
      <c r="AE5" s="49"/>
      <c r="AF5" s="49"/>
      <c r="AG5" s="49"/>
      <c r="AH5" s="44"/>
      <c r="AI5" s="49"/>
      <c r="AJ5" s="49"/>
      <c r="AK5" s="49"/>
      <c r="AL5" s="49"/>
      <c r="AM5" s="49"/>
      <c r="AN5" s="50"/>
      <c r="AO5" s="49"/>
      <c r="AP5" s="49"/>
      <c r="AQ5" s="49"/>
      <c r="AR5" s="5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57"/>
      <c r="X6" s="48"/>
      <c r="Y6" s="49"/>
      <c r="Z6" s="49"/>
      <c r="AA6" s="49"/>
      <c r="AB6" s="50"/>
      <c r="AC6" s="49"/>
      <c r="AD6" s="49"/>
      <c r="AE6" s="49"/>
      <c r="AF6" s="49"/>
      <c r="AG6" s="49"/>
      <c r="AH6" s="44"/>
      <c r="AI6" s="49"/>
      <c r="AJ6" s="49"/>
      <c r="AK6" s="49"/>
      <c r="AL6" s="49"/>
      <c r="AM6" s="49"/>
      <c r="AN6" s="50"/>
      <c r="AO6" s="49"/>
      <c r="AP6" s="49"/>
      <c r="AQ6" s="49"/>
      <c r="AR6" s="5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20" t="s">
        <v>1800</v>
      </c>
      <c r="E7" s="19"/>
      <c r="F7" s="19"/>
      <c r="G7" s="19"/>
      <c r="H7" s="19"/>
      <c r="I7" s="19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57"/>
      <c r="X7" s="48"/>
      <c r="Y7" s="49"/>
      <c r="Z7" s="49"/>
      <c r="AA7" s="49"/>
      <c r="AB7" s="50"/>
      <c r="AC7" s="49"/>
      <c r="AD7" s="49"/>
      <c r="AE7" s="49"/>
      <c r="AF7" s="49"/>
      <c r="AG7" s="49"/>
      <c r="AH7" s="44"/>
      <c r="AI7" s="49"/>
      <c r="AJ7" s="49"/>
      <c r="AK7" s="49"/>
      <c r="AL7" s="49"/>
      <c r="AM7" s="49"/>
      <c r="AN7" s="50"/>
      <c r="AO7" s="49"/>
      <c r="AP7" s="49"/>
      <c r="AQ7" s="49"/>
      <c r="AR7" s="5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9" t="s">
        <v>1782</v>
      </c>
      <c r="E8" s="19" t="s">
        <v>1783</v>
      </c>
      <c r="F8" s="19" t="s">
        <v>1784</v>
      </c>
      <c r="G8" s="19" t="s">
        <v>1785</v>
      </c>
      <c r="H8" s="19" t="s">
        <v>1786</v>
      </c>
      <c r="I8" s="19" t="s">
        <v>1787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57"/>
      <c r="X8" s="48"/>
      <c r="Y8" s="49"/>
      <c r="Z8" s="49"/>
      <c r="AA8" s="49"/>
      <c r="AB8" s="50"/>
      <c r="AC8" s="49"/>
      <c r="AD8" s="49"/>
      <c r="AE8" s="49"/>
      <c r="AF8" s="49"/>
      <c r="AG8" s="49"/>
      <c r="AH8" s="44"/>
      <c r="AI8" s="49"/>
      <c r="AJ8" s="49"/>
      <c r="AK8" s="49"/>
      <c r="AL8" s="49"/>
      <c r="AM8" s="49"/>
      <c r="AN8" s="50"/>
      <c r="AO8" s="49"/>
      <c r="AP8" s="49"/>
      <c r="AQ8" s="49"/>
      <c r="AR8" s="5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5">
        <v>6.1436272431659104E-2</v>
      </c>
      <c r="E9" s="15">
        <v>0.12408969150665614</v>
      </c>
      <c r="F9" s="15">
        <v>-2.787833214699189E-2</v>
      </c>
      <c r="G9" s="15">
        <v>-1.1757605107041456E-2</v>
      </c>
      <c r="H9" s="15">
        <v>0.18127507598228335</v>
      </c>
      <c r="I9" s="15">
        <v>0.23815234193924201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57"/>
      <c r="X9" s="48"/>
      <c r="Y9" s="49"/>
      <c r="Z9" s="49"/>
      <c r="AA9" s="49"/>
      <c r="AB9" s="50"/>
      <c r="AC9" s="49"/>
      <c r="AD9" s="49"/>
      <c r="AE9" s="49"/>
      <c r="AF9" s="49"/>
      <c r="AG9" s="49"/>
      <c r="AH9" s="44"/>
      <c r="AI9" s="49"/>
      <c r="AJ9" s="49"/>
      <c r="AK9" s="49"/>
      <c r="AL9" s="49"/>
      <c r="AM9" s="49"/>
      <c r="AN9" s="50"/>
      <c r="AO9" s="49"/>
      <c r="AP9" s="49"/>
      <c r="AQ9" s="49"/>
      <c r="AR9" s="5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57"/>
      <c r="X10" s="48"/>
      <c r="Y10" s="49"/>
      <c r="Z10" s="49"/>
      <c r="AA10" s="49"/>
      <c r="AB10" s="50"/>
      <c r="AC10" s="49"/>
      <c r="AD10" s="49"/>
      <c r="AE10" s="49"/>
      <c r="AF10" s="49"/>
      <c r="AG10" s="49"/>
      <c r="AH10" s="44"/>
      <c r="AI10" s="49"/>
      <c r="AJ10" s="49"/>
      <c r="AK10" s="49"/>
      <c r="AL10" s="49"/>
      <c r="AM10" s="49"/>
      <c r="AN10" s="50"/>
      <c r="AO10" s="49"/>
      <c r="AP10" s="49"/>
      <c r="AQ10" s="49"/>
      <c r="AR10" s="5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57"/>
      <c r="X11" s="48"/>
      <c r="Y11" s="49"/>
      <c r="Z11" s="49"/>
      <c r="AA11" s="49"/>
      <c r="AB11" s="50"/>
      <c r="AC11" s="49"/>
      <c r="AD11" s="49"/>
      <c r="AE11" s="49"/>
      <c r="AF11" s="49"/>
      <c r="AG11" s="49"/>
      <c r="AH11" s="44"/>
      <c r="AI11" s="49"/>
      <c r="AJ11" s="49"/>
      <c r="AK11" s="49"/>
      <c r="AL11" s="49"/>
      <c r="AM11" s="49"/>
      <c r="AN11" s="50"/>
      <c r="AO11" s="49"/>
      <c r="AP11" s="49"/>
      <c r="AQ11" s="49"/>
      <c r="AR11" s="5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57"/>
      <c r="X12" s="48"/>
      <c r="Y12" s="49"/>
      <c r="Z12" s="49"/>
      <c r="AA12" s="49"/>
      <c r="AB12" s="50"/>
      <c r="AC12" s="49"/>
      <c r="AD12" s="49"/>
      <c r="AE12" s="49"/>
      <c r="AF12" s="49"/>
      <c r="AG12" s="49"/>
      <c r="AH12" s="44"/>
      <c r="AI12" s="49"/>
      <c r="AJ12" s="49"/>
      <c r="AK12" s="49"/>
      <c r="AL12" s="49"/>
      <c r="AM12" s="49"/>
      <c r="AN12" s="50"/>
      <c r="AO12" s="49"/>
      <c r="AP12" s="49"/>
      <c r="AQ12" s="49"/>
      <c r="AR12" s="5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20" t="s">
        <v>1856</v>
      </c>
      <c r="E13" s="20"/>
      <c r="F13" s="20"/>
      <c r="G13" s="20"/>
      <c r="H13" s="20"/>
      <c r="I13" s="20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57"/>
      <c r="X13" s="48"/>
      <c r="Y13" s="49"/>
      <c r="Z13" s="49"/>
      <c r="AA13" s="49"/>
      <c r="AB13" s="50"/>
      <c r="AC13" s="49"/>
      <c r="AD13" s="49"/>
      <c r="AE13" s="49"/>
      <c r="AF13" s="49"/>
      <c r="AG13" s="49"/>
      <c r="AH13" s="44"/>
      <c r="AI13" s="49"/>
      <c r="AJ13" s="49"/>
      <c r="AK13" s="49"/>
      <c r="AL13" s="49"/>
      <c r="AM13" s="49"/>
      <c r="AN13" s="50"/>
      <c r="AO13" s="49"/>
      <c r="AP13" s="49"/>
      <c r="AQ13" s="49"/>
      <c r="AR13" s="5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9" t="s">
        <v>1857</v>
      </c>
      <c r="E14" s="19" t="s">
        <v>1858</v>
      </c>
      <c r="F14" s="19" t="s">
        <v>1863</v>
      </c>
      <c r="G14" s="19" t="s">
        <v>1859</v>
      </c>
      <c r="H14" s="19" t="s">
        <v>1860</v>
      </c>
      <c r="I14" s="19" t="s">
        <v>1861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57"/>
      <c r="X14" s="48"/>
      <c r="Y14" s="49"/>
      <c r="Z14" s="49"/>
      <c r="AA14" s="49"/>
      <c r="AB14" s="50"/>
      <c r="AC14" s="49"/>
      <c r="AD14" s="49"/>
      <c r="AE14" s="49"/>
      <c r="AF14" s="49"/>
      <c r="AG14" s="49"/>
      <c r="AH14" s="44"/>
      <c r="AI14" s="49"/>
      <c r="AJ14" s="49"/>
      <c r="AK14" s="49"/>
      <c r="AL14" s="49"/>
      <c r="AM14" s="49"/>
      <c r="AN14" s="50"/>
      <c r="AO14" s="49"/>
      <c r="AP14" s="49"/>
      <c r="AQ14" s="49"/>
      <c r="AR14" s="5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6">
        <v>0.77964980959969221</v>
      </c>
      <c r="E15" s="15">
        <v>0.42178386322477135</v>
      </c>
      <c r="F15" s="15">
        <v>4.4015323707141916E-2</v>
      </c>
      <c r="G15" s="6">
        <v>0.1343788038805582</v>
      </c>
      <c r="H15" s="6">
        <v>2.9503832195671356</v>
      </c>
      <c r="I15" s="6">
        <v>7.2697780899051614E-2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57"/>
      <c r="X15" s="48"/>
      <c r="Y15" s="49"/>
      <c r="Z15" s="49"/>
      <c r="AA15" s="49"/>
      <c r="AB15" s="50"/>
      <c r="AC15" s="49"/>
      <c r="AD15" s="49"/>
      <c r="AE15" s="49"/>
      <c r="AF15" s="49"/>
      <c r="AG15" s="49"/>
      <c r="AH15" s="44"/>
      <c r="AI15" s="49"/>
      <c r="AJ15" s="49"/>
      <c r="AK15" s="49"/>
      <c r="AL15" s="49"/>
      <c r="AM15" s="49"/>
      <c r="AN15" s="50"/>
      <c r="AO15" s="49"/>
      <c r="AP15" s="49"/>
      <c r="AQ15" s="49"/>
      <c r="AR15" s="5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3"/>
      <c r="E16" s="17"/>
      <c r="F16" s="17"/>
      <c r="G16" s="17"/>
      <c r="H16" s="17"/>
      <c r="I16" s="17"/>
      <c r="J16" s="17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57"/>
      <c r="X16" s="48"/>
      <c r="Y16" s="49"/>
      <c r="Z16" s="49"/>
      <c r="AA16" s="49"/>
      <c r="AB16" s="50"/>
      <c r="AC16" s="49"/>
      <c r="AD16" s="49"/>
      <c r="AE16" s="49"/>
      <c r="AF16" s="49"/>
      <c r="AG16" s="49"/>
      <c r="AH16" s="44"/>
      <c r="AI16" s="49"/>
      <c r="AJ16" s="49"/>
      <c r="AK16" s="49"/>
      <c r="AL16" s="49"/>
      <c r="AM16" s="49"/>
      <c r="AN16" s="50"/>
      <c r="AO16" s="49"/>
      <c r="AP16" s="49"/>
      <c r="AQ16" s="49"/>
      <c r="AR16" s="5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20" t="s">
        <v>1862</v>
      </c>
      <c r="E17" s="20"/>
      <c r="F17" s="20"/>
      <c r="G17" s="20"/>
      <c r="H17" s="20"/>
      <c r="I17" s="20"/>
      <c r="J17" s="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57"/>
      <c r="X17" s="48"/>
      <c r="Y17" s="49"/>
      <c r="Z17" s="49"/>
      <c r="AA17" s="49"/>
      <c r="AB17" s="50"/>
      <c r="AC17" s="49"/>
      <c r="AD17" s="49"/>
      <c r="AE17" s="49"/>
      <c r="AF17" s="49"/>
      <c r="AG17" s="49"/>
      <c r="AH17" s="44"/>
      <c r="AI17" s="49"/>
      <c r="AJ17" s="49"/>
      <c r="AK17" s="49"/>
      <c r="AL17" s="49"/>
      <c r="AM17" s="49"/>
      <c r="AN17" s="50"/>
      <c r="AO17" s="49"/>
      <c r="AP17" s="49"/>
      <c r="AQ17" s="49"/>
      <c r="AR17" s="5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3"/>
      <c r="E18" s="43"/>
      <c r="F18" s="43"/>
      <c r="G18" s="43"/>
      <c r="H18" s="43"/>
      <c r="I18" s="43"/>
      <c r="J18" s="17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57"/>
      <c r="X18" s="48"/>
      <c r="Y18" s="49"/>
      <c r="Z18" s="49"/>
      <c r="AA18" s="49"/>
      <c r="AB18" s="50"/>
      <c r="AC18" s="49"/>
      <c r="AD18" s="49"/>
      <c r="AE18" s="49"/>
      <c r="AF18" s="49"/>
      <c r="AG18" s="49"/>
      <c r="AH18" s="44"/>
      <c r="AI18" s="49"/>
      <c r="AJ18" s="49"/>
      <c r="AK18" s="49"/>
      <c r="AL18" s="49"/>
      <c r="AM18" s="49"/>
      <c r="AN18" s="50"/>
      <c r="AO18" s="49"/>
      <c r="AP18" s="49"/>
      <c r="AQ18" s="49"/>
      <c r="AR18" s="5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3"/>
      <c r="E19" s="43">
        <v>43554</v>
      </c>
      <c r="F19" s="43">
        <v>43189</v>
      </c>
      <c r="G19" s="43">
        <v>42824</v>
      </c>
      <c r="H19" s="43">
        <v>42459</v>
      </c>
      <c r="I19" s="43">
        <v>42093</v>
      </c>
      <c r="J19" s="21">
        <v>41728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57"/>
      <c r="X19" s="48"/>
      <c r="Y19" s="49"/>
      <c r="Z19" s="49"/>
      <c r="AA19" s="49"/>
      <c r="AB19" s="50"/>
      <c r="AC19" s="49"/>
      <c r="AD19" s="49"/>
      <c r="AE19" s="49"/>
      <c r="AF19" s="49"/>
      <c r="AG19" s="49"/>
      <c r="AH19" s="44"/>
      <c r="AI19" s="49"/>
      <c r="AJ19" s="49"/>
      <c r="AK19" s="49"/>
      <c r="AL19" s="49"/>
      <c r="AM19" s="49"/>
      <c r="AN19" s="50"/>
      <c r="AO19" s="49"/>
      <c r="AP19" s="49"/>
      <c r="AQ19" s="49"/>
      <c r="AR19" s="5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3" t="s">
        <v>1789</v>
      </c>
      <c r="E20" s="17">
        <v>144.51</v>
      </c>
      <c r="F20" s="17">
        <v>91.16</v>
      </c>
      <c r="G20" s="17">
        <v>96.18</v>
      </c>
      <c r="H20" s="17">
        <v>92.53</v>
      </c>
      <c r="I20" s="17">
        <v>73.3</v>
      </c>
      <c r="J20" s="21">
        <v>71.739999999999995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57"/>
      <c r="X20" s="48"/>
      <c r="Y20" s="49"/>
      <c r="Z20" s="49"/>
      <c r="AA20" s="49"/>
      <c r="AB20" s="50"/>
      <c r="AC20" s="49"/>
      <c r="AD20" s="49"/>
      <c r="AE20" s="49"/>
      <c r="AF20" s="49"/>
      <c r="AG20" s="49"/>
      <c r="AH20" s="44"/>
      <c r="AI20" s="49"/>
      <c r="AJ20" s="49"/>
      <c r="AK20" s="49"/>
      <c r="AL20" s="49"/>
      <c r="AM20" s="49"/>
      <c r="AN20" s="50"/>
      <c r="AO20" s="49"/>
      <c r="AP20" s="49"/>
      <c r="AQ20" s="49"/>
      <c r="AR20" s="5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3" t="s">
        <v>1790</v>
      </c>
      <c r="E21" s="17">
        <v>892.71</v>
      </c>
      <c r="F21" s="17">
        <v>740.41</v>
      </c>
      <c r="G21" s="17">
        <v>647.17999999999995</v>
      </c>
      <c r="H21" s="17">
        <v>536.44000000000005</v>
      </c>
      <c r="I21" s="17">
        <v>342.24</v>
      </c>
      <c r="J21" s="21">
        <v>282.75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57"/>
      <c r="X21" s="48"/>
      <c r="Y21" s="49"/>
      <c r="Z21" s="49"/>
      <c r="AA21" s="49"/>
      <c r="AB21" s="50"/>
      <c r="AC21" s="49"/>
      <c r="AD21" s="49"/>
      <c r="AE21" s="49"/>
      <c r="AF21" s="49"/>
      <c r="AG21" s="49"/>
      <c r="AH21" s="44"/>
      <c r="AI21" s="49"/>
      <c r="AJ21" s="49"/>
      <c r="AK21" s="49"/>
      <c r="AL21" s="49"/>
      <c r="AM21" s="49"/>
      <c r="AN21" s="50"/>
      <c r="AO21" s="49"/>
      <c r="AP21" s="49"/>
      <c r="AQ21" s="49"/>
      <c r="AR21" s="5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3" t="s">
        <v>1791</v>
      </c>
      <c r="E22" s="17">
        <v>892.71</v>
      </c>
      <c r="F22" s="17">
        <v>740.41</v>
      </c>
      <c r="G22" s="17">
        <v>647.17999999999995</v>
      </c>
      <c r="H22" s="17">
        <v>536.44000000000005</v>
      </c>
      <c r="I22" s="17">
        <v>342.24</v>
      </c>
      <c r="J22" s="21">
        <v>317.25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57"/>
      <c r="X22" s="48"/>
      <c r="Y22" s="49"/>
      <c r="Z22" s="49"/>
      <c r="AA22" s="49"/>
      <c r="AB22" s="50"/>
      <c r="AC22" s="49"/>
      <c r="AD22" s="49"/>
      <c r="AE22" s="49"/>
      <c r="AF22" s="49"/>
      <c r="AG22" s="49"/>
      <c r="AH22" s="44"/>
      <c r="AI22" s="49"/>
      <c r="AJ22" s="49"/>
      <c r="AK22" s="49"/>
      <c r="AL22" s="49"/>
      <c r="AM22" s="49"/>
      <c r="AN22" s="50"/>
      <c r="AO22" s="49"/>
      <c r="AP22" s="49"/>
      <c r="AQ22" s="49"/>
      <c r="AR22" s="5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3" t="s">
        <v>1864</v>
      </c>
      <c r="E23" s="17">
        <v>0</v>
      </c>
      <c r="F23" s="17">
        <v>92.01</v>
      </c>
      <c r="G23" s="17">
        <v>92.04</v>
      </c>
      <c r="H23" s="17">
        <v>92.51</v>
      </c>
      <c r="I23" s="17">
        <v>90.76</v>
      </c>
      <c r="J23" s="21">
        <v>91.67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57"/>
      <c r="X23" s="48"/>
      <c r="Y23" s="49"/>
      <c r="Z23" s="49"/>
      <c r="AA23" s="49"/>
      <c r="AB23" s="50"/>
      <c r="AC23" s="49"/>
      <c r="AD23" s="49"/>
      <c r="AE23" s="49"/>
      <c r="AF23" s="49"/>
      <c r="AG23" s="49"/>
      <c r="AH23" s="44"/>
      <c r="AI23" s="49"/>
      <c r="AJ23" s="49"/>
      <c r="AK23" s="49"/>
      <c r="AL23" s="49"/>
      <c r="AM23" s="49"/>
      <c r="AN23" s="50"/>
      <c r="AO23" s="49"/>
      <c r="AP23" s="49"/>
      <c r="AQ23" s="49"/>
      <c r="AR23" s="5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3" t="s">
        <v>1792</v>
      </c>
      <c r="E24" s="17">
        <v>182.15</v>
      </c>
      <c r="F24" s="17">
        <v>126.41</v>
      </c>
      <c r="G24" s="17">
        <v>126.83</v>
      </c>
      <c r="H24" s="17">
        <v>113.33</v>
      </c>
      <c r="I24" s="17">
        <v>91.88</v>
      </c>
      <c r="J24" s="21">
        <v>89.97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57"/>
      <c r="X24" s="48"/>
      <c r="Y24" s="49"/>
      <c r="Z24" s="49"/>
      <c r="AA24" s="49"/>
      <c r="AB24" s="50"/>
      <c r="AC24" s="49"/>
      <c r="AD24" s="49"/>
      <c r="AE24" s="49"/>
      <c r="AF24" s="49"/>
      <c r="AG24" s="49"/>
      <c r="AH24" s="44"/>
      <c r="AI24" s="49"/>
      <c r="AJ24" s="49"/>
      <c r="AK24" s="49"/>
      <c r="AL24" s="49"/>
      <c r="AM24" s="49"/>
      <c r="AN24" s="50"/>
      <c r="AO24" s="49"/>
      <c r="AP24" s="49"/>
      <c r="AQ24" s="49"/>
      <c r="AR24" s="5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3" t="s">
        <v>1865</v>
      </c>
      <c r="E25" s="17">
        <v>2.99</v>
      </c>
      <c r="F25" s="17">
        <v>2.2999999999999998</v>
      </c>
      <c r="G25" s="17">
        <v>1.85</v>
      </c>
      <c r="H25" s="17">
        <v>1.43</v>
      </c>
      <c r="I25" s="17">
        <v>1.53</v>
      </c>
      <c r="J25" s="21">
        <v>1.43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57"/>
      <c r="X25" s="48"/>
      <c r="Y25" s="49"/>
      <c r="Z25" s="49"/>
      <c r="AA25" s="49"/>
      <c r="AB25" s="50"/>
      <c r="AC25" s="49"/>
      <c r="AD25" s="49"/>
      <c r="AE25" s="49"/>
      <c r="AF25" s="49"/>
      <c r="AG25" s="49"/>
      <c r="AH25" s="44"/>
      <c r="AI25" s="49"/>
      <c r="AJ25" s="49"/>
      <c r="AK25" s="49"/>
      <c r="AL25" s="49"/>
      <c r="AM25" s="49"/>
      <c r="AN25" s="50"/>
      <c r="AO25" s="49"/>
      <c r="AP25" s="49"/>
      <c r="AQ25" s="49"/>
      <c r="AR25" s="5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3" t="s">
        <v>1866</v>
      </c>
      <c r="E26" s="17">
        <v>144.51</v>
      </c>
      <c r="F26" s="17">
        <v>91.16</v>
      </c>
      <c r="G26" s="17">
        <v>96.18</v>
      </c>
      <c r="H26" s="17">
        <v>92.53</v>
      </c>
      <c r="I26" s="17">
        <v>73.3</v>
      </c>
      <c r="J26" s="21">
        <v>71.739999999999995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57"/>
      <c r="X26" s="48"/>
      <c r="Y26" s="49"/>
      <c r="Z26" s="49"/>
      <c r="AA26" s="49"/>
      <c r="AB26" s="50"/>
      <c r="AC26" s="49"/>
      <c r="AD26" s="49"/>
      <c r="AE26" s="49"/>
      <c r="AF26" s="49"/>
      <c r="AG26" s="49"/>
      <c r="AH26" s="44"/>
      <c r="AI26" s="49"/>
      <c r="AJ26" s="49"/>
      <c r="AK26" s="49"/>
      <c r="AL26" s="49"/>
      <c r="AM26" s="49"/>
      <c r="AN26" s="50"/>
      <c r="AO26" s="49"/>
      <c r="AP26" s="49"/>
      <c r="AQ26" s="49"/>
      <c r="AR26" s="5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3" t="s">
        <v>1867</v>
      </c>
      <c r="E27" s="17">
        <v>0</v>
      </c>
      <c r="F27" s="17">
        <v>11.09</v>
      </c>
      <c r="G27" s="17">
        <v>10.51</v>
      </c>
      <c r="H27" s="17">
        <v>9.18</v>
      </c>
      <c r="I27" s="17">
        <v>11.59</v>
      </c>
      <c r="J27" s="21">
        <v>10.45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57"/>
      <c r="X27" s="48"/>
      <c r="Y27" s="49"/>
      <c r="Z27" s="49"/>
      <c r="AA27" s="49"/>
      <c r="AB27" s="50"/>
      <c r="AC27" s="49"/>
      <c r="AD27" s="49"/>
      <c r="AE27" s="49"/>
      <c r="AF27" s="49"/>
      <c r="AG27" s="49"/>
      <c r="AH27" s="44"/>
      <c r="AI27" s="49"/>
      <c r="AJ27" s="49"/>
      <c r="AK27" s="49"/>
      <c r="AL27" s="49"/>
      <c r="AM27" s="49"/>
      <c r="AN27" s="50"/>
      <c r="AO27" s="49"/>
      <c r="AP27" s="49"/>
      <c r="AQ27" s="49"/>
      <c r="AR27" s="5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3" t="s">
        <v>1868</v>
      </c>
      <c r="E28" s="17">
        <v>0</v>
      </c>
      <c r="F28" s="17">
        <v>7.99</v>
      </c>
      <c r="G28" s="17">
        <v>7.96</v>
      </c>
      <c r="H28" s="17">
        <v>7.49</v>
      </c>
      <c r="I28" s="17">
        <v>9.24</v>
      </c>
      <c r="J28" s="21">
        <v>8.33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57"/>
      <c r="X28" s="48"/>
      <c r="Y28" s="49"/>
      <c r="Z28" s="49"/>
      <c r="AA28" s="49"/>
      <c r="AB28" s="50"/>
      <c r="AC28" s="49"/>
      <c r="AD28" s="49"/>
      <c r="AE28" s="49"/>
      <c r="AF28" s="49"/>
      <c r="AG28" s="49"/>
      <c r="AH28" s="44"/>
      <c r="AI28" s="49"/>
      <c r="AJ28" s="49"/>
      <c r="AK28" s="49"/>
      <c r="AL28" s="49"/>
      <c r="AM28" s="49"/>
      <c r="AN28" s="50"/>
      <c r="AO28" s="49"/>
      <c r="AP28" s="49"/>
      <c r="AQ28" s="49"/>
      <c r="AR28" s="5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3" t="s">
        <v>1793</v>
      </c>
      <c r="E29" s="17">
        <v>15</v>
      </c>
      <c r="F29" s="17">
        <v>10</v>
      </c>
      <c r="G29" s="17">
        <v>10</v>
      </c>
      <c r="H29" s="17">
        <v>10</v>
      </c>
      <c r="I29" s="17">
        <v>8.5</v>
      </c>
      <c r="J29" s="21">
        <v>7.5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57"/>
      <c r="X29" s="48"/>
      <c r="Y29" s="49"/>
      <c r="Z29" s="49"/>
      <c r="AA29" s="49"/>
      <c r="AB29" s="50"/>
      <c r="AC29" s="49"/>
      <c r="AD29" s="49"/>
      <c r="AE29" s="49"/>
      <c r="AF29" s="49"/>
      <c r="AG29" s="49"/>
      <c r="AH29" s="44"/>
      <c r="AI29" s="49"/>
      <c r="AJ29" s="49"/>
      <c r="AK29" s="49"/>
      <c r="AL29" s="49"/>
      <c r="AM29" s="49"/>
      <c r="AN29" s="50"/>
      <c r="AO29" s="49"/>
      <c r="AP29" s="49"/>
      <c r="AQ29" s="49"/>
      <c r="AR29" s="5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3" t="s">
        <v>1869</v>
      </c>
      <c r="E30" s="17">
        <v>0</v>
      </c>
      <c r="F30" s="17">
        <v>88.91</v>
      </c>
      <c r="G30" s="17">
        <v>89.49</v>
      </c>
      <c r="H30" s="17">
        <v>90.82</v>
      </c>
      <c r="I30" s="17">
        <v>88.41</v>
      </c>
      <c r="J30" s="21">
        <v>89.55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57"/>
      <c r="X30" s="48"/>
      <c r="Y30" s="49"/>
      <c r="Z30" s="49"/>
      <c r="AA30" s="49"/>
      <c r="AB30" s="50"/>
      <c r="AC30" s="49"/>
      <c r="AD30" s="49"/>
      <c r="AE30" s="49"/>
      <c r="AF30" s="49"/>
      <c r="AG30" s="49"/>
      <c r="AH30" s="44"/>
      <c r="AI30" s="49"/>
      <c r="AJ30" s="49"/>
      <c r="AK30" s="49"/>
      <c r="AL30" s="49"/>
      <c r="AM30" s="49"/>
      <c r="AN30" s="50"/>
      <c r="AO30" s="49"/>
      <c r="AP30" s="49"/>
      <c r="AQ30" s="49"/>
      <c r="AR30" s="5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3" t="s">
        <v>1794</v>
      </c>
      <c r="E31" s="17">
        <v>0.04</v>
      </c>
      <c r="F31" s="17">
        <v>0.03</v>
      </c>
      <c r="G31" s="17">
        <v>0.04</v>
      </c>
      <c r="H31" s="17">
        <v>0.06</v>
      </c>
      <c r="I31" s="17">
        <v>0.06</v>
      </c>
      <c r="J31" s="21">
        <v>0.17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57"/>
      <c r="X31" s="48"/>
      <c r="Y31" s="49"/>
      <c r="Z31" s="49"/>
      <c r="AA31" s="49"/>
      <c r="AB31" s="50"/>
      <c r="AC31" s="49"/>
      <c r="AD31" s="49"/>
      <c r="AE31" s="49"/>
      <c r="AF31" s="49"/>
      <c r="AG31" s="49"/>
      <c r="AH31" s="44"/>
      <c r="AI31" s="49"/>
      <c r="AJ31" s="49"/>
      <c r="AK31" s="49"/>
      <c r="AL31" s="49"/>
      <c r="AM31" s="49"/>
      <c r="AN31" s="50"/>
      <c r="AO31" s="49"/>
      <c r="AP31" s="49"/>
      <c r="AQ31" s="49"/>
      <c r="AR31" s="5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3" t="s">
        <v>1870</v>
      </c>
      <c r="E32" s="17">
        <v>13.78</v>
      </c>
      <c r="F32" s="17">
        <v>15.19</v>
      </c>
      <c r="G32" s="17">
        <v>14.03</v>
      </c>
      <c r="H32" s="17">
        <v>9.9600000000000009</v>
      </c>
      <c r="I32" s="17">
        <v>9.1</v>
      </c>
      <c r="J32" s="21">
        <v>4.12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57"/>
      <c r="X32" s="48"/>
      <c r="Y32" s="49"/>
      <c r="Z32" s="49"/>
      <c r="AA32" s="49"/>
      <c r="AB32" s="50"/>
      <c r="AC32" s="49"/>
      <c r="AD32" s="49"/>
      <c r="AE32" s="49"/>
      <c r="AF32" s="49"/>
      <c r="AG32" s="49"/>
      <c r="AH32" s="44"/>
      <c r="AI32" s="49"/>
      <c r="AJ32" s="49"/>
      <c r="AK32" s="49"/>
      <c r="AL32" s="49"/>
      <c r="AM32" s="49"/>
      <c r="AN32" s="50"/>
      <c r="AO32" s="49"/>
      <c r="AP32" s="49"/>
      <c r="AQ32" s="49"/>
      <c r="AR32" s="5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3" t="s">
        <v>1871</v>
      </c>
      <c r="E33" s="17">
        <v>2.7</v>
      </c>
      <c r="F33" s="17">
        <v>2.5</v>
      </c>
      <c r="G33" s="17">
        <v>2.67</v>
      </c>
      <c r="H33" s="17">
        <v>1.97</v>
      </c>
      <c r="I33" s="17">
        <v>1.39</v>
      </c>
      <c r="J33" s="21">
        <v>0.67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57"/>
      <c r="X33" s="48"/>
      <c r="Y33" s="49"/>
      <c r="Z33" s="49"/>
      <c r="AA33" s="49"/>
      <c r="AB33" s="50"/>
      <c r="AC33" s="49"/>
      <c r="AD33" s="49"/>
      <c r="AE33" s="49"/>
      <c r="AF33" s="49"/>
      <c r="AG33" s="49"/>
      <c r="AH33" s="44"/>
      <c r="AI33" s="49"/>
      <c r="AJ33" s="49"/>
      <c r="AK33" s="49"/>
      <c r="AL33" s="49"/>
      <c r="AM33" s="49"/>
      <c r="AN33" s="50"/>
      <c r="AO33" s="49"/>
      <c r="AP33" s="49"/>
      <c r="AQ33" s="49"/>
      <c r="AR33" s="5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3" t="s">
        <v>1872</v>
      </c>
      <c r="E34" s="17">
        <v>9.15</v>
      </c>
      <c r="F34" s="17">
        <v>8.1999999999999993</v>
      </c>
      <c r="G34" s="17">
        <v>7.32</v>
      </c>
      <c r="H34" s="17">
        <v>6.56</v>
      </c>
      <c r="I34" s="17">
        <v>7.31</v>
      </c>
      <c r="J34" s="17">
        <v>6.3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57"/>
      <c r="X34" s="48"/>
      <c r="Y34" s="49"/>
      <c r="Z34" s="49"/>
      <c r="AA34" s="49"/>
      <c r="AB34" s="50"/>
      <c r="AC34" s="49"/>
      <c r="AD34" s="49"/>
      <c r="AE34" s="49"/>
      <c r="AF34" s="49"/>
      <c r="AG34" s="49"/>
      <c r="AH34" s="44"/>
      <c r="AI34" s="49"/>
      <c r="AJ34" s="49"/>
      <c r="AK34" s="49"/>
      <c r="AL34" s="49"/>
      <c r="AM34" s="49"/>
      <c r="AN34" s="50"/>
      <c r="AO34" s="49"/>
      <c r="AP34" s="49"/>
      <c r="AQ34" s="49"/>
      <c r="AR34" s="5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3" t="s">
        <v>1873</v>
      </c>
      <c r="E35" s="17">
        <v>2.71</v>
      </c>
      <c r="F35" s="17">
        <v>2.5</v>
      </c>
      <c r="G35" s="17">
        <v>2.62</v>
      </c>
      <c r="H35" s="17">
        <v>1.86</v>
      </c>
      <c r="I35" s="17">
        <v>1.31</v>
      </c>
      <c r="J35" s="17">
        <v>0.54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57"/>
      <c r="X35" s="48"/>
      <c r="Y35" s="49"/>
      <c r="Z35" s="49"/>
      <c r="AA35" s="49"/>
      <c r="AB35" s="50"/>
      <c r="AC35" s="49"/>
      <c r="AD35" s="49"/>
      <c r="AE35" s="49"/>
      <c r="AF35" s="49"/>
      <c r="AG35" s="49"/>
      <c r="AH35" s="44"/>
      <c r="AI35" s="49"/>
      <c r="AJ35" s="49"/>
      <c r="AK35" s="49"/>
      <c r="AL35" s="49"/>
      <c r="AM35" s="49"/>
      <c r="AN35" s="50"/>
      <c r="AO35" s="49"/>
      <c r="AP35" s="49"/>
      <c r="AQ35" s="49"/>
      <c r="AR35" s="5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3" t="s">
        <v>1795</v>
      </c>
      <c r="E36" s="17">
        <v>10.94</v>
      </c>
      <c r="F36" s="17">
        <v>8.6999999999999993</v>
      </c>
      <c r="G36" s="17">
        <v>10.58</v>
      </c>
      <c r="H36" s="17">
        <v>11.18</v>
      </c>
      <c r="I36" s="17">
        <v>8.5</v>
      </c>
      <c r="J36" s="17">
        <v>8.99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57"/>
      <c r="X36" s="48"/>
      <c r="Y36" s="49"/>
      <c r="Z36" s="49"/>
      <c r="AA36" s="49"/>
      <c r="AB36" s="50"/>
      <c r="AC36" s="49"/>
      <c r="AD36" s="49"/>
      <c r="AE36" s="49"/>
      <c r="AF36" s="49"/>
      <c r="AG36" s="49"/>
      <c r="AH36" s="44"/>
      <c r="AI36" s="49"/>
      <c r="AJ36" s="49"/>
      <c r="AK36" s="49"/>
      <c r="AL36" s="49"/>
      <c r="AM36" s="49"/>
      <c r="AN36" s="50"/>
      <c r="AO36" s="49"/>
      <c r="AP36" s="49"/>
      <c r="AQ36" s="49"/>
      <c r="AR36" s="5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3" t="s">
        <v>1796</v>
      </c>
      <c r="E37" s="17">
        <v>144.41999999999999</v>
      </c>
      <c r="F37" s="17">
        <v>91.11</v>
      </c>
      <c r="G37" s="17">
        <v>96.13</v>
      </c>
      <c r="H37" s="17">
        <v>92.47</v>
      </c>
      <c r="I37" s="17">
        <v>73.25</v>
      </c>
      <c r="J37" s="17">
        <v>71.69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57"/>
      <c r="X37" s="48"/>
      <c r="Y37" s="49"/>
      <c r="Z37" s="49"/>
      <c r="AA37" s="49"/>
      <c r="AB37" s="50"/>
      <c r="AC37" s="49"/>
      <c r="AD37" s="49"/>
      <c r="AE37" s="49"/>
      <c r="AF37" s="49"/>
      <c r="AG37" s="49"/>
      <c r="AH37" s="44"/>
      <c r="AI37" s="49"/>
      <c r="AJ37" s="49"/>
      <c r="AK37" s="49"/>
      <c r="AL37" s="49"/>
      <c r="AM37" s="49"/>
      <c r="AN37" s="50"/>
      <c r="AO37" s="49"/>
      <c r="AP37" s="49"/>
      <c r="AQ37" s="49"/>
      <c r="AR37" s="5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3" t="s">
        <v>1874</v>
      </c>
      <c r="E38" s="17">
        <v>19.600000000000001</v>
      </c>
      <c r="F38" s="17">
        <v>16.440000000000001</v>
      </c>
      <c r="G38" s="17">
        <v>19.02</v>
      </c>
      <c r="H38" s="17">
        <v>19.77</v>
      </c>
      <c r="I38" s="17">
        <v>15.3</v>
      </c>
      <c r="J38" s="17">
        <v>16.18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57"/>
      <c r="X38" s="48"/>
      <c r="Y38" s="49"/>
      <c r="Z38" s="49"/>
      <c r="AA38" s="49"/>
      <c r="AB38" s="50"/>
      <c r="AC38" s="49"/>
      <c r="AD38" s="49"/>
      <c r="AE38" s="49"/>
      <c r="AF38" s="49"/>
      <c r="AG38" s="49"/>
      <c r="AH38" s="44"/>
      <c r="AI38" s="49"/>
      <c r="AJ38" s="49"/>
      <c r="AK38" s="49"/>
      <c r="AL38" s="49"/>
      <c r="AM38" s="49"/>
      <c r="AN38" s="50"/>
      <c r="AO38" s="49"/>
      <c r="AP38" s="49"/>
      <c r="AQ38" s="49"/>
      <c r="AR38" s="5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3" t="s">
        <v>1875</v>
      </c>
      <c r="E39" s="17">
        <v>258.61</v>
      </c>
      <c r="F39" s="17">
        <v>172.15</v>
      </c>
      <c r="G39" s="17">
        <v>172.73</v>
      </c>
      <c r="H39" s="17">
        <v>163.51</v>
      </c>
      <c r="I39" s="17">
        <v>131.75</v>
      </c>
      <c r="J39" s="17">
        <v>128.96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57"/>
      <c r="X39" s="48"/>
      <c r="Y39" s="49"/>
      <c r="Z39" s="49"/>
      <c r="AA39" s="49"/>
      <c r="AB39" s="50"/>
      <c r="AC39" s="49"/>
      <c r="AD39" s="49"/>
      <c r="AE39" s="49"/>
      <c r="AF39" s="49"/>
      <c r="AG39" s="49"/>
      <c r="AH39" s="44"/>
      <c r="AI39" s="49"/>
      <c r="AJ39" s="49"/>
      <c r="AK39" s="49"/>
      <c r="AL39" s="49"/>
      <c r="AM39" s="49"/>
      <c r="AN39" s="50"/>
      <c r="AO39" s="49"/>
      <c r="AP39" s="49"/>
      <c r="AQ39" s="49"/>
      <c r="AR39" s="5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3" t="s">
        <v>1876</v>
      </c>
      <c r="E40" s="17">
        <v>16.739999999999998</v>
      </c>
      <c r="F40" s="17">
        <v>13.07</v>
      </c>
      <c r="G40" s="17">
        <v>15.64</v>
      </c>
      <c r="H40" s="17">
        <v>17.239999999999998</v>
      </c>
      <c r="I40" s="17">
        <v>13.13</v>
      </c>
      <c r="J40" s="17">
        <v>13.88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57"/>
      <c r="X40" s="48"/>
      <c r="Y40" s="49"/>
      <c r="Z40" s="49"/>
      <c r="AA40" s="49"/>
      <c r="AB40" s="50"/>
      <c r="AC40" s="49"/>
      <c r="AD40" s="49"/>
      <c r="AE40" s="49"/>
      <c r="AF40" s="49"/>
      <c r="AG40" s="49"/>
      <c r="AH40" s="44"/>
      <c r="AI40" s="49"/>
      <c r="AJ40" s="49"/>
      <c r="AK40" s="49"/>
      <c r="AL40" s="49"/>
      <c r="AM40" s="49"/>
      <c r="AN40" s="50"/>
      <c r="AO40" s="49"/>
      <c r="AP40" s="49"/>
      <c r="AQ40" s="49"/>
      <c r="AR40" s="5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3" t="s">
        <v>1877</v>
      </c>
      <c r="E41" s="17">
        <v>220.88</v>
      </c>
      <c r="F41" s="17">
        <v>136.84</v>
      </c>
      <c r="G41" s="17">
        <v>142.03</v>
      </c>
      <c r="H41" s="17">
        <v>142.63999999999999</v>
      </c>
      <c r="I41" s="17">
        <v>113.12</v>
      </c>
      <c r="J41" s="17">
        <v>110.69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57"/>
      <c r="X41" s="48"/>
      <c r="Y41" s="49"/>
      <c r="Z41" s="49"/>
      <c r="AA41" s="49"/>
      <c r="AB41" s="50"/>
      <c r="AC41" s="49"/>
      <c r="AD41" s="49"/>
      <c r="AE41" s="49"/>
      <c r="AF41" s="49"/>
      <c r="AG41" s="49"/>
      <c r="AH41" s="44"/>
      <c r="AI41" s="49"/>
      <c r="AJ41" s="49"/>
      <c r="AK41" s="49"/>
      <c r="AL41" s="49"/>
      <c r="AM41" s="49"/>
      <c r="AN41" s="50"/>
      <c r="AO41" s="49"/>
      <c r="AP41" s="49"/>
      <c r="AQ41" s="49"/>
      <c r="AR41" s="5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3" t="s">
        <v>1878</v>
      </c>
      <c r="E42" s="17">
        <v>16.64</v>
      </c>
      <c r="F42" s="17">
        <v>12.78</v>
      </c>
      <c r="G42" s="17">
        <v>14.86</v>
      </c>
      <c r="H42" s="17">
        <v>16.3</v>
      </c>
      <c r="I42" s="17">
        <v>12.21</v>
      </c>
      <c r="J42" s="17">
        <v>12.55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57"/>
      <c r="X42" s="48"/>
      <c r="Y42" s="49"/>
      <c r="Z42" s="49"/>
      <c r="AA42" s="49"/>
      <c r="AB42" s="50"/>
      <c r="AC42" s="49"/>
      <c r="AD42" s="49"/>
      <c r="AE42" s="49"/>
      <c r="AF42" s="49"/>
      <c r="AG42" s="49"/>
      <c r="AH42" s="44"/>
      <c r="AI42" s="49"/>
      <c r="AJ42" s="49"/>
      <c r="AK42" s="49"/>
      <c r="AL42" s="49"/>
      <c r="AM42" s="49"/>
      <c r="AN42" s="50"/>
      <c r="AO42" s="49"/>
      <c r="AP42" s="49"/>
      <c r="AQ42" s="49"/>
      <c r="AR42" s="5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3" t="s">
        <v>1879</v>
      </c>
      <c r="E43" s="17">
        <v>219.64</v>
      </c>
      <c r="F43" s="17">
        <v>133.84</v>
      </c>
      <c r="G43" s="17">
        <v>134.94999999999999</v>
      </c>
      <c r="H43" s="17">
        <v>134.84</v>
      </c>
      <c r="I43" s="17">
        <v>105.16</v>
      </c>
      <c r="J43" s="17">
        <v>100.1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57"/>
      <c r="X43" s="48"/>
      <c r="Y43" s="49"/>
      <c r="Z43" s="49"/>
      <c r="AA43" s="49"/>
      <c r="AB43" s="50"/>
      <c r="AC43" s="49"/>
      <c r="AD43" s="49"/>
      <c r="AE43" s="49"/>
      <c r="AF43" s="49"/>
      <c r="AG43" s="49"/>
      <c r="AH43" s="44"/>
      <c r="AI43" s="49"/>
      <c r="AJ43" s="49"/>
      <c r="AK43" s="49"/>
      <c r="AL43" s="49"/>
      <c r="AM43" s="49"/>
      <c r="AN43" s="50"/>
      <c r="AO43" s="49"/>
      <c r="AP43" s="49"/>
      <c r="AQ43" s="49"/>
      <c r="AR43" s="5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3" t="s">
        <v>1880</v>
      </c>
      <c r="E44" s="17">
        <v>4</v>
      </c>
      <c r="F44" s="17">
        <v>3.54</v>
      </c>
      <c r="G44" s="17">
        <v>3.68</v>
      </c>
      <c r="H44" s="17">
        <v>2.87</v>
      </c>
      <c r="I44" s="17">
        <v>3.29</v>
      </c>
      <c r="J44" s="17">
        <v>1.53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57"/>
      <c r="X44" s="48"/>
      <c r="Y44" s="49"/>
      <c r="Z44" s="49"/>
      <c r="AA44" s="49"/>
      <c r="AB44" s="50"/>
      <c r="AC44" s="49"/>
      <c r="AD44" s="49"/>
      <c r="AE44" s="49"/>
      <c r="AF44" s="49"/>
      <c r="AG44" s="49"/>
      <c r="AH44" s="44"/>
      <c r="AI44" s="49"/>
      <c r="AJ44" s="49"/>
      <c r="AK44" s="49"/>
      <c r="AL44" s="49"/>
      <c r="AM44" s="49"/>
      <c r="AN44" s="50"/>
      <c r="AO44" s="49"/>
      <c r="AP44" s="49"/>
      <c r="AQ44" s="49"/>
      <c r="AR44" s="5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3" t="s">
        <v>1881</v>
      </c>
      <c r="E45" s="17">
        <v>2.71</v>
      </c>
      <c r="F45" s="17">
        <v>2.5</v>
      </c>
      <c r="G45" s="17">
        <v>2.62</v>
      </c>
      <c r="H45" s="17">
        <v>1.86</v>
      </c>
      <c r="I45" s="17">
        <v>1.31</v>
      </c>
      <c r="J45" s="17">
        <v>0.54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57"/>
      <c r="X45" s="48"/>
      <c r="Y45" s="49"/>
      <c r="Z45" s="49"/>
      <c r="AA45" s="49"/>
      <c r="AB45" s="50"/>
      <c r="AC45" s="49"/>
      <c r="AD45" s="49"/>
      <c r="AE45" s="49"/>
      <c r="AF45" s="49"/>
      <c r="AG45" s="49"/>
      <c r="AH45" s="44"/>
      <c r="AI45" s="49"/>
      <c r="AJ45" s="49"/>
      <c r="AK45" s="49"/>
      <c r="AL45" s="49"/>
      <c r="AM45" s="49"/>
      <c r="AN45" s="50"/>
      <c r="AO45" s="49"/>
      <c r="AP45" s="49"/>
      <c r="AQ45" s="49"/>
      <c r="AR45" s="5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3" t="s">
        <v>1882</v>
      </c>
      <c r="E46" s="17">
        <v>2.1800000000000002</v>
      </c>
      <c r="F46" s="17">
        <v>1.62</v>
      </c>
      <c r="G46" s="17">
        <v>1.19</v>
      </c>
      <c r="H46" s="17">
        <v>0.87</v>
      </c>
      <c r="I46" s="17">
        <v>0.96</v>
      </c>
      <c r="J46" s="17">
        <v>0.88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57"/>
      <c r="X46" s="48"/>
      <c r="Y46" s="49"/>
      <c r="Z46" s="49"/>
      <c r="AA46" s="49"/>
      <c r="AB46" s="50"/>
      <c r="AC46" s="49"/>
      <c r="AD46" s="49"/>
      <c r="AE46" s="49"/>
      <c r="AF46" s="49"/>
      <c r="AG46" s="49"/>
      <c r="AH46" s="44"/>
      <c r="AI46" s="49"/>
      <c r="AJ46" s="49"/>
      <c r="AK46" s="49"/>
      <c r="AL46" s="49"/>
      <c r="AM46" s="49"/>
      <c r="AN46" s="50"/>
      <c r="AO46" s="49"/>
      <c r="AP46" s="49"/>
      <c r="AQ46" s="49"/>
      <c r="AR46" s="5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3" t="s">
        <v>1797</v>
      </c>
      <c r="E47" s="17">
        <v>0</v>
      </c>
      <c r="F47" s="17">
        <v>88.9</v>
      </c>
      <c r="G47" s="17">
        <v>89.48</v>
      </c>
      <c r="H47" s="17">
        <v>90.81</v>
      </c>
      <c r="I47" s="17">
        <v>88.4</v>
      </c>
      <c r="J47" s="17">
        <v>89.54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57"/>
      <c r="X47" s="48"/>
      <c r="Y47" s="49"/>
      <c r="Z47" s="49"/>
      <c r="AA47" s="49"/>
      <c r="AB47" s="50"/>
      <c r="AC47" s="49"/>
      <c r="AD47" s="49"/>
      <c r="AE47" s="49"/>
      <c r="AF47" s="49"/>
      <c r="AG47" s="49"/>
      <c r="AH47" s="44"/>
      <c r="AI47" s="49"/>
      <c r="AJ47" s="49"/>
      <c r="AK47" s="49"/>
      <c r="AL47" s="49"/>
      <c r="AM47" s="49"/>
      <c r="AN47" s="50"/>
      <c r="AO47" s="49"/>
      <c r="AP47" s="49"/>
      <c r="AQ47" s="49"/>
      <c r="AR47" s="5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3" t="s">
        <v>1798</v>
      </c>
      <c r="E48" s="17">
        <v>12.81</v>
      </c>
      <c r="F48" s="17">
        <v>9.26</v>
      </c>
      <c r="G48" s="17">
        <v>10.89</v>
      </c>
      <c r="H48" s="17">
        <v>11.51</v>
      </c>
      <c r="I48" s="17">
        <v>12.34</v>
      </c>
      <c r="J48" s="17">
        <v>11.99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57"/>
      <c r="X48" s="48"/>
      <c r="Y48" s="49"/>
      <c r="Z48" s="49"/>
      <c r="AA48" s="49"/>
      <c r="AB48" s="50"/>
      <c r="AC48" s="49"/>
      <c r="AD48" s="49"/>
      <c r="AE48" s="49"/>
      <c r="AF48" s="49"/>
      <c r="AG48" s="49"/>
      <c r="AH48" s="44"/>
      <c r="AI48" s="49"/>
      <c r="AJ48" s="49"/>
      <c r="AK48" s="49"/>
      <c r="AL48" s="49"/>
      <c r="AM48" s="49"/>
      <c r="AN48" s="50"/>
      <c r="AO48" s="49"/>
      <c r="AP48" s="49"/>
      <c r="AQ48" s="49"/>
      <c r="AR48" s="5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3" t="s">
        <v>1883</v>
      </c>
      <c r="E49" s="17">
        <v>23.28</v>
      </c>
      <c r="F49" s="17">
        <v>11.44</v>
      </c>
      <c r="G49" s="17">
        <v>13.83</v>
      </c>
      <c r="H49" s="17">
        <v>15.98</v>
      </c>
      <c r="I49" s="17">
        <v>18.899999999999999</v>
      </c>
      <c r="J49" s="17">
        <v>19.420000000000002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57"/>
      <c r="X49" s="48"/>
      <c r="Y49" s="49"/>
      <c r="Z49" s="49"/>
      <c r="AA49" s="49"/>
      <c r="AB49" s="50"/>
      <c r="AC49" s="49"/>
      <c r="AD49" s="49"/>
      <c r="AE49" s="49"/>
      <c r="AF49" s="49"/>
      <c r="AG49" s="49"/>
      <c r="AH49" s="44"/>
      <c r="AI49" s="49"/>
      <c r="AJ49" s="49"/>
      <c r="AK49" s="49"/>
      <c r="AL49" s="49"/>
      <c r="AM49" s="49"/>
      <c r="AN49" s="50"/>
      <c r="AO49" s="49"/>
      <c r="AP49" s="49"/>
      <c r="AQ49" s="49"/>
      <c r="AR49" s="5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3" t="s">
        <v>1799</v>
      </c>
      <c r="E50" s="17">
        <v>16.170000000000002</v>
      </c>
      <c r="F50" s="17">
        <v>12.3</v>
      </c>
      <c r="G50" s="17">
        <v>14.85</v>
      </c>
      <c r="H50" s="17">
        <v>17.23</v>
      </c>
      <c r="I50" s="17">
        <v>21.4</v>
      </c>
      <c r="J50" s="17">
        <v>25.35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57"/>
      <c r="X50" s="48"/>
      <c r="Y50" s="49"/>
      <c r="Z50" s="49"/>
      <c r="AA50" s="49"/>
      <c r="AB50" s="50"/>
      <c r="AC50" s="49"/>
      <c r="AD50" s="49"/>
      <c r="AE50" s="49"/>
      <c r="AF50" s="49"/>
      <c r="AG50" s="49"/>
      <c r="AH50" s="44"/>
      <c r="AI50" s="49"/>
      <c r="AJ50" s="49"/>
      <c r="AK50" s="49"/>
      <c r="AL50" s="49"/>
      <c r="AM50" s="49"/>
      <c r="AN50" s="50"/>
      <c r="AO50" s="49"/>
      <c r="AP50" s="49"/>
      <c r="AQ50" s="49"/>
      <c r="AR50" s="5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3" t="s">
        <v>1884</v>
      </c>
      <c r="E51" s="17">
        <v>1319.34</v>
      </c>
      <c r="F51" s="17">
        <v>1047</v>
      </c>
      <c r="G51" s="17">
        <v>907.86</v>
      </c>
      <c r="H51" s="17">
        <v>826.99</v>
      </c>
      <c r="I51" s="17">
        <v>861.07</v>
      </c>
      <c r="J51" s="17">
        <v>796.98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57"/>
      <c r="X51" s="48"/>
      <c r="Y51" s="49"/>
      <c r="Z51" s="49"/>
      <c r="AA51" s="49"/>
      <c r="AB51" s="50"/>
      <c r="AC51" s="49"/>
      <c r="AD51" s="49"/>
      <c r="AE51" s="49"/>
      <c r="AF51" s="49"/>
      <c r="AG51" s="49"/>
      <c r="AH51" s="44"/>
      <c r="AI51" s="49"/>
      <c r="AJ51" s="49"/>
      <c r="AK51" s="49"/>
      <c r="AL51" s="49"/>
      <c r="AM51" s="49"/>
      <c r="AN51" s="50"/>
      <c r="AO51" s="49"/>
      <c r="AP51" s="49"/>
      <c r="AQ51" s="49"/>
      <c r="AR51" s="5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3" t="s">
        <v>1885</v>
      </c>
      <c r="E52" s="17">
        <v>0</v>
      </c>
      <c r="F52" s="17">
        <v>0</v>
      </c>
      <c r="G52" s="17">
        <v>7.0000000000000007E-2</v>
      </c>
      <c r="H52" s="17">
        <v>0.17</v>
      </c>
      <c r="I52" s="17">
        <v>0.21</v>
      </c>
      <c r="J52" s="17">
        <v>0.35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57"/>
      <c r="X52" s="48"/>
      <c r="Y52" s="49"/>
      <c r="Z52" s="49"/>
      <c r="AA52" s="49"/>
      <c r="AB52" s="50"/>
      <c r="AC52" s="49"/>
      <c r="AD52" s="49"/>
      <c r="AE52" s="49"/>
      <c r="AF52" s="49"/>
      <c r="AG52" s="49"/>
      <c r="AH52" s="44"/>
      <c r="AI52" s="49"/>
      <c r="AJ52" s="49"/>
      <c r="AK52" s="49"/>
      <c r="AL52" s="49"/>
      <c r="AM52" s="49"/>
      <c r="AN52" s="50"/>
      <c r="AO52" s="49"/>
      <c r="AP52" s="49"/>
      <c r="AQ52" s="49"/>
      <c r="AR52" s="5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3"/>
      <c r="E53" s="17"/>
      <c r="F53" s="17"/>
      <c r="G53" s="17"/>
      <c r="H53" s="17"/>
      <c r="I53" s="17"/>
      <c r="J53" s="17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57"/>
      <c r="X53" s="48"/>
      <c r="Y53" s="49"/>
      <c r="Z53" s="49"/>
      <c r="AA53" s="49"/>
      <c r="AB53" s="50"/>
      <c r="AC53" s="49"/>
      <c r="AD53" s="49"/>
      <c r="AE53" s="49"/>
      <c r="AF53" s="49"/>
      <c r="AG53" s="49"/>
      <c r="AH53" s="44"/>
      <c r="AI53" s="49"/>
      <c r="AJ53" s="49"/>
      <c r="AK53" s="49"/>
      <c r="AL53" s="49"/>
      <c r="AM53" s="49"/>
      <c r="AN53" s="50"/>
      <c r="AO53" s="49"/>
      <c r="AP53" s="49"/>
      <c r="AQ53" s="49"/>
      <c r="AR53" s="5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3"/>
      <c r="E54" s="17"/>
      <c r="F54" s="17"/>
      <c r="G54" s="17"/>
      <c r="H54" s="17"/>
      <c r="I54" s="17"/>
      <c r="J54" s="17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57"/>
      <c r="X54" s="48"/>
      <c r="Y54" s="49"/>
      <c r="Z54" s="49"/>
      <c r="AA54" s="49"/>
      <c r="AB54" s="50"/>
      <c r="AC54" s="49"/>
      <c r="AD54" s="49"/>
      <c r="AE54" s="49"/>
      <c r="AF54" s="49"/>
      <c r="AG54" s="49"/>
      <c r="AH54" s="44"/>
      <c r="AI54" s="49"/>
      <c r="AJ54" s="49"/>
      <c r="AK54" s="49"/>
      <c r="AL54" s="49"/>
      <c r="AM54" s="49"/>
      <c r="AN54" s="50"/>
      <c r="AO54" s="49"/>
      <c r="AP54" s="49"/>
      <c r="AQ54" s="49"/>
      <c r="AR54" s="5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3"/>
      <c r="E55" s="17"/>
      <c r="F55" s="17"/>
      <c r="G55" s="17"/>
      <c r="H55" s="17"/>
      <c r="I55" s="17"/>
      <c r="J55" s="17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57"/>
      <c r="X55" s="48"/>
      <c r="Y55" s="49"/>
      <c r="Z55" s="49"/>
      <c r="AA55" s="49"/>
      <c r="AB55" s="50"/>
      <c r="AC55" s="49"/>
      <c r="AD55" s="49"/>
      <c r="AE55" s="49"/>
      <c r="AF55" s="49"/>
      <c r="AG55" s="49"/>
      <c r="AH55" s="44"/>
      <c r="AI55" s="49"/>
      <c r="AJ55" s="49"/>
      <c r="AK55" s="49"/>
      <c r="AL55" s="49"/>
      <c r="AM55" s="49"/>
      <c r="AN55" s="50"/>
      <c r="AO55" s="49"/>
      <c r="AP55" s="49"/>
      <c r="AQ55" s="49"/>
      <c r="AR55" s="5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3"/>
      <c r="E56" s="17"/>
      <c r="F56" s="17"/>
      <c r="G56" s="17"/>
      <c r="H56" s="17"/>
      <c r="I56" s="17"/>
      <c r="J56" s="17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57"/>
      <c r="X56" s="48"/>
      <c r="Y56" s="49"/>
      <c r="Z56" s="49"/>
      <c r="AA56" s="49"/>
      <c r="AB56" s="50"/>
      <c r="AC56" s="49"/>
      <c r="AD56" s="49"/>
      <c r="AE56" s="49"/>
      <c r="AF56" s="49"/>
      <c r="AG56" s="49"/>
      <c r="AH56" s="44"/>
      <c r="AI56" s="49"/>
      <c r="AJ56" s="49"/>
      <c r="AK56" s="49"/>
      <c r="AL56" s="49"/>
      <c r="AM56" s="49"/>
      <c r="AN56" s="50"/>
      <c r="AO56" s="49"/>
      <c r="AP56" s="49"/>
      <c r="AQ56" s="49"/>
      <c r="AR56" s="5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3"/>
      <c r="E57" s="17"/>
      <c r="F57" s="17"/>
      <c r="G57" s="17"/>
      <c r="H57" s="17"/>
      <c r="I57" s="17"/>
      <c r="J57" s="17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57"/>
      <c r="X57" s="48"/>
      <c r="Y57" s="49"/>
      <c r="Z57" s="49"/>
      <c r="AA57" s="49"/>
      <c r="AB57" s="50"/>
      <c r="AC57" s="49"/>
      <c r="AD57" s="49"/>
      <c r="AE57" s="49"/>
      <c r="AF57" s="49"/>
      <c r="AG57" s="49"/>
      <c r="AH57" s="44"/>
      <c r="AI57" s="49"/>
      <c r="AJ57" s="49"/>
      <c r="AK57" s="49"/>
      <c r="AL57" s="49"/>
      <c r="AM57" s="49"/>
      <c r="AN57" s="50"/>
      <c r="AO57" s="49"/>
      <c r="AP57" s="49"/>
      <c r="AQ57" s="49"/>
      <c r="AR57" s="5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3"/>
      <c r="E58" s="17"/>
      <c r="F58" s="17"/>
      <c r="G58" s="17"/>
      <c r="H58" s="17"/>
      <c r="I58" s="17"/>
      <c r="J58" s="17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57"/>
      <c r="X58" s="48"/>
      <c r="Y58" s="49"/>
      <c r="Z58" s="49"/>
      <c r="AA58" s="49"/>
      <c r="AB58" s="50"/>
      <c r="AC58" s="49"/>
      <c r="AD58" s="49"/>
      <c r="AE58" s="49"/>
      <c r="AF58" s="49"/>
      <c r="AG58" s="49"/>
      <c r="AH58" s="44"/>
      <c r="AI58" s="49"/>
      <c r="AJ58" s="49"/>
      <c r="AK58" s="49"/>
      <c r="AL58" s="49"/>
      <c r="AM58" s="49"/>
      <c r="AN58" s="50"/>
      <c r="AO58" s="49"/>
      <c r="AP58" s="49"/>
      <c r="AQ58" s="49"/>
      <c r="AR58" s="5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3"/>
      <c r="E59" s="17"/>
      <c r="F59" s="17"/>
      <c r="G59" s="17"/>
      <c r="H59" s="17"/>
      <c r="I59" s="17"/>
      <c r="J59" s="17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57"/>
      <c r="X59" s="48"/>
      <c r="Y59" s="49"/>
      <c r="Z59" s="49"/>
      <c r="AA59" s="49"/>
      <c r="AB59" s="50"/>
      <c r="AC59" s="49"/>
      <c r="AD59" s="49"/>
      <c r="AE59" s="49"/>
      <c r="AF59" s="49"/>
      <c r="AG59" s="49"/>
      <c r="AH59" s="44"/>
      <c r="AI59" s="49"/>
      <c r="AJ59" s="49"/>
      <c r="AK59" s="49"/>
      <c r="AL59" s="49"/>
      <c r="AM59" s="49"/>
      <c r="AN59" s="50"/>
      <c r="AO59" s="49"/>
      <c r="AP59" s="49"/>
      <c r="AQ59" s="49"/>
      <c r="AR59" s="5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3"/>
      <c r="E60" s="17"/>
      <c r="F60" s="17"/>
      <c r="G60" s="17"/>
      <c r="H60" s="17"/>
      <c r="I60" s="17"/>
      <c r="J60" s="17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57"/>
      <c r="X60" s="48"/>
      <c r="Y60" s="49"/>
      <c r="Z60" s="49"/>
      <c r="AA60" s="49"/>
      <c r="AB60" s="50"/>
      <c r="AC60" s="49"/>
      <c r="AD60" s="49"/>
      <c r="AE60" s="49"/>
      <c r="AF60" s="49"/>
      <c r="AG60" s="49"/>
      <c r="AH60" s="44"/>
      <c r="AI60" s="49"/>
      <c r="AJ60" s="49"/>
      <c r="AK60" s="49"/>
      <c r="AL60" s="49"/>
      <c r="AM60" s="49"/>
      <c r="AN60" s="50"/>
      <c r="AO60" s="49"/>
      <c r="AP60" s="49"/>
      <c r="AQ60" s="49"/>
      <c r="AR60" s="5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3"/>
      <c r="E61" s="17"/>
      <c r="F61" s="17"/>
      <c r="G61" s="17"/>
      <c r="H61" s="17"/>
      <c r="I61" s="17"/>
      <c r="J61" s="17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57"/>
      <c r="X61" s="48"/>
      <c r="Y61" s="49"/>
      <c r="Z61" s="49"/>
      <c r="AA61" s="49"/>
      <c r="AB61" s="50"/>
      <c r="AC61" s="49"/>
      <c r="AD61" s="49"/>
      <c r="AE61" s="49"/>
      <c r="AF61" s="49"/>
      <c r="AG61" s="49"/>
      <c r="AH61" s="44"/>
      <c r="AI61" s="49"/>
      <c r="AJ61" s="49"/>
      <c r="AK61" s="49"/>
      <c r="AL61" s="49"/>
      <c r="AM61" s="49"/>
      <c r="AN61" s="50"/>
      <c r="AO61" s="49"/>
      <c r="AP61" s="49"/>
      <c r="AQ61" s="49"/>
      <c r="AR61" s="5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3"/>
      <c r="E62" s="17"/>
      <c r="F62" s="17"/>
      <c r="G62" s="17"/>
      <c r="H62" s="17"/>
      <c r="I62" s="17"/>
      <c r="J62" s="17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57"/>
      <c r="X62" s="48"/>
      <c r="Y62" s="49"/>
      <c r="Z62" s="49"/>
      <c r="AA62" s="49"/>
      <c r="AB62" s="50"/>
      <c r="AC62" s="49"/>
      <c r="AD62" s="49"/>
      <c r="AE62" s="49"/>
      <c r="AF62" s="49"/>
      <c r="AG62" s="49"/>
      <c r="AH62" s="44"/>
      <c r="AI62" s="49"/>
      <c r="AJ62" s="49"/>
      <c r="AK62" s="49"/>
      <c r="AL62" s="49"/>
      <c r="AM62" s="49"/>
      <c r="AN62" s="50"/>
      <c r="AO62" s="49"/>
      <c r="AP62" s="49"/>
      <c r="AQ62" s="49"/>
      <c r="AR62" s="5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3"/>
      <c r="E63" s="17"/>
      <c r="F63" s="17"/>
      <c r="G63" s="17"/>
      <c r="H63" s="17"/>
      <c r="I63" s="17"/>
      <c r="J63" s="17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57"/>
      <c r="X63" s="48"/>
      <c r="Y63" s="49"/>
      <c r="Z63" s="49"/>
      <c r="AA63" s="49"/>
      <c r="AB63" s="50"/>
      <c r="AC63" s="49"/>
      <c r="AD63" s="49"/>
      <c r="AE63" s="49"/>
      <c r="AF63" s="49"/>
      <c r="AG63" s="49"/>
      <c r="AH63" s="44"/>
      <c r="AI63" s="49"/>
      <c r="AJ63" s="49"/>
      <c r="AK63" s="49"/>
      <c r="AL63" s="49"/>
      <c r="AM63" s="49"/>
      <c r="AN63" s="50"/>
      <c r="AO63" s="49"/>
      <c r="AP63" s="49"/>
      <c r="AQ63" s="49"/>
      <c r="AR63" s="5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3"/>
      <c r="E64" s="17"/>
      <c r="F64" s="17"/>
      <c r="G64" s="17"/>
      <c r="H64" s="17"/>
      <c r="I64" s="17"/>
      <c r="J64" s="17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57"/>
      <c r="X64" s="48"/>
      <c r="Y64" s="49"/>
      <c r="Z64" s="49"/>
      <c r="AA64" s="49"/>
      <c r="AB64" s="50"/>
      <c r="AC64" s="49"/>
      <c r="AD64" s="49"/>
      <c r="AE64" s="49"/>
      <c r="AF64" s="49"/>
      <c r="AG64" s="49"/>
      <c r="AH64" s="44"/>
      <c r="AI64" s="49"/>
      <c r="AJ64" s="49"/>
      <c r="AK64" s="49"/>
      <c r="AL64" s="49"/>
      <c r="AM64" s="49"/>
      <c r="AN64" s="50"/>
      <c r="AO64" s="49"/>
      <c r="AP64" s="49"/>
      <c r="AQ64" s="49"/>
      <c r="AR64" s="5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3"/>
      <c r="E65" s="17"/>
      <c r="F65" s="17"/>
      <c r="G65" s="17"/>
      <c r="H65" s="17"/>
      <c r="I65" s="17"/>
      <c r="J65" s="17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57"/>
      <c r="X65" s="48"/>
      <c r="Y65" s="49"/>
      <c r="Z65" s="49"/>
      <c r="AA65" s="49"/>
      <c r="AB65" s="50"/>
      <c r="AC65" s="49"/>
      <c r="AD65" s="49"/>
      <c r="AE65" s="49"/>
      <c r="AF65" s="49"/>
      <c r="AG65" s="49"/>
      <c r="AH65" s="44"/>
      <c r="AI65" s="49"/>
      <c r="AJ65" s="49"/>
      <c r="AK65" s="49"/>
      <c r="AL65" s="49"/>
      <c r="AM65" s="49"/>
      <c r="AN65" s="50"/>
      <c r="AO65" s="49"/>
      <c r="AP65" s="49"/>
      <c r="AQ65" s="49"/>
      <c r="AR65" s="5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3"/>
      <c r="E66" s="17"/>
      <c r="F66" s="17"/>
      <c r="G66" s="17"/>
      <c r="H66" s="17"/>
      <c r="I66" s="17"/>
      <c r="J66" s="17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57"/>
      <c r="X66" s="48"/>
      <c r="Y66" s="49"/>
      <c r="Z66" s="49"/>
      <c r="AA66" s="49"/>
      <c r="AB66" s="50"/>
      <c r="AC66" s="49"/>
      <c r="AD66" s="49"/>
      <c r="AE66" s="49"/>
      <c r="AF66" s="49"/>
      <c r="AG66" s="49"/>
      <c r="AH66" s="44"/>
      <c r="AI66" s="49"/>
      <c r="AJ66" s="49"/>
      <c r="AK66" s="49"/>
      <c r="AL66" s="49"/>
      <c r="AM66" s="49"/>
      <c r="AN66" s="50"/>
      <c r="AO66" s="49"/>
      <c r="AP66" s="49"/>
      <c r="AQ66" s="49"/>
      <c r="AR66" s="5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3"/>
      <c r="E67" s="17"/>
      <c r="F67" s="17"/>
      <c r="G67" s="17"/>
      <c r="H67" s="17"/>
      <c r="I67" s="17"/>
      <c r="J67" s="17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57"/>
      <c r="X67" s="48"/>
      <c r="Y67" s="49"/>
      <c r="Z67" s="49"/>
      <c r="AA67" s="49"/>
      <c r="AB67" s="50"/>
      <c r="AC67" s="49"/>
      <c r="AD67" s="49"/>
      <c r="AE67" s="49"/>
      <c r="AF67" s="49"/>
      <c r="AG67" s="49"/>
      <c r="AH67" s="44"/>
      <c r="AI67" s="49"/>
      <c r="AJ67" s="49"/>
      <c r="AK67" s="49"/>
      <c r="AL67" s="49"/>
      <c r="AM67" s="49"/>
      <c r="AN67" s="50"/>
      <c r="AO67" s="49"/>
      <c r="AP67" s="49"/>
      <c r="AQ67" s="49"/>
      <c r="AR67" s="5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3"/>
      <c r="E68" s="17"/>
      <c r="F68" s="17"/>
      <c r="G68" s="17"/>
      <c r="H68" s="17"/>
      <c r="I68" s="17"/>
      <c r="J68" s="17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57"/>
      <c r="X68" s="48"/>
      <c r="Y68" s="49"/>
      <c r="Z68" s="49"/>
      <c r="AA68" s="49"/>
      <c r="AB68" s="50"/>
      <c r="AC68" s="49"/>
      <c r="AD68" s="49"/>
      <c r="AE68" s="49"/>
      <c r="AF68" s="49"/>
      <c r="AG68" s="49"/>
      <c r="AH68" s="44"/>
      <c r="AI68" s="49"/>
      <c r="AJ68" s="49"/>
      <c r="AK68" s="49"/>
      <c r="AL68" s="49"/>
      <c r="AM68" s="49"/>
      <c r="AN68" s="50"/>
      <c r="AO68" s="49"/>
      <c r="AP68" s="49"/>
      <c r="AQ68" s="49"/>
      <c r="AR68" s="5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3"/>
      <c r="E69" s="17"/>
      <c r="F69" s="17"/>
      <c r="G69" s="17"/>
      <c r="H69" s="17"/>
      <c r="I69" s="17"/>
      <c r="J69" s="17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57"/>
      <c r="X69" s="48"/>
      <c r="Y69" s="49"/>
      <c r="Z69" s="49"/>
      <c r="AA69" s="49"/>
      <c r="AB69" s="50"/>
      <c r="AC69" s="49"/>
      <c r="AD69" s="49"/>
      <c r="AE69" s="49"/>
      <c r="AF69" s="49"/>
      <c r="AG69" s="49"/>
      <c r="AH69" s="44"/>
      <c r="AI69" s="49"/>
      <c r="AJ69" s="49"/>
      <c r="AK69" s="49"/>
      <c r="AL69" s="49"/>
      <c r="AM69" s="49"/>
      <c r="AN69" s="50"/>
      <c r="AO69" s="49"/>
      <c r="AP69" s="49"/>
      <c r="AQ69" s="49"/>
      <c r="AR69" s="5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3"/>
      <c r="E70" s="17"/>
      <c r="F70" s="17"/>
      <c r="G70" s="17"/>
      <c r="H70" s="17"/>
      <c r="I70" s="17"/>
      <c r="J70" s="17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57"/>
      <c r="X70" s="48"/>
      <c r="Y70" s="49"/>
      <c r="Z70" s="49"/>
      <c r="AA70" s="49"/>
      <c r="AB70" s="50"/>
      <c r="AC70" s="49"/>
      <c r="AD70" s="49"/>
      <c r="AE70" s="49"/>
      <c r="AF70" s="49"/>
      <c r="AG70" s="49"/>
      <c r="AH70" s="44"/>
      <c r="AI70" s="49"/>
      <c r="AJ70" s="49"/>
      <c r="AK70" s="49"/>
      <c r="AL70" s="49"/>
      <c r="AM70" s="49"/>
      <c r="AN70" s="50"/>
      <c r="AO70" s="49"/>
      <c r="AP70" s="49"/>
      <c r="AQ70" s="49"/>
      <c r="AR70" s="5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3"/>
      <c r="E71" s="17"/>
      <c r="F71" s="17"/>
      <c r="G71" s="17"/>
      <c r="H71" s="17"/>
      <c r="I71" s="17"/>
      <c r="J71" s="17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57"/>
      <c r="X71" s="48"/>
      <c r="Y71" s="49"/>
      <c r="Z71" s="49"/>
      <c r="AA71" s="49"/>
      <c r="AB71" s="50"/>
      <c r="AC71" s="49"/>
      <c r="AD71" s="49"/>
      <c r="AE71" s="49"/>
      <c r="AF71" s="49"/>
      <c r="AG71" s="49"/>
      <c r="AH71" s="44"/>
      <c r="AI71" s="49"/>
      <c r="AJ71" s="49"/>
      <c r="AK71" s="49"/>
      <c r="AL71" s="49"/>
      <c r="AM71" s="49"/>
      <c r="AN71" s="50"/>
      <c r="AO71" s="49"/>
      <c r="AP71" s="49"/>
      <c r="AQ71" s="49"/>
      <c r="AR71" s="5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3"/>
      <c r="E72" s="17"/>
      <c r="F72" s="17"/>
      <c r="G72" s="17"/>
      <c r="H72" s="17"/>
      <c r="I72" s="17"/>
      <c r="J72" s="17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57"/>
      <c r="X72" s="48"/>
      <c r="Y72" s="49"/>
      <c r="Z72" s="49"/>
      <c r="AA72" s="49"/>
      <c r="AB72" s="50"/>
      <c r="AC72" s="49"/>
      <c r="AD72" s="49"/>
      <c r="AE72" s="49"/>
      <c r="AF72" s="49"/>
      <c r="AG72" s="49"/>
      <c r="AH72" s="44"/>
      <c r="AI72" s="49"/>
      <c r="AJ72" s="49"/>
      <c r="AK72" s="49"/>
      <c r="AL72" s="49"/>
      <c r="AM72" s="49"/>
      <c r="AN72" s="50"/>
      <c r="AO72" s="49"/>
      <c r="AP72" s="49"/>
      <c r="AQ72" s="49"/>
      <c r="AR72" s="5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3"/>
      <c r="E73" s="17"/>
      <c r="F73" s="17"/>
      <c r="G73" s="17"/>
      <c r="H73" s="17"/>
      <c r="I73" s="17"/>
      <c r="J73" s="17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57"/>
      <c r="X73" s="48"/>
      <c r="Y73" s="49"/>
      <c r="Z73" s="49"/>
      <c r="AA73" s="49"/>
      <c r="AB73" s="50"/>
      <c r="AC73" s="49"/>
      <c r="AD73" s="49"/>
      <c r="AE73" s="49"/>
      <c r="AF73" s="49"/>
      <c r="AG73" s="49"/>
      <c r="AH73" s="44"/>
      <c r="AI73" s="49"/>
      <c r="AJ73" s="49"/>
      <c r="AK73" s="49"/>
      <c r="AL73" s="49"/>
      <c r="AM73" s="49"/>
      <c r="AN73" s="50"/>
      <c r="AO73" s="49"/>
      <c r="AP73" s="49"/>
      <c r="AQ73" s="49"/>
      <c r="AR73" s="5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3"/>
      <c r="E74" s="17"/>
      <c r="F74" s="17"/>
      <c r="G74" s="17"/>
      <c r="H74" s="17"/>
      <c r="I74" s="17"/>
      <c r="J74" s="17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57"/>
      <c r="X74" s="48"/>
      <c r="Y74" s="49"/>
      <c r="Z74" s="49"/>
      <c r="AA74" s="49"/>
      <c r="AB74" s="50"/>
      <c r="AC74" s="49"/>
      <c r="AD74" s="49"/>
      <c r="AE74" s="49"/>
      <c r="AF74" s="49"/>
      <c r="AG74" s="49"/>
      <c r="AH74" s="44"/>
      <c r="AI74" s="49"/>
      <c r="AJ74" s="49"/>
      <c r="AK74" s="49"/>
      <c r="AL74" s="49"/>
      <c r="AM74" s="49"/>
      <c r="AN74" s="50"/>
      <c r="AO74" s="49"/>
      <c r="AP74" s="49"/>
      <c r="AQ74" s="49"/>
      <c r="AR74" s="5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3"/>
      <c r="E75" s="17"/>
      <c r="F75" s="17"/>
      <c r="G75" s="17"/>
      <c r="H75" s="17"/>
      <c r="I75" s="17"/>
      <c r="J75" s="17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58"/>
      <c r="X75" s="52"/>
      <c r="Y75" s="53"/>
      <c r="Z75" s="53"/>
      <c r="AA75" s="53"/>
      <c r="AB75" s="54"/>
      <c r="AC75" s="53"/>
      <c r="AD75" s="53"/>
      <c r="AE75" s="53"/>
      <c r="AF75" s="53"/>
      <c r="AG75" s="53"/>
      <c r="AH75" s="55"/>
      <c r="AI75" s="53"/>
      <c r="AJ75" s="53"/>
      <c r="AK75" s="53"/>
      <c r="AL75" s="53"/>
      <c r="AM75" s="53"/>
      <c r="AN75" s="54"/>
      <c r="AO75" s="53"/>
      <c r="AP75" s="53"/>
      <c r="AQ75" s="53"/>
      <c r="AR75" s="56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3"/>
      <c r="E76" s="17"/>
      <c r="F76" s="17"/>
      <c r="G76" s="17"/>
      <c r="H76" s="17"/>
      <c r="I76" s="17"/>
      <c r="J76" s="17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25"/>
      <c r="X76" s="4"/>
      <c r="Y76" s="4"/>
      <c r="Z76" s="4"/>
      <c r="AA76" s="4"/>
      <c r="AB76" s="26"/>
      <c r="AC76" s="4"/>
      <c r="AD76" s="4"/>
      <c r="AE76" s="4"/>
      <c r="AF76" s="4"/>
      <c r="AG76" s="4"/>
      <c r="AH76" s="44"/>
      <c r="AI76" s="4"/>
      <c r="AJ76" s="4"/>
      <c r="AK76" s="4"/>
      <c r="AL76" s="4"/>
      <c r="AM76" s="4"/>
      <c r="AN76" s="26"/>
      <c r="AO76" s="4"/>
      <c r="AP76" s="4"/>
      <c r="AQ76" s="4"/>
      <c r="AR76" s="4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3"/>
      <c r="E77" s="17"/>
      <c r="F77" s="17"/>
      <c r="G77" s="17"/>
      <c r="H77" s="17"/>
      <c r="I77" s="17"/>
      <c r="J77" s="17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25"/>
      <c r="X77" s="4"/>
      <c r="Y77" s="4"/>
      <c r="Z77" s="4"/>
      <c r="AA77" s="4"/>
      <c r="AB77" s="26"/>
      <c r="AC77" s="4"/>
      <c r="AD77" s="4"/>
      <c r="AE77" s="4"/>
      <c r="AF77" s="4"/>
      <c r="AG77" s="4"/>
      <c r="AH77" s="44"/>
      <c r="AI77" s="4"/>
      <c r="AJ77" s="4"/>
      <c r="AK77" s="4"/>
      <c r="AL77" s="4"/>
      <c r="AM77" s="4"/>
      <c r="AN77" s="26"/>
      <c r="AO77" s="4"/>
      <c r="AP77" s="4"/>
      <c r="AQ77" s="4"/>
      <c r="AR77" s="4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3"/>
      <c r="E78" s="17"/>
      <c r="F78" s="17"/>
      <c r="G78" s="17"/>
      <c r="H78" s="17"/>
      <c r="I78" s="17"/>
      <c r="J78" s="17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25"/>
      <c r="X78" s="4"/>
      <c r="Y78" s="4"/>
      <c r="Z78" s="4"/>
      <c r="AA78" s="4"/>
      <c r="AB78" s="26"/>
      <c r="AC78" s="4"/>
      <c r="AD78" s="4"/>
      <c r="AE78" s="4"/>
      <c r="AF78" s="4"/>
      <c r="AG78" s="4"/>
      <c r="AH78" s="44"/>
      <c r="AI78" s="4"/>
      <c r="AJ78" s="4"/>
      <c r="AK78" s="4"/>
      <c r="AL78" s="4"/>
      <c r="AM78" s="4"/>
      <c r="AN78" s="26"/>
      <c r="AO78" s="4"/>
      <c r="AP78" s="4"/>
      <c r="AQ78" s="4"/>
      <c r="AR78" s="4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3"/>
      <c r="E79" s="17"/>
      <c r="F79" s="17"/>
      <c r="G79" s="17"/>
      <c r="H79" s="17"/>
      <c r="I79" s="17"/>
      <c r="J79" s="17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25"/>
      <c r="X79" s="4"/>
      <c r="Y79" s="4"/>
      <c r="Z79" s="4"/>
      <c r="AA79" s="4"/>
      <c r="AB79" s="26"/>
      <c r="AC79" s="4"/>
      <c r="AD79" s="4"/>
      <c r="AE79" s="4"/>
      <c r="AF79" s="4"/>
      <c r="AG79" s="4"/>
      <c r="AH79" s="44"/>
      <c r="AI79" s="4"/>
      <c r="AJ79" s="4"/>
      <c r="AK79" s="4"/>
      <c r="AL79" s="4"/>
      <c r="AM79" s="4"/>
      <c r="AN79" s="26"/>
      <c r="AO79" s="4"/>
      <c r="AP79" s="4"/>
      <c r="AQ79" s="4"/>
      <c r="AR79" s="4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3"/>
      <c r="E80" s="17"/>
      <c r="F80" s="17"/>
      <c r="G80" s="17"/>
      <c r="H80" s="17"/>
      <c r="I80" s="17"/>
      <c r="J80" s="17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25"/>
      <c r="X80" s="4"/>
      <c r="Y80" s="4"/>
      <c r="Z80" s="4"/>
      <c r="AA80" s="4"/>
      <c r="AB80" s="26"/>
      <c r="AC80" s="4"/>
      <c r="AD80" s="4"/>
      <c r="AE80" s="4"/>
      <c r="AF80" s="4"/>
      <c r="AG80" s="4"/>
      <c r="AH80" s="44"/>
      <c r="AI80" s="4"/>
      <c r="AJ80" s="4"/>
      <c r="AK80" s="4"/>
      <c r="AL80" s="4"/>
      <c r="AM80" s="4"/>
      <c r="AN80" s="26"/>
      <c r="AO80" s="4"/>
      <c r="AP80" s="4"/>
      <c r="AQ80" s="4"/>
      <c r="AR80" s="4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3"/>
      <c r="E81" s="17"/>
      <c r="F81" s="17"/>
      <c r="G81" s="17"/>
      <c r="H81" s="17"/>
      <c r="I81" s="17"/>
      <c r="J81" s="17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25"/>
      <c r="X81" s="4"/>
      <c r="Y81" s="4"/>
      <c r="Z81" s="4"/>
      <c r="AA81" s="4"/>
      <c r="AB81" s="26"/>
      <c r="AC81" s="4"/>
      <c r="AD81" s="4"/>
      <c r="AE81" s="4"/>
      <c r="AF81" s="4"/>
      <c r="AG81" s="4"/>
      <c r="AH81" s="44"/>
      <c r="AI81" s="4"/>
      <c r="AJ81" s="4"/>
      <c r="AK81" s="4"/>
      <c r="AL81" s="4"/>
      <c r="AM81" s="4"/>
      <c r="AN81" s="26"/>
      <c r="AO81" s="4"/>
      <c r="AP81" s="4"/>
      <c r="AQ81" s="4"/>
      <c r="AR81" s="4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3"/>
      <c r="E82" s="17"/>
      <c r="F82" s="17"/>
      <c r="G82" s="17"/>
      <c r="H82" s="17"/>
      <c r="I82" s="17"/>
      <c r="J82" s="17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25"/>
      <c r="X82" s="4"/>
      <c r="Y82" s="4"/>
      <c r="Z82" s="4"/>
      <c r="AA82" s="4"/>
      <c r="AB82" s="26"/>
      <c r="AC82" s="4"/>
      <c r="AD82" s="4"/>
      <c r="AE82" s="4"/>
      <c r="AF82" s="4"/>
      <c r="AG82" s="4"/>
      <c r="AH82" s="44"/>
      <c r="AI82" s="4"/>
      <c r="AJ82" s="4"/>
      <c r="AK82" s="4"/>
      <c r="AL82" s="4"/>
      <c r="AM82" s="4"/>
      <c r="AN82" s="26"/>
      <c r="AO82" s="4"/>
      <c r="AP82" s="4"/>
      <c r="AQ82" s="4"/>
      <c r="AR82" s="4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3"/>
      <c r="E83" s="17"/>
      <c r="F83" s="17"/>
      <c r="G83" s="17"/>
      <c r="H83" s="17"/>
      <c r="I83" s="17"/>
      <c r="J83" s="17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25"/>
      <c r="X83" s="4"/>
      <c r="Y83" s="4"/>
      <c r="Z83" s="4"/>
      <c r="AA83" s="4"/>
      <c r="AB83" s="26"/>
      <c r="AC83" s="4"/>
      <c r="AD83" s="4"/>
      <c r="AE83" s="4"/>
      <c r="AF83" s="4"/>
      <c r="AG83" s="4"/>
      <c r="AH83" s="44"/>
      <c r="AI83" s="4"/>
      <c r="AJ83" s="4"/>
      <c r="AK83" s="4"/>
      <c r="AL83" s="4"/>
      <c r="AM83" s="4"/>
      <c r="AN83" s="26"/>
      <c r="AO83" s="4"/>
      <c r="AP83" s="4"/>
      <c r="AQ83" s="4"/>
      <c r="AR83" s="4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3"/>
      <c r="E84" s="17"/>
      <c r="F84" s="17"/>
      <c r="G84" s="17"/>
      <c r="H84" s="17"/>
      <c r="I84" s="17"/>
      <c r="J84" s="17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25"/>
      <c r="X84" s="4"/>
      <c r="Y84" s="4"/>
      <c r="Z84" s="4"/>
      <c r="AA84" s="4"/>
      <c r="AB84" s="26"/>
      <c r="AC84" s="4"/>
      <c r="AD84" s="4"/>
      <c r="AE84" s="4"/>
      <c r="AF84" s="4"/>
      <c r="AG84" s="4"/>
      <c r="AH84" s="44"/>
      <c r="AI84" s="4"/>
      <c r="AJ84" s="4"/>
      <c r="AK84" s="4"/>
      <c r="AL84" s="4"/>
      <c r="AM84" s="4"/>
      <c r="AN84" s="26"/>
      <c r="AO84" s="4"/>
      <c r="AP84" s="4"/>
      <c r="AQ84" s="4"/>
      <c r="AR84" s="4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3"/>
      <c r="E85" s="17"/>
      <c r="F85" s="17"/>
      <c r="G85" s="17"/>
      <c r="H85" s="17"/>
      <c r="I85" s="17"/>
      <c r="J85" s="17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25"/>
      <c r="X85" s="4"/>
      <c r="Y85" s="4"/>
      <c r="Z85" s="4"/>
      <c r="AA85" s="4"/>
      <c r="AB85" s="26"/>
      <c r="AC85" s="4"/>
      <c r="AD85" s="4"/>
      <c r="AE85" s="4"/>
      <c r="AF85" s="4"/>
      <c r="AG85" s="4"/>
      <c r="AH85" s="44"/>
      <c r="AI85" s="4"/>
      <c r="AJ85" s="4"/>
      <c r="AK85" s="4"/>
      <c r="AL85" s="4"/>
      <c r="AM85" s="4"/>
      <c r="AN85" s="26"/>
      <c r="AO85" s="4"/>
      <c r="AP85" s="4"/>
      <c r="AQ85" s="4"/>
      <c r="AR85" s="4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3"/>
      <c r="E86" s="17"/>
      <c r="F86" s="17"/>
      <c r="G86" s="17"/>
      <c r="H86" s="17"/>
      <c r="I86" s="17"/>
      <c r="J86" s="17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25"/>
      <c r="X86" s="4"/>
      <c r="Y86" s="4"/>
      <c r="Z86" s="4"/>
      <c r="AA86" s="4"/>
      <c r="AB86" s="26"/>
      <c r="AC86" s="4"/>
      <c r="AD86" s="4"/>
      <c r="AE86" s="4"/>
      <c r="AF86" s="4"/>
      <c r="AG86" s="4"/>
      <c r="AH86" s="44"/>
      <c r="AI86" s="4"/>
      <c r="AJ86" s="4"/>
      <c r="AK86" s="4"/>
      <c r="AL86" s="4"/>
      <c r="AM86" s="4"/>
      <c r="AN86" s="26"/>
      <c r="AO86" s="4"/>
      <c r="AP86" s="4"/>
      <c r="AQ86" s="4"/>
      <c r="AR86" s="4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3"/>
      <c r="E87" s="17"/>
      <c r="F87" s="17"/>
      <c r="G87" s="17"/>
      <c r="H87" s="17"/>
      <c r="I87" s="17"/>
      <c r="J87" s="17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25"/>
      <c r="X87" s="4"/>
      <c r="Y87" s="4"/>
      <c r="Z87" s="4"/>
      <c r="AA87" s="4"/>
      <c r="AB87" s="26"/>
      <c r="AC87" s="4"/>
      <c r="AD87" s="4"/>
      <c r="AE87" s="4"/>
      <c r="AF87" s="4"/>
      <c r="AG87" s="4"/>
      <c r="AH87" s="44"/>
      <c r="AI87" s="4"/>
      <c r="AJ87" s="4"/>
      <c r="AK87" s="4"/>
      <c r="AL87" s="4"/>
      <c r="AM87" s="4"/>
      <c r="AN87" s="26"/>
      <c r="AO87" s="4"/>
      <c r="AP87" s="4"/>
      <c r="AQ87" s="4"/>
      <c r="AR87" s="4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3"/>
      <c r="E88" s="17"/>
      <c r="F88" s="17"/>
      <c r="G88" s="17"/>
      <c r="H88" s="17"/>
      <c r="I88" s="17"/>
      <c r="J88" s="17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25"/>
      <c r="X88" s="4"/>
      <c r="Y88" s="4"/>
      <c r="Z88" s="4"/>
      <c r="AA88" s="4"/>
      <c r="AB88" s="26"/>
      <c r="AC88" s="4"/>
      <c r="AD88" s="4"/>
      <c r="AE88" s="4"/>
      <c r="AF88" s="4"/>
      <c r="AG88" s="4"/>
      <c r="AH88" s="44"/>
      <c r="AI88" s="4"/>
      <c r="AJ88" s="4"/>
      <c r="AK88" s="4"/>
      <c r="AL88" s="4"/>
      <c r="AM88" s="4"/>
      <c r="AN88" s="26"/>
      <c r="AO88" s="4"/>
      <c r="AP88" s="4"/>
      <c r="AQ88" s="4"/>
      <c r="AR88" s="4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3"/>
      <c r="E89" s="17"/>
      <c r="F89" s="17"/>
      <c r="G89" s="17"/>
      <c r="H89" s="17"/>
      <c r="I89" s="17"/>
      <c r="J89" s="17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25"/>
      <c r="X89" s="4"/>
      <c r="Y89" s="4"/>
      <c r="Z89" s="4"/>
      <c r="AA89" s="4"/>
      <c r="AB89" s="26"/>
      <c r="AC89" s="4"/>
      <c r="AD89" s="4"/>
      <c r="AE89" s="4"/>
      <c r="AF89" s="4"/>
      <c r="AG89" s="4"/>
      <c r="AH89" s="44"/>
      <c r="AI89" s="4"/>
      <c r="AJ89" s="4"/>
      <c r="AK89" s="4"/>
      <c r="AL89" s="4"/>
      <c r="AM89" s="4"/>
      <c r="AN89" s="26"/>
      <c r="AO89" s="4"/>
      <c r="AP89" s="4"/>
      <c r="AQ89" s="4"/>
      <c r="AR89" s="4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3"/>
      <c r="E90" s="17"/>
      <c r="F90" s="17"/>
      <c r="G90" s="17"/>
      <c r="H90" s="17"/>
      <c r="I90" s="17"/>
      <c r="J90" s="17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25"/>
      <c r="X90" s="4"/>
      <c r="Y90" s="4"/>
      <c r="Z90" s="4"/>
      <c r="AA90" s="4"/>
      <c r="AB90" s="26"/>
      <c r="AC90" s="4"/>
      <c r="AD90" s="4"/>
      <c r="AE90" s="4"/>
      <c r="AF90" s="4"/>
      <c r="AG90" s="4"/>
      <c r="AH90" s="44"/>
      <c r="AI90" s="4"/>
      <c r="AJ90" s="4"/>
      <c r="AK90" s="4"/>
      <c r="AL90" s="4"/>
      <c r="AM90" s="4"/>
      <c r="AN90" s="26"/>
      <c r="AO90" s="4"/>
      <c r="AP90" s="4"/>
      <c r="AQ90" s="4"/>
      <c r="AR90" s="4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3"/>
      <c r="E91" s="17"/>
      <c r="F91" s="17"/>
      <c r="G91" s="17"/>
      <c r="H91" s="17"/>
      <c r="I91" s="17"/>
      <c r="J91" s="17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25"/>
      <c r="X91" s="4"/>
      <c r="Y91" s="4"/>
      <c r="Z91" s="4"/>
      <c r="AA91" s="4"/>
      <c r="AB91" s="26"/>
      <c r="AC91" s="4"/>
      <c r="AD91" s="4"/>
      <c r="AE91" s="4"/>
      <c r="AF91" s="4"/>
      <c r="AG91" s="4"/>
      <c r="AH91" s="44"/>
      <c r="AI91" s="4"/>
      <c r="AJ91" s="4"/>
      <c r="AK91" s="4"/>
      <c r="AL91" s="4"/>
      <c r="AM91" s="4"/>
      <c r="AN91" s="26"/>
      <c r="AO91" s="4"/>
      <c r="AP91" s="4"/>
      <c r="AQ91" s="4"/>
      <c r="AR91" s="4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3"/>
      <c r="E92" s="17"/>
      <c r="F92" s="17"/>
      <c r="G92" s="17"/>
      <c r="H92" s="17"/>
      <c r="I92" s="17"/>
      <c r="J92" s="17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25"/>
      <c r="X92" s="4"/>
      <c r="Y92" s="4"/>
      <c r="Z92" s="4"/>
      <c r="AA92" s="4"/>
      <c r="AB92" s="26"/>
      <c r="AC92" s="4"/>
      <c r="AD92" s="4"/>
      <c r="AE92" s="4"/>
      <c r="AF92" s="4"/>
      <c r="AG92" s="4"/>
      <c r="AH92" s="44"/>
      <c r="AI92" s="4"/>
      <c r="AJ92" s="4"/>
      <c r="AK92" s="4"/>
      <c r="AL92" s="4"/>
      <c r="AM92" s="4"/>
      <c r="AN92" s="26"/>
      <c r="AO92" s="4"/>
      <c r="AP92" s="4"/>
      <c r="AQ92" s="4"/>
      <c r="AR92" s="4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3"/>
      <c r="E93" s="17"/>
      <c r="F93" s="17"/>
      <c r="G93" s="17"/>
      <c r="H93" s="17"/>
      <c r="I93" s="17"/>
      <c r="J93" s="17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25"/>
      <c r="X93" s="4"/>
      <c r="Y93" s="4"/>
      <c r="Z93" s="4"/>
      <c r="AA93" s="4"/>
      <c r="AB93" s="26"/>
      <c r="AC93" s="4"/>
      <c r="AD93" s="4"/>
      <c r="AE93" s="4"/>
      <c r="AF93" s="4"/>
      <c r="AG93" s="4"/>
      <c r="AH93" s="44"/>
      <c r="AI93" s="4"/>
      <c r="AJ93" s="4"/>
      <c r="AK93" s="4"/>
      <c r="AL93" s="4"/>
      <c r="AM93" s="4"/>
      <c r="AN93" s="26"/>
      <c r="AO93" s="4"/>
      <c r="AP93" s="4"/>
      <c r="AQ93" s="4"/>
      <c r="AR93" s="4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3"/>
      <c r="E94" s="17"/>
      <c r="F94" s="17"/>
      <c r="G94" s="17"/>
      <c r="H94" s="17"/>
      <c r="I94" s="17"/>
      <c r="J94" s="17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25"/>
      <c r="X94" s="4"/>
      <c r="Y94" s="4"/>
      <c r="Z94" s="4"/>
      <c r="AA94" s="4"/>
      <c r="AB94" s="26"/>
      <c r="AC94" s="4"/>
      <c r="AD94" s="4"/>
      <c r="AE94" s="4"/>
      <c r="AF94" s="4"/>
      <c r="AG94" s="4"/>
      <c r="AH94" s="44"/>
      <c r="AI94" s="4"/>
      <c r="AJ94" s="4"/>
      <c r="AK94" s="4"/>
      <c r="AL94" s="4"/>
      <c r="AM94" s="4"/>
      <c r="AN94" s="26"/>
      <c r="AO94" s="4"/>
      <c r="AP94" s="4"/>
      <c r="AQ94" s="4"/>
      <c r="AR94" s="4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3"/>
      <c r="E95" s="17"/>
      <c r="F95" s="17"/>
      <c r="G95" s="17"/>
      <c r="H95" s="17"/>
      <c r="I95" s="17"/>
      <c r="J95" s="17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25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3"/>
      <c r="E96" s="17"/>
      <c r="F96" s="17"/>
      <c r="G96" s="17"/>
      <c r="H96" s="17"/>
      <c r="I96" s="17"/>
      <c r="J96" s="17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25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2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3"/>
      <c r="E97" s="17"/>
      <c r="F97" s="17"/>
      <c r="G97" s="17"/>
      <c r="H97" s="17"/>
      <c r="I97" s="17"/>
      <c r="J97" s="17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25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2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3"/>
      <c r="E98" s="17"/>
      <c r="F98" s="17"/>
      <c r="G98" s="17"/>
      <c r="H98" s="17"/>
      <c r="I98" s="17"/>
      <c r="J98" s="17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25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2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3"/>
      <c r="E99" s="17"/>
      <c r="F99" s="17"/>
      <c r="G99" s="17"/>
      <c r="H99" s="17"/>
      <c r="I99" s="17"/>
      <c r="J99" s="17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25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2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3"/>
      <c r="E100" s="17"/>
      <c r="F100" s="17"/>
      <c r="G100" s="17"/>
      <c r="H100" s="17"/>
      <c r="I100" s="17"/>
      <c r="J100" s="17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25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2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25">
      <c r="A101" s="1"/>
      <c r="B101" s="1"/>
      <c r="C101" s="1"/>
      <c r="D101" s="13"/>
      <c r="E101" s="17"/>
      <c r="F101" s="17"/>
      <c r="G101" s="17"/>
      <c r="H101" s="17"/>
      <c r="I101" s="17"/>
      <c r="J101" s="17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25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2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25">
      <c r="A102" s="1"/>
      <c r="B102" s="1"/>
      <c r="C102" s="1"/>
      <c r="D102" s="13"/>
      <c r="E102" s="17"/>
      <c r="F102" s="17"/>
      <c r="G102" s="17"/>
      <c r="H102" s="17"/>
      <c r="I102" s="17"/>
      <c r="J102" s="17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25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2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25">
      <c r="A103" s="1"/>
      <c r="B103" s="1"/>
      <c r="C103" s="1"/>
      <c r="D103" s="13"/>
      <c r="E103" s="17"/>
      <c r="F103" s="17"/>
      <c r="G103" s="17"/>
      <c r="H103" s="17"/>
      <c r="I103" s="17"/>
      <c r="J103" s="17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25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2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25">
      <c r="A104" s="1"/>
      <c r="B104" s="1"/>
      <c r="C104" s="1"/>
      <c r="D104" s="13"/>
      <c r="E104" s="17"/>
      <c r="F104" s="17"/>
      <c r="G104" s="17"/>
      <c r="H104" s="17"/>
      <c r="I104" s="17"/>
      <c r="J104" s="17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25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2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25">
      <c r="A105" s="1"/>
      <c r="B105" s="1"/>
      <c r="C105" s="1"/>
      <c r="D105" s="13"/>
      <c r="E105" s="17"/>
      <c r="F105" s="17"/>
      <c r="G105" s="17"/>
      <c r="H105" s="17"/>
      <c r="I105" s="17"/>
      <c r="J105" s="17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25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2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25">
      <c r="A106" s="1"/>
      <c r="B106" s="1"/>
      <c r="C106" s="1"/>
      <c r="D106" s="13"/>
      <c r="E106" s="17"/>
      <c r="F106" s="17"/>
      <c r="G106" s="17"/>
      <c r="H106" s="17"/>
      <c r="I106" s="17"/>
      <c r="J106" s="17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25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2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25">
      <c r="A107" s="1"/>
      <c r="B107" s="1"/>
      <c r="C107" s="1"/>
      <c r="D107" s="13"/>
      <c r="E107" s="17"/>
      <c r="F107" s="17"/>
      <c r="G107" s="17"/>
      <c r="H107" s="17"/>
      <c r="I107" s="17"/>
      <c r="J107" s="17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25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2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25">
      <c r="A108" s="1"/>
      <c r="B108" s="1"/>
      <c r="C108" s="1"/>
      <c r="D108" s="13"/>
      <c r="E108" s="17"/>
      <c r="F108" s="17"/>
      <c r="G108" s="17"/>
      <c r="H108" s="17"/>
      <c r="I108" s="17"/>
      <c r="J108" s="17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25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2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25">
      <c r="A109" s="1"/>
      <c r="B109" s="1"/>
      <c r="C109" s="1"/>
      <c r="D109" s="13"/>
      <c r="E109" s="17"/>
      <c r="F109" s="17"/>
      <c r="G109" s="17"/>
      <c r="H109" s="17"/>
      <c r="I109" s="17"/>
      <c r="J109" s="17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25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2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25">
      <c r="A110" s="1"/>
      <c r="B110" s="1"/>
      <c r="C110" s="1"/>
      <c r="D110" s="13"/>
      <c r="E110" s="17"/>
      <c r="F110" s="17"/>
      <c r="G110" s="17"/>
      <c r="H110" s="17"/>
      <c r="I110" s="17"/>
      <c r="J110" s="17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25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2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25">
      <c r="A111" s="1"/>
      <c r="B111" s="1"/>
      <c r="C111" s="1"/>
      <c r="D111" s="13"/>
      <c r="E111" s="17"/>
      <c r="F111" s="17"/>
      <c r="G111" s="17"/>
      <c r="H111" s="17"/>
      <c r="I111" s="17"/>
      <c r="J111" s="17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25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2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25">
      <c r="A112" s="1"/>
      <c r="B112" s="1"/>
      <c r="C112" s="1"/>
      <c r="D112" s="13"/>
      <c r="E112" s="17"/>
      <c r="F112" s="17"/>
      <c r="G112" s="17"/>
      <c r="H112" s="17"/>
      <c r="I112" s="17"/>
      <c r="J112" s="17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25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2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25">
      <c r="A113" s="1"/>
      <c r="B113" s="1"/>
      <c r="C113" s="1"/>
      <c r="D113" s="13"/>
      <c r="E113" s="17"/>
      <c r="F113" s="17"/>
      <c r="G113" s="17"/>
      <c r="H113" s="17"/>
      <c r="I113" s="17"/>
      <c r="J113" s="17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25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2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25">
      <c r="A114" s="1"/>
      <c r="B114" s="1"/>
      <c r="C114" s="1"/>
      <c r="D114" s="13"/>
      <c r="E114" s="17"/>
      <c r="F114" s="17"/>
      <c r="G114" s="17"/>
      <c r="H114" s="17"/>
      <c r="I114" s="17"/>
      <c r="J114" s="17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25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2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25">
      <c r="A115" s="1"/>
      <c r="B115" s="1"/>
      <c r="C115" s="1"/>
      <c r="D115" s="13"/>
      <c r="E115" s="17"/>
      <c r="F115" s="17"/>
      <c r="G115" s="17"/>
      <c r="H115" s="17"/>
      <c r="I115" s="17"/>
      <c r="J115" s="17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25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2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25">
      <c r="A116" s="1"/>
      <c r="B116" s="1"/>
      <c r="C116" s="1"/>
      <c r="D116" s="13"/>
      <c r="E116" s="17"/>
      <c r="F116" s="17"/>
      <c r="G116" s="17"/>
      <c r="H116" s="17"/>
      <c r="I116" s="17"/>
      <c r="J116" s="17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25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2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25">
      <c r="A117" s="1"/>
      <c r="B117" s="1"/>
      <c r="C117" s="1"/>
      <c r="D117" s="13"/>
      <c r="E117" s="17"/>
      <c r="F117" s="17"/>
      <c r="G117" s="17"/>
      <c r="H117" s="17"/>
      <c r="I117" s="17"/>
      <c r="J117" s="17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25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2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25">
      <c r="A118" s="1"/>
      <c r="B118" s="1"/>
      <c r="C118" s="1"/>
      <c r="D118" s="13"/>
      <c r="E118" s="17"/>
      <c r="F118" s="17"/>
      <c r="G118" s="17"/>
      <c r="H118" s="17"/>
      <c r="I118" s="17"/>
      <c r="J118" s="17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25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2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25">
      <c r="A119" s="1"/>
      <c r="B119" s="1"/>
      <c r="C119" s="1"/>
      <c r="D119" s="13"/>
      <c r="E119" s="17"/>
      <c r="F119" s="17"/>
      <c r="G119" s="17"/>
      <c r="H119" s="17"/>
      <c r="I119" s="17"/>
      <c r="J119" s="17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25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2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25">
      <c r="A120" s="1"/>
      <c r="B120" s="1"/>
      <c r="C120" s="1"/>
      <c r="D120" s="13"/>
      <c r="E120" s="17"/>
      <c r="F120" s="17"/>
      <c r="G120" s="17"/>
      <c r="H120" s="17"/>
      <c r="I120" s="17"/>
      <c r="J120" s="17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25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2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25">
      <c r="A121" s="1"/>
      <c r="B121" s="1"/>
      <c r="C121" s="1"/>
      <c r="D121" s="13"/>
      <c r="E121" s="17"/>
      <c r="F121" s="17"/>
      <c r="G121" s="17"/>
      <c r="H121" s="17"/>
      <c r="I121" s="17"/>
      <c r="J121" s="17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25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2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25">
      <c r="A122" s="1"/>
      <c r="B122" s="1"/>
      <c r="C122" s="1"/>
      <c r="D122" s="13"/>
      <c r="E122" s="17"/>
      <c r="F122" s="17"/>
      <c r="G122" s="17"/>
      <c r="H122" s="17"/>
      <c r="I122" s="17"/>
      <c r="J122" s="17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25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2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25">
      <c r="A123" s="1"/>
      <c r="B123" s="1"/>
      <c r="C123" s="1"/>
      <c r="D123" s="13"/>
      <c r="E123" s="17"/>
      <c r="F123" s="17"/>
      <c r="G123" s="17"/>
      <c r="H123" s="17"/>
      <c r="I123" s="17"/>
      <c r="J123" s="17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25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2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25">
      <c r="A124" s="1"/>
      <c r="B124" s="1"/>
      <c r="C124" s="1"/>
      <c r="D124" s="13"/>
      <c r="E124" s="17"/>
      <c r="F124" s="17"/>
      <c r="G124" s="17"/>
      <c r="H124" s="17"/>
      <c r="I124" s="17"/>
      <c r="J124" s="17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25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2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25">
      <c r="A125" s="1"/>
      <c r="B125" s="1"/>
      <c r="C125" s="1"/>
      <c r="D125" s="13"/>
      <c r="E125" s="17"/>
      <c r="F125" s="17"/>
      <c r="G125" s="17"/>
      <c r="H125" s="17"/>
      <c r="I125" s="17"/>
      <c r="J125" s="17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25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2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25">
      <c r="A126" s="1"/>
      <c r="B126" s="1"/>
      <c r="C126" s="1"/>
      <c r="D126" s="13"/>
      <c r="E126" s="17"/>
      <c r="F126" s="17"/>
      <c r="G126" s="17"/>
      <c r="H126" s="17"/>
      <c r="I126" s="17"/>
      <c r="J126" s="17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25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2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25">
      <c r="A127" s="1"/>
      <c r="B127" s="1"/>
      <c r="C127" s="1"/>
      <c r="D127" s="13"/>
      <c r="E127" s="17"/>
      <c r="F127" s="17"/>
      <c r="G127" s="17"/>
      <c r="H127" s="17"/>
      <c r="I127" s="17"/>
      <c r="J127" s="17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25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2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25">
      <c r="A128" s="1"/>
      <c r="B128" s="1"/>
      <c r="C128" s="1"/>
      <c r="D128" s="13"/>
      <c r="E128" s="17"/>
      <c r="F128" s="17"/>
      <c r="G128" s="17"/>
      <c r="H128" s="17"/>
      <c r="I128" s="17"/>
      <c r="J128" s="17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25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2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25">
      <c r="A129" s="1"/>
      <c r="B129" s="1"/>
      <c r="C129" s="1"/>
      <c r="D129" s="13"/>
      <c r="E129" s="17"/>
      <c r="F129" s="17"/>
      <c r="G129" s="17"/>
      <c r="H129" s="17"/>
      <c r="I129" s="17"/>
      <c r="J129" s="17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25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2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25">
      <c r="A130" s="1"/>
      <c r="B130" s="1"/>
      <c r="C130" s="1"/>
      <c r="D130" s="13"/>
      <c r="E130" s="17"/>
      <c r="F130" s="17"/>
      <c r="G130" s="17"/>
      <c r="H130" s="17"/>
      <c r="I130" s="17"/>
      <c r="J130" s="17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25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2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25">
      <c r="A131" s="1"/>
      <c r="B131" s="1"/>
      <c r="C131" s="1"/>
      <c r="D131" s="13"/>
      <c r="E131" s="17"/>
      <c r="F131" s="17"/>
      <c r="G131" s="17"/>
      <c r="H131" s="17"/>
      <c r="I131" s="17"/>
      <c r="J131" s="17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25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2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25">
      <c r="A132" s="1"/>
      <c r="B132" s="1"/>
      <c r="C132" s="1"/>
      <c r="D132" s="13"/>
      <c r="E132" s="17"/>
      <c r="F132" s="17"/>
      <c r="G132" s="17"/>
      <c r="H132" s="17"/>
      <c r="I132" s="17"/>
      <c r="J132" s="17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25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2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25">
      <c r="A133" s="1"/>
      <c r="B133" s="1"/>
      <c r="C133" s="1"/>
      <c r="D133" s="13"/>
      <c r="E133" s="17"/>
      <c r="F133" s="17"/>
      <c r="G133" s="17"/>
      <c r="H133" s="17"/>
      <c r="I133" s="17"/>
      <c r="J133" s="17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25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2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25">
      <c r="A134" s="1"/>
      <c r="B134" s="1"/>
      <c r="C134" s="1"/>
      <c r="D134" s="13"/>
      <c r="E134" s="17"/>
      <c r="F134" s="17"/>
      <c r="G134" s="17"/>
      <c r="H134" s="17"/>
      <c r="I134" s="17"/>
      <c r="J134" s="17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25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2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25">
      <c r="A135" s="1"/>
      <c r="B135" s="1"/>
      <c r="C135" s="1"/>
      <c r="D135" s="13"/>
      <c r="E135" s="17"/>
      <c r="F135" s="17"/>
      <c r="G135" s="17"/>
      <c r="H135" s="17"/>
      <c r="I135" s="17"/>
      <c r="J135" s="17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25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2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25">
      <c r="A136" s="1"/>
      <c r="B136" s="1"/>
      <c r="C136" s="1"/>
      <c r="D136" s="13"/>
      <c r="E136" s="17"/>
      <c r="F136" s="17"/>
      <c r="G136" s="17"/>
      <c r="H136" s="17"/>
      <c r="I136" s="17"/>
      <c r="J136" s="17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25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2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25">
      <c r="A137" s="1"/>
      <c r="B137" s="1"/>
      <c r="C137" s="1"/>
      <c r="D137" s="13"/>
      <c r="E137" s="17"/>
      <c r="F137" s="17"/>
      <c r="G137" s="17"/>
      <c r="H137" s="17"/>
      <c r="I137" s="17"/>
      <c r="J137" s="17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25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2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25">
      <c r="A138" s="1"/>
      <c r="B138" s="1"/>
      <c r="C138" s="1"/>
      <c r="D138" s="13"/>
      <c r="E138" s="17"/>
      <c r="F138" s="17"/>
      <c r="G138" s="17"/>
      <c r="H138" s="17"/>
      <c r="I138" s="17"/>
      <c r="J138" s="17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25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2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25">
      <c r="A139" s="1"/>
      <c r="B139" s="1"/>
      <c r="C139" s="1"/>
      <c r="D139" s="13"/>
      <c r="E139" s="17"/>
      <c r="F139" s="17"/>
      <c r="G139" s="17"/>
      <c r="H139" s="17"/>
      <c r="I139" s="17"/>
      <c r="J139" s="17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25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2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25">
      <c r="A140" s="1"/>
      <c r="B140" s="1"/>
      <c r="C140" s="1"/>
      <c r="D140" s="13"/>
      <c r="E140" s="17"/>
      <c r="F140" s="17"/>
      <c r="G140" s="17"/>
      <c r="H140" s="17"/>
      <c r="I140" s="17"/>
      <c r="J140" s="17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25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2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25">
      <c r="A141" s="1"/>
      <c r="B141" s="1"/>
      <c r="C141" s="1"/>
      <c r="D141" s="13"/>
      <c r="E141" s="17"/>
      <c r="F141" s="17"/>
      <c r="G141" s="17"/>
      <c r="H141" s="17"/>
      <c r="I141" s="17"/>
      <c r="J141" s="17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25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2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25">
      <c r="A142" s="1"/>
      <c r="B142" s="1"/>
      <c r="C142" s="1"/>
      <c r="D142" s="13"/>
      <c r="E142" s="17"/>
      <c r="F142" s="17"/>
      <c r="G142" s="17"/>
      <c r="H142" s="17"/>
      <c r="I142" s="17"/>
      <c r="J142" s="17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25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2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25">
      <c r="A143" s="1"/>
      <c r="B143" s="1"/>
      <c r="C143" s="1"/>
      <c r="D143" s="13"/>
      <c r="E143" s="17"/>
      <c r="F143" s="17"/>
      <c r="G143" s="17"/>
      <c r="H143" s="17"/>
      <c r="I143" s="17"/>
      <c r="J143" s="17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25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2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25">
      <c r="A144" s="1"/>
      <c r="B144" s="1"/>
      <c r="C144" s="1"/>
      <c r="D144" s="13"/>
      <c r="E144" s="17"/>
      <c r="F144" s="17"/>
      <c r="G144" s="17"/>
      <c r="H144" s="17"/>
      <c r="I144" s="17"/>
      <c r="J144" s="17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25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2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25">
      <c r="A145" s="1"/>
      <c r="B145" s="1"/>
      <c r="C145" s="1"/>
      <c r="D145" s="13"/>
      <c r="E145" s="17"/>
      <c r="F145" s="17"/>
      <c r="G145" s="17"/>
      <c r="H145" s="17"/>
      <c r="I145" s="17"/>
      <c r="J145" s="17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25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2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25">
      <c r="A146" s="1"/>
      <c r="B146" s="1"/>
      <c r="C146" s="1"/>
      <c r="D146" s="13"/>
      <c r="E146" s="17"/>
      <c r="F146" s="17"/>
      <c r="G146" s="17"/>
      <c r="H146" s="17"/>
      <c r="I146" s="17"/>
      <c r="J146" s="17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25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2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25">
      <c r="A147" s="1"/>
      <c r="B147" s="1"/>
      <c r="C147" s="1"/>
      <c r="D147" s="13"/>
      <c r="E147" s="17"/>
      <c r="F147" s="17"/>
      <c r="G147" s="17"/>
      <c r="H147" s="17"/>
      <c r="I147" s="17"/>
      <c r="J147" s="17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25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2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25">
      <c r="A148" s="1"/>
      <c r="B148" s="1"/>
      <c r="C148" s="1"/>
      <c r="D148" s="13"/>
      <c r="E148" s="17"/>
      <c r="F148" s="17"/>
      <c r="G148" s="17"/>
      <c r="H148" s="17"/>
      <c r="I148" s="17"/>
      <c r="J148" s="17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25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2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25">
      <c r="A149" s="1"/>
      <c r="B149" s="1"/>
      <c r="C149" s="1"/>
      <c r="D149" s="13"/>
      <c r="E149" s="17"/>
      <c r="F149" s="17"/>
      <c r="G149" s="17"/>
      <c r="H149" s="17"/>
      <c r="I149" s="17"/>
      <c r="J149" s="17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25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2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25">
      <c r="A150" s="1"/>
      <c r="B150" s="1"/>
      <c r="C150" s="1"/>
      <c r="D150" s="13"/>
      <c r="E150" s="17"/>
      <c r="F150" s="17"/>
      <c r="G150" s="17"/>
      <c r="H150" s="17"/>
      <c r="I150" s="17"/>
      <c r="J150" s="17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25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2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25">
      <c r="A151" s="1"/>
      <c r="B151" s="1"/>
      <c r="C151" s="1"/>
      <c r="D151" s="13"/>
      <c r="E151" s="17"/>
      <c r="F151" s="17"/>
      <c r="G151" s="17"/>
      <c r="H151" s="17"/>
      <c r="I151" s="17"/>
      <c r="J151" s="17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25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2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25">
      <c r="A152" s="1"/>
      <c r="B152" s="1"/>
      <c r="C152" s="1"/>
      <c r="D152" s="13"/>
      <c r="E152" s="17"/>
      <c r="F152" s="17"/>
      <c r="G152" s="17"/>
      <c r="H152" s="17"/>
      <c r="I152" s="17"/>
      <c r="J152" s="17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25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2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25">
      <c r="A153" s="1"/>
      <c r="B153" s="1"/>
      <c r="C153" s="1"/>
      <c r="D153" s="13"/>
      <c r="E153" s="17"/>
      <c r="F153" s="17"/>
      <c r="G153" s="17"/>
      <c r="H153" s="17"/>
      <c r="I153" s="17"/>
      <c r="J153" s="17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25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2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25">
      <c r="A154" s="1"/>
      <c r="B154" s="1"/>
      <c r="C154" s="1"/>
      <c r="D154" s="13"/>
      <c r="E154" s="17"/>
      <c r="F154" s="17"/>
      <c r="G154" s="17"/>
      <c r="H154" s="17"/>
      <c r="I154" s="17"/>
      <c r="J154" s="17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25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2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25">
      <c r="A155" s="1"/>
      <c r="B155" s="1"/>
      <c r="C155" s="1"/>
      <c r="D155" s="13"/>
      <c r="E155" s="17"/>
      <c r="F155" s="17"/>
      <c r="G155" s="17"/>
      <c r="H155" s="17"/>
      <c r="I155" s="17"/>
      <c r="J155" s="17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25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2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25">
      <c r="A156" s="1"/>
      <c r="B156" s="1"/>
      <c r="C156" s="1"/>
      <c r="D156" s="13"/>
      <c r="E156" s="17"/>
      <c r="F156" s="17"/>
      <c r="G156" s="17"/>
      <c r="H156" s="17"/>
      <c r="I156" s="17"/>
      <c r="J156" s="17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25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2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25">
      <c r="A157" s="1"/>
      <c r="B157" s="1"/>
      <c r="C157" s="1"/>
      <c r="D157" s="13"/>
      <c r="E157" s="17"/>
      <c r="F157" s="17"/>
      <c r="G157" s="17"/>
      <c r="H157" s="17"/>
      <c r="I157" s="17"/>
      <c r="J157" s="17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25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2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25">
      <c r="A158" s="1"/>
      <c r="B158" s="1"/>
      <c r="C158" s="1"/>
      <c r="D158" s="13"/>
      <c r="E158" s="17"/>
      <c r="F158" s="17"/>
      <c r="G158" s="17"/>
      <c r="H158" s="17"/>
      <c r="I158" s="17"/>
      <c r="J158" s="17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25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2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25">
      <c r="A159" s="1"/>
      <c r="B159" s="1"/>
      <c r="C159" s="1"/>
      <c r="D159" s="13"/>
      <c r="E159" s="17"/>
      <c r="F159" s="17"/>
      <c r="G159" s="17"/>
      <c r="H159" s="17"/>
      <c r="I159" s="17"/>
      <c r="J159" s="17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25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2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25">
      <c r="A160" s="1"/>
      <c r="B160" s="1"/>
      <c r="C160" s="1"/>
      <c r="D160" s="13"/>
      <c r="E160" s="17"/>
      <c r="F160" s="17"/>
      <c r="G160" s="17"/>
      <c r="H160" s="17"/>
      <c r="I160" s="17"/>
      <c r="J160" s="17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25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2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25">
      <c r="A161" s="1"/>
      <c r="B161" s="1"/>
      <c r="C161" s="1"/>
      <c r="D161" s="13"/>
      <c r="E161" s="17"/>
      <c r="F161" s="17"/>
      <c r="G161" s="17"/>
      <c r="H161" s="17"/>
      <c r="I161" s="17"/>
      <c r="J161" s="17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25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2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25">
      <c r="A162" s="1"/>
      <c r="B162" s="1"/>
      <c r="C162" s="1"/>
      <c r="D162" s="13"/>
      <c r="E162" s="17"/>
      <c r="F162" s="17"/>
      <c r="G162" s="17"/>
      <c r="H162" s="17"/>
      <c r="I162" s="17"/>
      <c r="J162" s="17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25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2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25">
      <c r="A163" s="1"/>
      <c r="B163" s="1"/>
      <c r="C163" s="1"/>
      <c r="D163" s="13"/>
      <c r="E163" s="17"/>
      <c r="F163" s="17"/>
      <c r="G163" s="17"/>
      <c r="H163" s="17"/>
      <c r="I163" s="17"/>
      <c r="J163" s="17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25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2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25">
      <c r="A164" s="1"/>
      <c r="B164" s="1"/>
      <c r="C164" s="1"/>
      <c r="D164" s="13"/>
      <c r="E164" s="17"/>
      <c r="F164" s="17"/>
      <c r="G164" s="17"/>
      <c r="H164" s="17"/>
      <c r="I164" s="17"/>
      <c r="J164" s="17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25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2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25">
      <c r="A165" s="1"/>
      <c r="B165" s="1"/>
      <c r="C165" s="1"/>
      <c r="D165" s="13"/>
      <c r="E165" s="17"/>
      <c r="F165" s="17"/>
      <c r="G165" s="17"/>
      <c r="H165" s="17"/>
      <c r="I165" s="17"/>
      <c r="J165" s="17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25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2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25">
      <c r="A166" s="1"/>
      <c r="B166" s="1"/>
      <c r="C166" s="1"/>
      <c r="D166" s="13"/>
      <c r="E166" s="17"/>
      <c r="F166" s="17"/>
      <c r="G166" s="17"/>
      <c r="H166" s="17"/>
      <c r="I166" s="17"/>
      <c r="J166" s="17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25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2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25">
      <c r="A167" s="1"/>
      <c r="B167" s="1"/>
      <c r="C167" s="1"/>
      <c r="D167" s="13"/>
      <c r="E167" s="17"/>
      <c r="F167" s="17"/>
      <c r="G167" s="17"/>
      <c r="H167" s="17"/>
      <c r="I167" s="17"/>
      <c r="J167" s="17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25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2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25">
      <c r="A168" s="1"/>
      <c r="B168" s="1"/>
      <c r="C168" s="1"/>
      <c r="D168" s="13"/>
      <c r="E168" s="17"/>
      <c r="F168" s="17"/>
      <c r="G168" s="17"/>
      <c r="H168" s="17"/>
      <c r="I168" s="17"/>
      <c r="J168" s="17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25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2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25">
      <c r="A169" s="1"/>
      <c r="B169" s="1"/>
      <c r="C169" s="1"/>
      <c r="D169" s="13"/>
      <c r="E169" s="17"/>
      <c r="F169" s="17"/>
      <c r="G169" s="17"/>
      <c r="H169" s="17"/>
      <c r="I169" s="17"/>
      <c r="J169" s="17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25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2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25">
      <c r="A170" s="1"/>
      <c r="B170" s="1"/>
      <c r="C170" s="1"/>
      <c r="D170" s="13"/>
      <c r="E170" s="17"/>
      <c r="F170" s="17"/>
      <c r="G170" s="17"/>
      <c r="H170" s="17"/>
      <c r="I170" s="17"/>
      <c r="J170" s="17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25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2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25">
      <c r="A171" s="1"/>
      <c r="B171" s="1"/>
      <c r="C171" s="1"/>
      <c r="D171" s="13"/>
      <c r="E171" s="17"/>
      <c r="F171" s="17"/>
      <c r="G171" s="17"/>
      <c r="H171" s="17"/>
      <c r="I171" s="17"/>
      <c r="J171" s="17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25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2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25">
      <c r="A172" s="1"/>
      <c r="B172" s="1"/>
      <c r="C172" s="1"/>
      <c r="D172" s="13"/>
      <c r="E172" s="17"/>
      <c r="F172" s="17"/>
      <c r="G172" s="17"/>
      <c r="H172" s="17"/>
      <c r="I172" s="17"/>
      <c r="J172" s="17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25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2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25">
      <c r="A173" s="1"/>
      <c r="B173" s="1"/>
      <c r="C173" s="1"/>
      <c r="D173" s="13"/>
      <c r="E173" s="17"/>
      <c r="F173" s="17"/>
      <c r="G173" s="17"/>
      <c r="H173" s="17"/>
      <c r="I173" s="17"/>
      <c r="J173" s="17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25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2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25">
      <c r="A174" s="1"/>
      <c r="B174" s="1"/>
      <c r="C174" s="1"/>
      <c r="D174" s="13"/>
      <c r="E174" s="17"/>
      <c r="F174" s="17"/>
      <c r="G174" s="17"/>
      <c r="H174" s="17"/>
      <c r="I174" s="17"/>
      <c r="J174" s="17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25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2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25">
      <c r="A175" s="1"/>
      <c r="B175" s="1"/>
      <c r="C175" s="1"/>
      <c r="D175" s="13"/>
      <c r="E175" s="17"/>
      <c r="F175" s="17"/>
      <c r="G175" s="17"/>
      <c r="H175" s="17"/>
      <c r="I175" s="17"/>
      <c r="J175" s="17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25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2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25">
      <c r="A176" s="1"/>
      <c r="B176" s="1"/>
      <c r="C176" s="1"/>
      <c r="D176" s="13"/>
      <c r="E176" s="17"/>
      <c r="F176" s="17"/>
      <c r="G176" s="17"/>
      <c r="H176" s="17"/>
      <c r="I176" s="17"/>
      <c r="J176" s="17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25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2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25">
      <c r="A177" s="1"/>
      <c r="B177" s="1"/>
      <c r="C177" s="1"/>
      <c r="D177" s="13"/>
      <c r="E177" s="17"/>
      <c r="F177" s="17"/>
      <c r="G177" s="17"/>
      <c r="H177" s="17"/>
      <c r="I177" s="17"/>
      <c r="J177" s="17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25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2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25">
      <c r="A178" s="1"/>
      <c r="B178" s="1"/>
      <c r="C178" s="1"/>
      <c r="D178" s="13"/>
      <c r="E178" s="17"/>
      <c r="F178" s="17"/>
      <c r="G178" s="17"/>
      <c r="H178" s="17"/>
      <c r="I178" s="17"/>
      <c r="J178" s="17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25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2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25">
      <c r="A179" s="1"/>
      <c r="B179" s="1"/>
      <c r="C179" s="1"/>
      <c r="D179" s="13"/>
      <c r="E179" s="17"/>
      <c r="F179" s="17"/>
      <c r="G179" s="17"/>
      <c r="H179" s="17"/>
      <c r="I179" s="17"/>
      <c r="J179" s="17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25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2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25">
      <c r="A180" s="1"/>
      <c r="B180" s="1"/>
      <c r="C180" s="1"/>
      <c r="D180" s="13"/>
      <c r="E180" s="17"/>
      <c r="F180" s="17"/>
      <c r="G180" s="17"/>
      <c r="H180" s="17"/>
      <c r="I180" s="17"/>
      <c r="J180" s="17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25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2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25">
      <c r="A181" s="1"/>
      <c r="B181" s="1"/>
      <c r="C181" s="1"/>
      <c r="D181" s="13"/>
      <c r="E181" s="17"/>
      <c r="F181" s="17"/>
      <c r="G181" s="17"/>
      <c r="H181" s="17"/>
      <c r="I181" s="17"/>
      <c r="J181" s="17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25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2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25">
      <c r="A182" s="1"/>
      <c r="B182" s="1"/>
      <c r="C182" s="1"/>
      <c r="D182" s="13"/>
      <c r="E182" s="17"/>
      <c r="F182" s="17"/>
      <c r="G182" s="17"/>
      <c r="H182" s="17"/>
      <c r="I182" s="17"/>
      <c r="J182" s="17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25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2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25">
      <c r="A183" s="1"/>
      <c r="B183" s="1"/>
      <c r="C183" s="1"/>
      <c r="D183" s="13"/>
      <c r="E183" s="17"/>
      <c r="F183" s="17"/>
      <c r="G183" s="17"/>
      <c r="H183" s="17"/>
      <c r="I183" s="17"/>
      <c r="J183" s="17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25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2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25">
      <c r="A184" s="1"/>
      <c r="B184" s="1"/>
      <c r="C184" s="1"/>
      <c r="D184" s="13"/>
      <c r="E184" s="17"/>
      <c r="F184" s="17"/>
      <c r="G184" s="17"/>
      <c r="H184" s="17"/>
      <c r="I184" s="17"/>
      <c r="J184" s="17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25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2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25">
      <c r="A185" s="1"/>
      <c r="B185" s="1"/>
      <c r="C185" s="1"/>
      <c r="D185" s="13"/>
      <c r="E185" s="17"/>
      <c r="F185" s="17"/>
      <c r="G185" s="17"/>
      <c r="H185" s="17"/>
      <c r="I185" s="17"/>
      <c r="J185" s="17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25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2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25">
      <c r="A186" s="1"/>
      <c r="B186" s="1"/>
      <c r="C186" s="1"/>
      <c r="D186" s="13"/>
      <c r="E186" s="17"/>
      <c r="F186" s="17"/>
      <c r="G186" s="17"/>
      <c r="H186" s="17"/>
      <c r="I186" s="17"/>
      <c r="J186" s="17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25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2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25">
      <c r="A187" s="1"/>
      <c r="B187" s="1"/>
      <c r="C187" s="1"/>
      <c r="D187" s="13"/>
      <c r="E187" s="17"/>
      <c r="F187" s="17"/>
      <c r="G187" s="17"/>
      <c r="H187" s="17"/>
      <c r="I187" s="17"/>
      <c r="J187" s="17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25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2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25">
      <c r="A188" s="1"/>
      <c r="B188" s="1"/>
      <c r="C188" s="1"/>
      <c r="D188" s="13"/>
      <c r="E188" s="17"/>
      <c r="F188" s="17"/>
      <c r="G188" s="17"/>
      <c r="H188" s="17"/>
      <c r="I188" s="17"/>
      <c r="J188" s="17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25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2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25">
      <c r="A189" s="1"/>
      <c r="B189" s="1"/>
      <c r="C189" s="1"/>
      <c r="D189" s="13"/>
      <c r="E189" s="17"/>
      <c r="F189" s="17"/>
      <c r="G189" s="17"/>
      <c r="H189" s="17"/>
      <c r="I189" s="17"/>
      <c r="J189" s="17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25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2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25">
      <c r="A190" s="1"/>
      <c r="B190" s="1"/>
      <c r="C190" s="1"/>
      <c r="D190" s="13"/>
      <c r="E190" s="17"/>
      <c r="F190" s="17"/>
      <c r="G190" s="17"/>
      <c r="H190" s="17"/>
      <c r="I190" s="17"/>
      <c r="J190" s="17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25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2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25">
      <c r="A191" s="1"/>
      <c r="B191" s="1"/>
      <c r="C191" s="1"/>
      <c r="D191" s="13"/>
      <c r="E191" s="17"/>
      <c r="F191" s="17"/>
      <c r="G191" s="17"/>
      <c r="H191" s="17"/>
      <c r="I191" s="17"/>
      <c r="J191" s="17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25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2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25">
      <c r="A192" s="1"/>
      <c r="B192" s="1"/>
      <c r="C192" s="1"/>
      <c r="D192" s="13"/>
      <c r="E192" s="17"/>
      <c r="F192" s="17"/>
      <c r="G192" s="17"/>
      <c r="H192" s="17"/>
      <c r="I192" s="17"/>
      <c r="J192" s="17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25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2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25">
      <c r="A193" s="1"/>
      <c r="B193" s="1"/>
      <c r="C193" s="1"/>
      <c r="D193" s="13"/>
      <c r="E193" s="17"/>
      <c r="F193" s="17"/>
      <c r="G193" s="17"/>
      <c r="H193" s="17"/>
      <c r="I193" s="17"/>
      <c r="J193" s="17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25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2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25">
      <c r="A194" s="1"/>
      <c r="B194" s="1"/>
      <c r="C194" s="1"/>
      <c r="D194" s="13"/>
      <c r="E194" s="17"/>
      <c r="F194" s="17"/>
      <c r="G194" s="17"/>
      <c r="H194" s="17"/>
      <c r="I194" s="17"/>
      <c r="J194" s="17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25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2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25">
      <c r="A195" s="1"/>
      <c r="B195" s="1"/>
      <c r="C195" s="1"/>
      <c r="D195" s="13"/>
      <c r="E195" s="17"/>
      <c r="F195" s="17"/>
      <c r="G195" s="17"/>
      <c r="H195" s="17"/>
      <c r="I195" s="17"/>
      <c r="J195" s="17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25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2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25">
      <c r="A196" s="1"/>
      <c r="B196" s="1"/>
      <c r="C196" s="1"/>
      <c r="D196" s="13"/>
      <c r="E196" s="17"/>
      <c r="F196" s="17"/>
      <c r="G196" s="17"/>
      <c r="H196" s="17"/>
      <c r="I196" s="17"/>
      <c r="J196" s="17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25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2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25">
      <c r="A197" s="1"/>
      <c r="B197" s="1"/>
      <c r="C197" s="1"/>
      <c r="D197" s="13"/>
      <c r="E197" s="17"/>
      <c r="F197" s="17"/>
      <c r="G197" s="17"/>
      <c r="H197" s="17"/>
      <c r="I197" s="17"/>
      <c r="J197" s="17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25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2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25">
      <c r="A198" s="1"/>
      <c r="B198" s="1"/>
      <c r="C198" s="1"/>
      <c r="D198" s="13"/>
      <c r="E198" s="17"/>
      <c r="F198" s="17"/>
      <c r="G198" s="17"/>
      <c r="H198" s="17"/>
      <c r="I198" s="17"/>
      <c r="J198" s="17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25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2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25">
      <c r="A199" s="1"/>
      <c r="B199" s="1"/>
      <c r="C199" s="1"/>
      <c r="D199" s="13"/>
      <c r="E199" s="17"/>
      <c r="F199" s="17"/>
      <c r="G199" s="17"/>
      <c r="H199" s="17"/>
      <c r="I199" s="17"/>
      <c r="J199" s="17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25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2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25">
      <c r="A200" s="1"/>
      <c r="B200" s="1"/>
      <c r="C200" s="1"/>
      <c r="D200" s="13"/>
      <c r="E200" s="17"/>
      <c r="F200" s="17"/>
      <c r="G200" s="17"/>
      <c r="H200" s="17"/>
      <c r="I200" s="17"/>
      <c r="J200" s="17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25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2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25">
      <c r="A201" s="1"/>
      <c r="B201" s="1"/>
      <c r="C201" s="1"/>
      <c r="D201" s="13"/>
      <c r="E201" s="17"/>
      <c r="F201" s="17"/>
      <c r="G201" s="17"/>
      <c r="H201" s="17"/>
      <c r="I201" s="17"/>
      <c r="J201" s="17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25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2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25">
      <c r="A202" s="1"/>
      <c r="B202" s="1"/>
      <c r="C202" s="1"/>
      <c r="D202" s="13"/>
      <c r="E202" s="17"/>
      <c r="F202" s="17"/>
      <c r="G202" s="17"/>
      <c r="H202" s="17"/>
      <c r="I202" s="17"/>
      <c r="J202" s="17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25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2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25">
      <c r="A203" s="1"/>
      <c r="B203" s="1"/>
      <c r="C203" s="1"/>
      <c r="D203" s="13"/>
      <c r="E203" s="17"/>
      <c r="F203" s="17"/>
      <c r="G203" s="17"/>
      <c r="H203" s="17"/>
      <c r="I203" s="17"/>
      <c r="J203" s="17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25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2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25">
      <c r="A204" s="1"/>
      <c r="B204" s="1"/>
      <c r="C204" s="1"/>
      <c r="D204" s="13"/>
      <c r="E204" s="17"/>
      <c r="F204" s="17"/>
      <c r="G204" s="17"/>
      <c r="H204" s="17"/>
      <c r="I204" s="17"/>
      <c r="J204" s="17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25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2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25">
      <c r="A205" s="1"/>
      <c r="B205" s="1"/>
      <c r="C205" s="1"/>
      <c r="D205" s="13"/>
      <c r="E205" s="17"/>
      <c r="F205" s="17"/>
      <c r="G205" s="17"/>
      <c r="H205" s="17"/>
      <c r="I205" s="17"/>
      <c r="J205" s="17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25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2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25">
      <c r="A206" s="1"/>
      <c r="B206" s="1"/>
      <c r="C206" s="1"/>
      <c r="D206" s="13"/>
      <c r="E206" s="17"/>
      <c r="F206" s="17"/>
      <c r="G206" s="17"/>
      <c r="H206" s="17"/>
      <c r="I206" s="17"/>
      <c r="J206" s="17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25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2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25">
      <c r="A207" s="1"/>
      <c r="B207" s="1"/>
      <c r="C207" s="1"/>
      <c r="D207" s="13"/>
      <c r="E207" s="17"/>
      <c r="F207" s="17"/>
      <c r="G207" s="17"/>
      <c r="H207" s="17"/>
      <c r="I207" s="17"/>
      <c r="J207" s="17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25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2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25">
      <c r="A208" s="1"/>
      <c r="B208" s="1"/>
      <c r="C208" s="1"/>
      <c r="D208" s="13"/>
      <c r="E208" s="17"/>
      <c r="F208" s="17"/>
      <c r="G208" s="17"/>
      <c r="H208" s="17"/>
      <c r="I208" s="17"/>
      <c r="J208" s="17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25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2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25">
      <c r="A209" s="1"/>
      <c r="B209" s="1"/>
      <c r="C209" s="1"/>
      <c r="D209" s="13"/>
      <c r="E209" s="17"/>
      <c r="F209" s="17"/>
      <c r="G209" s="17"/>
      <c r="H209" s="17"/>
      <c r="I209" s="17"/>
      <c r="J209" s="17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25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2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25">
      <c r="A210" s="1"/>
      <c r="B210" s="1"/>
      <c r="C210" s="1"/>
      <c r="D210" s="13"/>
      <c r="E210" s="17"/>
      <c r="F210" s="17"/>
      <c r="G210" s="17"/>
      <c r="H210" s="17"/>
      <c r="I210" s="17"/>
      <c r="J210" s="17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25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2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25">
      <c r="A211" s="1"/>
      <c r="B211" s="1"/>
      <c r="C211" s="1"/>
      <c r="D211" s="13"/>
      <c r="E211" s="17"/>
      <c r="F211" s="17"/>
      <c r="G211" s="17"/>
      <c r="H211" s="17"/>
      <c r="I211" s="17"/>
      <c r="J211" s="17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25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2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25">
      <c r="A212" s="1"/>
      <c r="B212" s="1"/>
      <c r="C212" s="1"/>
      <c r="D212" s="13"/>
      <c r="E212" s="17"/>
      <c r="F212" s="17"/>
      <c r="G212" s="17"/>
      <c r="H212" s="17"/>
      <c r="I212" s="17"/>
      <c r="J212" s="17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25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2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25">
      <c r="A213" s="1"/>
      <c r="B213" s="1"/>
      <c r="C213" s="1"/>
      <c r="D213" s="13"/>
      <c r="E213" s="17"/>
      <c r="F213" s="17"/>
      <c r="G213" s="17"/>
      <c r="H213" s="17"/>
      <c r="I213" s="17"/>
      <c r="J213" s="17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25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2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25">
      <c r="A214" s="1"/>
      <c r="B214" s="1"/>
      <c r="C214" s="1"/>
      <c r="D214" s="13"/>
      <c r="E214" s="17"/>
      <c r="F214" s="17"/>
      <c r="G214" s="17"/>
      <c r="H214" s="17"/>
      <c r="I214" s="17"/>
      <c r="J214" s="17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25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2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25">
      <c r="A215" s="1"/>
      <c r="B215" s="1"/>
      <c r="C215" s="1"/>
      <c r="D215" s="13"/>
      <c r="E215" s="17"/>
      <c r="F215" s="17"/>
      <c r="G215" s="17"/>
      <c r="H215" s="17"/>
      <c r="I215" s="17"/>
      <c r="J215" s="17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25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2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25">
      <c r="A216" s="1"/>
      <c r="B216" s="1"/>
      <c r="C216" s="1"/>
      <c r="D216" s="13"/>
      <c r="E216" s="17"/>
      <c r="F216" s="17"/>
      <c r="G216" s="17"/>
      <c r="H216" s="17"/>
      <c r="I216" s="17"/>
      <c r="J216" s="17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25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2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25">
      <c r="A217" s="1"/>
      <c r="B217" s="1"/>
      <c r="C217" s="1"/>
      <c r="D217" s="13"/>
      <c r="E217" s="17"/>
      <c r="F217" s="17"/>
      <c r="G217" s="17"/>
      <c r="H217" s="17"/>
      <c r="I217" s="17"/>
      <c r="J217" s="17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25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2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25">
      <c r="A218" s="1"/>
      <c r="B218" s="1"/>
      <c r="C218" s="1"/>
      <c r="D218" s="13"/>
      <c r="E218" s="17"/>
      <c r="F218" s="17"/>
      <c r="G218" s="17"/>
      <c r="H218" s="17"/>
      <c r="I218" s="17"/>
      <c r="J218" s="17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25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2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25">
      <c r="A219" s="1"/>
      <c r="B219" s="1"/>
      <c r="C219" s="1"/>
      <c r="D219" s="13"/>
      <c r="E219" s="17"/>
      <c r="F219" s="17"/>
      <c r="G219" s="17"/>
      <c r="H219" s="17"/>
      <c r="I219" s="17"/>
      <c r="J219" s="17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25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2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25">
      <c r="A220" s="1"/>
      <c r="B220" s="1"/>
      <c r="C220" s="1"/>
      <c r="D220" s="13"/>
      <c r="E220" s="17"/>
      <c r="F220" s="17"/>
      <c r="G220" s="17"/>
      <c r="H220" s="17"/>
      <c r="I220" s="17"/>
      <c r="J220" s="17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25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2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25">
      <c r="A221" s="1"/>
      <c r="B221" s="1"/>
      <c r="C221" s="1"/>
      <c r="D221" s="13"/>
      <c r="E221" s="17"/>
      <c r="F221" s="17"/>
      <c r="G221" s="17"/>
      <c r="H221" s="17"/>
      <c r="I221" s="17"/>
      <c r="J221" s="17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25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2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25">
      <c r="A222" s="1"/>
      <c r="B222" s="1"/>
      <c r="C222" s="1"/>
      <c r="D222" s="13"/>
      <c r="E222" s="17"/>
      <c r="F222" s="17"/>
      <c r="G222" s="17"/>
      <c r="H222" s="17"/>
      <c r="I222" s="17"/>
      <c r="J222" s="17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25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2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25">
      <c r="A223" s="1"/>
      <c r="B223" s="1"/>
      <c r="C223" s="1"/>
      <c r="D223" s="13"/>
      <c r="E223" s="17"/>
      <c r="F223" s="17"/>
      <c r="G223" s="17"/>
      <c r="H223" s="17"/>
      <c r="I223" s="17"/>
      <c r="J223" s="17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25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2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25">
      <c r="A224" s="1"/>
      <c r="B224" s="1"/>
      <c r="C224" s="1"/>
      <c r="D224" s="13"/>
      <c r="E224" s="17"/>
      <c r="F224" s="17"/>
      <c r="G224" s="17"/>
      <c r="H224" s="17"/>
      <c r="I224" s="17"/>
      <c r="J224" s="17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25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2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25">
      <c r="A225" s="1"/>
      <c r="B225" s="1"/>
      <c r="C225" s="1"/>
      <c r="D225" s="13"/>
      <c r="E225" s="17"/>
      <c r="F225" s="17"/>
      <c r="G225" s="17"/>
      <c r="H225" s="17"/>
      <c r="I225" s="17"/>
      <c r="J225" s="17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25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2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25">
      <c r="A226" s="1"/>
      <c r="B226" s="1"/>
      <c r="C226" s="1"/>
      <c r="D226" s="13"/>
      <c r="E226" s="17"/>
      <c r="F226" s="17"/>
      <c r="G226" s="17"/>
      <c r="H226" s="17"/>
      <c r="I226" s="17"/>
      <c r="J226" s="17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25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2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25">
      <c r="A227" s="1"/>
      <c r="B227" s="1"/>
      <c r="C227" s="1"/>
      <c r="D227" s="13"/>
      <c r="E227" s="17"/>
      <c r="F227" s="17"/>
      <c r="G227" s="17"/>
      <c r="H227" s="17"/>
      <c r="I227" s="17"/>
      <c r="J227" s="17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25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2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25">
      <c r="A228" s="1"/>
      <c r="B228" s="1"/>
      <c r="C228" s="1"/>
      <c r="D228" s="13"/>
      <c r="E228" s="17"/>
      <c r="F228" s="17"/>
      <c r="G228" s="17"/>
      <c r="H228" s="17"/>
      <c r="I228" s="17"/>
      <c r="J228" s="17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25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2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25">
      <c r="A229" s="1"/>
      <c r="B229" s="1"/>
      <c r="C229" s="1"/>
      <c r="D229" s="13"/>
      <c r="E229" s="17"/>
      <c r="F229" s="17"/>
      <c r="G229" s="17"/>
      <c r="H229" s="17"/>
      <c r="I229" s="17"/>
      <c r="J229" s="17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25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2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25">
      <c r="A230" s="1"/>
      <c r="B230" s="1"/>
      <c r="C230" s="1"/>
      <c r="D230" s="13"/>
      <c r="E230" s="17"/>
      <c r="F230" s="17"/>
      <c r="G230" s="17"/>
      <c r="H230" s="17"/>
      <c r="I230" s="17"/>
      <c r="J230" s="17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25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2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25">
      <c r="A231" s="1"/>
      <c r="B231" s="1"/>
      <c r="C231" s="1"/>
      <c r="D231" s="13"/>
      <c r="E231" s="17"/>
      <c r="F231" s="17"/>
      <c r="G231" s="17"/>
      <c r="H231" s="17"/>
      <c r="I231" s="17"/>
      <c r="J231" s="17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25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2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25">
      <c r="A232" s="1"/>
      <c r="B232" s="1"/>
      <c r="C232" s="1"/>
      <c r="D232" s="13"/>
      <c r="E232" s="17"/>
      <c r="F232" s="17"/>
      <c r="G232" s="17"/>
      <c r="H232" s="17"/>
      <c r="I232" s="17"/>
      <c r="J232" s="17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25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2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25">
      <c r="A233" s="1"/>
      <c r="B233" s="1"/>
      <c r="C233" s="1"/>
      <c r="D233" s="13"/>
      <c r="E233" s="17"/>
      <c r="F233" s="17"/>
      <c r="G233" s="17"/>
      <c r="H233" s="17"/>
      <c r="I233" s="17"/>
      <c r="J233" s="17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25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2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25">
      <c r="A234" s="1"/>
      <c r="B234" s="1"/>
      <c r="C234" s="1"/>
      <c r="D234" s="13"/>
      <c r="E234" s="17"/>
      <c r="F234" s="17"/>
      <c r="G234" s="17"/>
      <c r="H234" s="17"/>
      <c r="I234" s="17"/>
      <c r="J234" s="17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25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2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25">
      <c r="A235" s="1"/>
      <c r="B235" s="1"/>
      <c r="C235" s="1"/>
      <c r="D235" s="13"/>
      <c r="E235" s="17"/>
      <c r="F235" s="17"/>
      <c r="G235" s="17"/>
      <c r="H235" s="17"/>
      <c r="I235" s="17"/>
      <c r="J235" s="17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25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2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25">
      <c r="A236" s="1"/>
      <c r="B236" s="1"/>
      <c r="C236" s="1"/>
      <c r="D236" s="13"/>
      <c r="E236" s="17"/>
      <c r="F236" s="17"/>
      <c r="G236" s="17"/>
      <c r="H236" s="17"/>
      <c r="I236" s="17"/>
      <c r="J236" s="17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25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2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25">
      <c r="A237" s="1"/>
      <c r="B237" s="1"/>
      <c r="C237" s="1"/>
      <c r="D237" s="13"/>
      <c r="E237" s="17"/>
      <c r="F237" s="17"/>
      <c r="G237" s="17"/>
      <c r="H237" s="17"/>
      <c r="I237" s="17"/>
      <c r="J237" s="17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25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2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25">
      <c r="A238" s="1"/>
      <c r="B238" s="1"/>
      <c r="C238" s="1"/>
      <c r="D238" s="13"/>
      <c r="E238" s="17"/>
      <c r="F238" s="17"/>
      <c r="G238" s="17"/>
      <c r="H238" s="17"/>
      <c r="I238" s="17"/>
      <c r="J238" s="17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25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2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25">
      <c r="A239" s="1"/>
      <c r="B239" s="1"/>
      <c r="C239" s="1"/>
      <c r="D239" s="13"/>
      <c r="E239" s="17"/>
      <c r="F239" s="17"/>
      <c r="G239" s="17"/>
      <c r="H239" s="17"/>
      <c r="I239" s="17"/>
      <c r="J239" s="17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25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2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25">
      <c r="A240" s="1"/>
      <c r="B240" s="1"/>
      <c r="C240" s="1"/>
      <c r="D240" s="13"/>
      <c r="E240" s="17"/>
      <c r="F240" s="17"/>
      <c r="G240" s="17"/>
      <c r="H240" s="17"/>
      <c r="I240" s="17"/>
      <c r="J240" s="17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25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2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25">
      <c r="A241" s="1"/>
      <c r="B241" s="1"/>
      <c r="C241" s="1"/>
      <c r="D241" s="13"/>
      <c r="E241" s="17"/>
      <c r="F241" s="17"/>
      <c r="G241" s="17"/>
      <c r="H241" s="17"/>
      <c r="I241" s="17"/>
      <c r="J241" s="17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25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2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25">
      <c r="A242" s="1"/>
      <c r="B242" s="1"/>
      <c r="C242" s="1"/>
      <c r="D242" s="13"/>
      <c r="E242" s="17"/>
      <c r="F242" s="17"/>
      <c r="G242" s="17"/>
      <c r="H242" s="17"/>
      <c r="I242" s="17"/>
      <c r="J242" s="17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25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2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25">
      <c r="A243" s="1"/>
      <c r="B243" s="1"/>
      <c r="C243" s="1"/>
      <c r="D243" s="13"/>
      <c r="E243" s="17"/>
      <c r="F243" s="17"/>
      <c r="G243" s="17"/>
      <c r="H243" s="17"/>
      <c r="I243" s="17"/>
      <c r="J243" s="17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25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2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25">
      <c r="A244" s="1"/>
      <c r="B244" s="1"/>
      <c r="C244" s="1"/>
      <c r="D244" s="13"/>
      <c r="E244" s="17"/>
      <c r="F244" s="17"/>
      <c r="G244" s="17"/>
      <c r="H244" s="17"/>
      <c r="I244" s="17"/>
      <c r="J244" s="17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25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2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25">
      <c r="A245" s="1"/>
      <c r="B245" s="1"/>
      <c r="C245" s="1"/>
      <c r="D245" s="13"/>
      <c r="E245" s="17"/>
      <c r="F245" s="17"/>
      <c r="G245" s="17"/>
      <c r="H245" s="17"/>
      <c r="I245" s="17"/>
      <c r="J245" s="17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25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2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25">
      <c r="A246" s="1"/>
      <c r="B246" s="1"/>
      <c r="C246" s="1"/>
      <c r="D246" s="13"/>
      <c r="E246" s="17"/>
      <c r="F246" s="17"/>
      <c r="G246" s="17"/>
      <c r="H246" s="17"/>
      <c r="I246" s="17"/>
      <c r="J246" s="17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25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2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25">
      <c r="A247" s="1"/>
      <c r="B247" s="1"/>
      <c r="C247" s="1"/>
      <c r="D247" s="13"/>
      <c r="E247" s="17"/>
      <c r="F247" s="17"/>
      <c r="G247" s="17"/>
      <c r="H247" s="17"/>
      <c r="I247" s="17"/>
      <c r="J247" s="17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25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2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25">
      <c r="A248" s="1"/>
      <c r="B248" s="1"/>
      <c r="C248" s="1"/>
      <c r="D248" s="13"/>
      <c r="E248" s="17"/>
      <c r="F248" s="17"/>
      <c r="G248" s="17"/>
      <c r="H248" s="17"/>
      <c r="I248" s="17"/>
      <c r="J248" s="17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25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2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25">
      <c r="A249" s="1"/>
      <c r="B249" s="1"/>
      <c r="C249" s="1"/>
      <c r="D249" s="13"/>
      <c r="E249" s="17"/>
      <c r="F249" s="17"/>
      <c r="G249" s="17"/>
      <c r="H249" s="17"/>
      <c r="I249" s="17"/>
      <c r="J249" s="17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25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2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25">
      <c r="A250" s="1"/>
      <c r="B250" s="1"/>
      <c r="C250" s="1"/>
      <c r="D250" s="13"/>
      <c r="E250" s="17"/>
      <c r="F250" s="17"/>
      <c r="G250" s="17"/>
      <c r="H250" s="17"/>
      <c r="I250" s="17"/>
      <c r="J250" s="17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25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2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25">
      <c r="A251" s="1"/>
      <c r="B251" s="1"/>
      <c r="C251" s="1"/>
      <c r="D251" s="13"/>
      <c r="E251" s="17"/>
      <c r="F251" s="17"/>
      <c r="G251" s="17"/>
      <c r="H251" s="17"/>
      <c r="I251" s="17"/>
      <c r="J251" s="17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25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2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25">
      <c r="A252" s="1"/>
      <c r="B252" s="1"/>
      <c r="C252" s="1"/>
      <c r="D252" s="13"/>
      <c r="E252" s="17"/>
      <c r="F252" s="17"/>
      <c r="G252" s="17"/>
      <c r="H252" s="17"/>
      <c r="I252" s="17"/>
      <c r="J252" s="17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25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2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25">
      <c r="A253" s="1"/>
      <c r="B253" s="1"/>
      <c r="C253" s="1"/>
      <c r="D253" s="13"/>
      <c r="E253" s="17"/>
      <c r="F253" s="17"/>
      <c r="G253" s="17"/>
      <c r="H253" s="17"/>
      <c r="I253" s="17"/>
      <c r="J253" s="17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25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2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25">
      <c r="A254" s="1"/>
      <c r="B254" s="1"/>
      <c r="C254" s="1"/>
      <c r="D254" s="13"/>
      <c r="E254" s="17"/>
      <c r="F254" s="17"/>
      <c r="G254" s="17"/>
      <c r="H254" s="17"/>
      <c r="I254" s="17"/>
      <c r="J254" s="17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25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2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25">
      <c r="A255" s="1"/>
      <c r="B255" s="1"/>
      <c r="C255" s="1"/>
      <c r="D255" s="13"/>
      <c r="E255" s="17"/>
      <c r="F255" s="17"/>
      <c r="G255" s="17"/>
      <c r="H255" s="17"/>
      <c r="I255" s="17"/>
      <c r="J255" s="17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25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2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25">
      <c r="A256" s="1"/>
      <c r="B256" s="1"/>
      <c r="C256" s="1"/>
      <c r="D256" s="13"/>
      <c r="E256" s="17"/>
      <c r="F256" s="17"/>
      <c r="G256" s="17"/>
      <c r="H256" s="17"/>
      <c r="I256" s="17"/>
      <c r="J256" s="17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25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2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25">
      <c r="A257" s="1"/>
      <c r="B257" s="1"/>
      <c r="C257" s="1"/>
      <c r="D257" s="13"/>
      <c r="E257" s="17"/>
      <c r="F257" s="17"/>
      <c r="G257" s="17"/>
      <c r="H257" s="17"/>
      <c r="I257" s="17"/>
      <c r="J257" s="17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25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2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25">
      <c r="A258" s="1"/>
      <c r="B258" s="1"/>
      <c r="C258" s="1"/>
      <c r="D258" s="13"/>
      <c r="E258" s="17"/>
      <c r="F258" s="17"/>
      <c r="G258" s="17"/>
      <c r="H258" s="17"/>
      <c r="I258" s="17"/>
      <c r="J258" s="17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25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2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25">
      <c r="A259" s="1"/>
      <c r="B259" s="1"/>
      <c r="C259" s="1"/>
      <c r="D259" s="13"/>
      <c r="E259" s="17"/>
      <c r="F259" s="17"/>
      <c r="G259" s="17"/>
      <c r="H259" s="17"/>
      <c r="I259" s="17"/>
      <c r="J259" s="17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25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2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25">
      <c r="A260" s="1"/>
      <c r="B260" s="1"/>
      <c r="C260" s="1"/>
      <c r="D260" s="13"/>
      <c r="E260" s="17"/>
      <c r="F260" s="17"/>
      <c r="G260" s="17"/>
      <c r="H260" s="17"/>
      <c r="I260" s="17"/>
      <c r="J260" s="17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25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2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25">
      <c r="A261" s="1"/>
      <c r="B261" s="1"/>
      <c r="C261" s="1"/>
      <c r="D261" s="13"/>
      <c r="E261" s="17"/>
      <c r="F261" s="17"/>
      <c r="G261" s="17"/>
      <c r="H261" s="17"/>
      <c r="I261" s="17"/>
      <c r="J261" s="17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25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2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25">
      <c r="A262" s="1"/>
      <c r="B262" s="1"/>
      <c r="C262" s="1"/>
      <c r="D262" s="13"/>
      <c r="E262" s="17"/>
      <c r="F262" s="17"/>
      <c r="G262" s="17"/>
      <c r="H262" s="17"/>
      <c r="I262" s="17"/>
      <c r="J262" s="17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25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2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25">
      <c r="A263" s="1"/>
      <c r="B263" s="1"/>
      <c r="C263" s="1"/>
      <c r="D263" s="13"/>
      <c r="E263" s="17"/>
      <c r="F263" s="17"/>
      <c r="G263" s="17"/>
      <c r="H263" s="17"/>
      <c r="I263" s="17"/>
      <c r="J263" s="17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25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2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25">
      <c r="A264" s="1"/>
      <c r="B264" s="1"/>
      <c r="C264" s="1"/>
      <c r="D264" s="13"/>
      <c r="E264" s="17"/>
      <c r="F264" s="17"/>
      <c r="G264" s="17"/>
      <c r="H264" s="17"/>
      <c r="I264" s="17"/>
      <c r="J264" s="17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25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2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25">
      <c r="A265" s="1"/>
      <c r="B265" s="1"/>
      <c r="C265" s="1"/>
      <c r="D265" s="13"/>
      <c r="E265" s="17"/>
      <c r="F265" s="17"/>
      <c r="G265" s="17"/>
      <c r="H265" s="17"/>
      <c r="I265" s="17"/>
      <c r="J265" s="17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25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2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25">
      <c r="A266" s="1"/>
      <c r="B266" s="1"/>
      <c r="C266" s="1"/>
      <c r="D266" s="13"/>
      <c r="E266" s="17"/>
      <c r="F266" s="17"/>
      <c r="G266" s="17"/>
      <c r="H266" s="17"/>
      <c r="I266" s="17"/>
      <c r="J266" s="17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25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2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25">
      <c r="A267" s="1"/>
      <c r="B267" s="1"/>
      <c r="C267" s="1"/>
      <c r="D267" s="13"/>
      <c r="E267" s="17"/>
      <c r="F267" s="17"/>
      <c r="G267" s="17"/>
      <c r="H267" s="17"/>
      <c r="I267" s="17"/>
      <c r="J267" s="17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25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2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25">
      <c r="A268" s="1"/>
      <c r="B268" s="1"/>
      <c r="C268" s="1"/>
      <c r="D268" s="13"/>
      <c r="E268" s="17"/>
      <c r="F268" s="17"/>
      <c r="G268" s="17"/>
      <c r="H268" s="17"/>
      <c r="I268" s="17"/>
      <c r="J268" s="17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25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2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25">
      <c r="A269" s="1"/>
      <c r="B269" s="1"/>
      <c r="C269" s="1"/>
      <c r="D269" s="13"/>
      <c r="E269" s="17"/>
      <c r="F269" s="17"/>
      <c r="G269" s="17"/>
      <c r="H269" s="17"/>
      <c r="I269" s="17"/>
      <c r="J269" s="17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25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2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25">
      <c r="A270" s="1"/>
      <c r="B270" s="1"/>
      <c r="C270" s="1"/>
      <c r="D270" s="13"/>
      <c r="E270" s="17"/>
      <c r="F270" s="17"/>
      <c r="G270" s="17"/>
      <c r="H270" s="17"/>
      <c r="I270" s="17"/>
      <c r="J270" s="17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25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2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25">
      <c r="A271" s="1"/>
      <c r="B271" s="1"/>
      <c r="C271" s="1"/>
      <c r="D271" s="13"/>
      <c r="E271" s="17"/>
      <c r="F271" s="17"/>
      <c r="G271" s="17"/>
      <c r="H271" s="17"/>
      <c r="I271" s="17"/>
      <c r="J271" s="17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25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2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25">
      <c r="A272" s="1"/>
      <c r="B272" s="1"/>
      <c r="C272" s="1"/>
      <c r="D272" s="13"/>
      <c r="E272" s="17"/>
      <c r="F272" s="17"/>
      <c r="G272" s="17"/>
      <c r="H272" s="17"/>
      <c r="I272" s="17"/>
      <c r="J272" s="17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25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2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25">
      <c r="A273" s="1"/>
      <c r="B273" s="1"/>
      <c r="C273" s="1"/>
      <c r="D273" s="13"/>
      <c r="E273" s="17"/>
      <c r="F273" s="17"/>
      <c r="G273" s="17"/>
      <c r="H273" s="17"/>
      <c r="I273" s="17"/>
      <c r="J273" s="17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25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2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25">
      <c r="A274" s="1"/>
      <c r="B274" s="1"/>
      <c r="C274" s="1"/>
      <c r="D274" s="13"/>
      <c r="E274" s="17"/>
      <c r="F274" s="17"/>
      <c r="G274" s="17"/>
      <c r="H274" s="17"/>
      <c r="I274" s="17"/>
      <c r="J274" s="17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25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2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25">
      <c r="A275" s="1"/>
      <c r="B275" s="1"/>
      <c r="C275" s="1"/>
      <c r="D275" s="13"/>
      <c r="E275" s="17"/>
      <c r="F275" s="17"/>
      <c r="G275" s="17"/>
      <c r="H275" s="17"/>
      <c r="I275" s="17"/>
      <c r="J275" s="17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25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2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25">
      <c r="A276" s="1"/>
      <c r="B276" s="1"/>
      <c r="C276" s="1"/>
      <c r="D276" s="13"/>
      <c r="E276" s="17"/>
      <c r="F276" s="17"/>
      <c r="G276" s="17"/>
      <c r="H276" s="17"/>
      <c r="I276" s="17"/>
      <c r="J276" s="17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25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2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25">
      <c r="A277" s="1"/>
      <c r="B277" s="1"/>
      <c r="C277" s="1"/>
      <c r="D277" s="13"/>
      <c r="E277" s="17"/>
      <c r="F277" s="17"/>
      <c r="G277" s="17"/>
      <c r="H277" s="17"/>
      <c r="I277" s="17"/>
      <c r="J277" s="17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25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2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25">
      <c r="A278" s="1"/>
      <c r="B278" s="1"/>
      <c r="C278" s="1"/>
      <c r="D278" s="13"/>
      <c r="E278" s="17"/>
      <c r="F278" s="17"/>
      <c r="G278" s="17"/>
      <c r="H278" s="17"/>
      <c r="I278" s="17"/>
      <c r="J278" s="17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25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2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25">
      <c r="A279" s="1"/>
      <c r="B279" s="1"/>
      <c r="C279" s="1"/>
      <c r="D279" s="13"/>
      <c r="E279" s="17"/>
      <c r="F279" s="17"/>
      <c r="G279" s="17"/>
      <c r="H279" s="17"/>
      <c r="I279" s="17"/>
      <c r="J279" s="17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25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2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25">
      <c r="A280" s="1"/>
      <c r="B280" s="1"/>
      <c r="C280" s="1"/>
      <c r="D280" s="13"/>
      <c r="E280" s="17"/>
      <c r="F280" s="17"/>
      <c r="G280" s="17"/>
      <c r="H280" s="17"/>
      <c r="I280" s="17"/>
      <c r="J280" s="17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25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2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25">
      <c r="A281" s="1"/>
      <c r="B281" s="1"/>
      <c r="C281" s="1"/>
      <c r="D281" s="13"/>
      <c r="E281" s="17"/>
      <c r="F281" s="17"/>
      <c r="G281" s="17"/>
      <c r="H281" s="17"/>
      <c r="I281" s="17"/>
      <c r="J281" s="17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25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2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25">
      <c r="A282" s="1"/>
      <c r="B282" s="1"/>
      <c r="C282" s="1"/>
      <c r="D282" s="13"/>
      <c r="E282" s="17"/>
      <c r="F282" s="17"/>
      <c r="G282" s="17"/>
      <c r="H282" s="17"/>
      <c r="I282" s="17"/>
      <c r="J282" s="17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25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2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25">
      <c r="A283" s="1"/>
      <c r="B283" s="1"/>
      <c r="C283" s="1"/>
      <c r="D283" s="13"/>
      <c r="E283" s="17"/>
      <c r="F283" s="17"/>
      <c r="G283" s="17"/>
      <c r="H283" s="17"/>
      <c r="I283" s="17"/>
      <c r="J283" s="17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25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2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25">
      <c r="A284" s="1"/>
      <c r="B284" s="1"/>
      <c r="C284" s="1"/>
      <c r="D284" s="13"/>
      <c r="E284" s="17"/>
      <c r="F284" s="17"/>
      <c r="G284" s="17"/>
      <c r="H284" s="17"/>
      <c r="I284" s="17"/>
      <c r="J284" s="17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25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2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25">
      <c r="A285" s="1"/>
      <c r="B285" s="1"/>
      <c r="C285" s="1"/>
      <c r="D285" s="13"/>
      <c r="E285" s="17"/>
      <c r="F285" s="17"/>
      <c r="G285" s="17"/>
      <c r="H285" s="17"/>
      <c r="I285" s="17"/>
      <c r="J285" s="17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25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2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25">
      <c r="A286" s="1"/>
      <c r="B286" s="1"/>
      <c r="C286" s="1"/>
      <c r="D286" s="13"/>
      <c r="E286" s="17"/>
      <c r="F286" s="17"/>
      <c r="G286" s="17"/>
      <c r="H286" s="17"/>
      <c r="I286" s="17"/>
      <c r="J286" s="17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25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2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25">
      <c r="A287" s="1"/>
      <c r="B287" s="1"/>
      <c r="C287" s="1"/>
      <c r="D287" s="13"/>
      <c r="E287" s="17"/>
      <c r="F287" s="17"/>
      <c r="G287" s="17"/>
      <c r="H287" s="17"/>
      <c r="I287" s="17"/>
      <c r="J287" s="17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25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2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25">
      <c r="A288" s="1"/>
      <c r="B288" s="1"/>
      <c r="C288" s="1"/>
      <c r="D288" s="13"/>
      <c r="E288" s="17"/>
      <c r="F288" s="17"/>
      <c r="G288" s="17"/>
      <c r="H288" s="17"/>
      <c r="I288" s="17"/>
      <c r="J288" s="17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25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2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25">
      <c r="A289" s="1"/>
      <c r="B289" s="1"/>
      <c r="C289" s="1"/>
      <c r="D289" s="13"/>
      <c r="E289" s="17"/>
      <c r="F289" s="17"/>
      <c r="G289" s="17"/>
      <c r="H289" s="17"/>
      <c r="I289" s="17"/>
      <c r="J289" s="17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25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2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25">
      <c r="A290" s="1"/>
      <c r="B290" s="1"/>
      <c r="C290" s="1"/>
      <c r="D290" s="13"/>
      <c r="E290" s="17"/>
      <c r="F290" s="17"/>
      <c r="G290" s="17"/>
      <c r="H290" s="17"/>
      <c r="I290" s="17"/>
      <c r="J290" s="17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25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2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25">
      <c r="A291" s="1"/>
      <c r="B291" s="1"/>
      <c r="C291" s="1"/>
      <c r="D291" s="13"/>
      <c r="E291" s="17"/>
      <c r="F291" s="17"/>
      <c r="G291" s="17"/>
      <c r="H291" s="17"/>
      <c r="I291" s="17"/>
      <c r="J291" s="17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25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2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25">
      <c r="A292" s="1"/>
      <c r="B292" s="1"/>
      <c r="C292" s="1"/>
      <c r="D292" s="13"/>
      <c r="E292" s="17"/>
      <c r="F292" s="17"/>
      <c r="G292" s="17"/>
      <c r="H292" s="17"/>
      <c r="I292" s="17"/>
      <c r="J292" s="17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25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2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25">
      <c r="A293" s="1"/>
      <c r="B293" s="1"/>
      <c r="C293" s="1"/>
      <c r="D293" s="13"/>
      <c r="E293" s="17"/>
      <c r="F293" s="17"/>
      <c r="G293" s="17"/>
      <c r="H293" s="17"/>
      <c r="I293" s="17"/>
      <c r="J293" s="17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25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2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25">
      <c r="A294" s="1"/>
      <c r="B294" s="1"/>
      <c r="C294" s="1"/>
      <c r="D294" s="13"/>
      <c r="E294" s="17"/>
      <c r="F294" s="17"/>
      <c r="G294" s="17"/>
      <c r="H294" s="17"/>
      <c r="I294" s="17"/>
      <c r="J294" s="17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25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2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25">
      <c r="A295" s="1"/>
      <c r="B295" s="1"/>
      <c r="C295" s="1"/>
      <c r="D295" s="13"/>
      <c r="E295" s="17"/>
      <c r="F295" s="17"/>
      <c r="G295" s="17"/>
      <c r="H295" s="17"/>
      <c r="I295" s="17"/>
      <c r="J295" s="17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25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2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25">
      <c r="A296" s="1"/>
      <c r="B296" s="1"/>
      <c r="C296" s="1"/>
      <c r="D296" s="13"/>
      <c r="E296" s="17"/>
      <c r="F296" s="17"/>
      <c r="G296" s="17"/>
      <c r="H296" s="17"/>
      <c r="I296" s="17"/>
      <c r="J296" s="17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25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2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25">
      <c r="A297" s="1"/>
      <c r="B297" s="1"/>
      <c r="C297" s="1"/>
      <c r="D297" s="13"/>
      <c r="E297" s="17"/>
      <c r="F297" s="17"/>
      <c r="G297" s="17"/>
      <c r="H297" s="17"/>
      <c r="I297" s="17"/>
      <c r="J297" s="17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25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2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25">
      <c r="A298" s="1"/>
      <c r="B298" s="1"/>
      <c r="C298" s="1"/>
      <c r="D298" s="13"/>
      <c r="E298" s="17"/>
      <c r="F298" s="17"/>
      <c r="G298" s="17"/>
      <c r="H298" s="17"/>
      <c r="I298" s="17"/>
      <c r="J298" s="17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25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2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25">
      <c r="A299" s="1"/>
      <c r="B299" s="1"/>
      <c r="C299" s="1"/>
      <c r="D299" s="13"/>
      <c r="E299" s="17"/>
      <c r="F299" s="17"/>
      <c r="G299" s="17"/>
      <c r="H299" s="17"/>
      <c r="I299" s="17"/>
      <c r="J299" s="17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25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2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25">
      <c r="A300" s="1" t="s">
        <v>1778</v>
      </c>
      <c r="B300" s="1"/>
      <c r="C300" s="1"/>
      <c r="D300" s="13"/>
      <c r="E300" s="17"/>
      <c r="F300" s="17"/>
      <c r="G300" s="17"/>
      <c r="H300" s="17"/>
      <c r="I300" s="17"/>
      <c r="J300" s="17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25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2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1"/>
      <c r="AT300" s="1"/>
      <c r="AU300" s="1"/>
      <c r="AV300" s="1"/>
      <c r="AW300" s="1"/>
      <c r="AX300" s="1"/>
      <c r="AY300" s="1"/>
      <c r="AZ30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4" name="Button 11">
              <controlPr defaultSize="0" print="0" autoFill="0" autoPict="0" macro="[0]!stocks">
                <anchor moveWithCells="1" sizeWithCells="1">
                  <from>
                    <xdr:col>1</xdr:col>
                    <xdr:colOff>38100</xdr:colOff>
                    <xdr:row>2</xdr:row>
                    <xdr:rowOff>76200</xdr:rowOff>
                  </from>
                  <to>
                    <xdr:col>1</xdr:col>
                    <xdr:colOff>1209675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'Reference Information'!$B$3:$B$1778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19" sqref="I1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J200"/>
  <sheetViews>
    <sheetView zoomScale="80" zoomScaleNormal="80" workbookViewId="0">
      <pane ySplit="3" topLeftCell="A4" activePane="bottomLeft" state="frozen"/>
      <selection pane="bottomLeft" activeCell="K18" sqref="K18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2" width="11.5703125" style="8" bestFit="1" customWidth="1"/>
    <col min="13" max="13" width="10.42578125" style="8" bestFit="1" customWidth="1"/>
    <col min="14" max="14" width="15.28515625" style="8" bestFit="1" customWidth="1"/>
    <col min="16" max="16" width="13.140625" bestFit="1" customWidth="1"/>
    <col min="17" max="17" width="11.28515625" bestFit="1" customWidth="1"/>
    <col min="18" max="18" width="11.28515625" customWidth="1"/>
    <col min="19" max="19" width="16.28515625" customWidth="1"/>
    <col min="20" max="20" width="15.7109375" bestFit="1" customWidth="1"/>
    <col min="21" max="22" width="12" customWidth="1"/>
    <col min="23" max="23" width="16.28515625" customWidth="1"/>
    <col min="24" max="24" width="15.7109375" bestFit="1" customWidth="1"/>
    <col min="25" max="26" width="12" customWidth="1"/>
  </cols>
  <sheetData>
    <row r="1" spans="1:36" x14ac:dyDescent="0.25">
      <c r="A1" s="59" t="s">
        <v>1887</v>
      </c>
      <c r="B1" s="68" t="s">
        <v>1823</v>
      </c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2"/>
    </row>
    <row r="2" spans="1:36" x14ac:dyDescent="0.25">
      <c r="A2" s="40" t="b">
        <v>0</v>
      </c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5"/>
      <c r="N2" s="4"/>
      <c r="O2" s="1"/>
      <c r="P2" s="1"/>
      <c r="Q2" s="70" t="s">
        <v>1851</v>
      </c>
      <c r="R2" s="72"/>
      <c r="S2" s="70" t="s">
        <v>1849</v>
      </c>
      <c r="T2" s="71"/>
      <c r="U2" s="71"/>
      <c r="V2" s="72"/>
      <c r="W2" s="70" t="s">
        <v>1850</v>
      </c>
      <c r="X2" s="71"/>
      <c r="Y2" s="71"/>
      <c r="Z2" s="72"/>
      <c r="AA2" s="1"/>
      <c r="AB2" s="1"/>
      <c r="AJ2" s="11"/>
    </row>
    <row r="3" spans="1:36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5"/>
      <c r="N3" s="19" t="s">
        <v>1826</v>
      </c>
      <c r="O3" s="19" t="s">
        <v>1827</v>
      </c>
      <c r="P3" s="19" t="s">
        <v>1828</v>
      </c>
      <c r="Q3" s="37" t="s">
        <v>1824</v>
      </c>
      <c r="R3" s="38" t="s">
        <v>1829</v>
      </c>
      <c r="S3" s="37" t="s">
        <v>1831</v>
      </c>
      <c r="T3" s="19" t="s">
        <v>1825</v>
      </c>
      <c r="U3" s="19" t="s">
        <v>1830</v>
      </c>
      <c r="V3" s="38" t="s">
        <v>1832</v>
      </c>
      <c r="W3" s="37" t="s">
        <v>1847</v>
      </c>
      <c r="X3" s="19" t="s">
        <v>1848</v>
      </c>
      <c r="Y3" s="19" t="s">
        <v>1830</v>
      </c>
      <c r="Z3" s="38" t="s">
        <v>1832</v>
      </c>
      <c r="AA3" s="1"/>
      <c r="AB3" s="1"/>
      <c r="AD3" s="28" t="str">
        <f>B3</f>
        <v>Expiry</v>
      </c>
    </row>
    <row r="4" spans="1:36" x14ac:dyDescent="0.25">
      <c r="A4" s="1"/>
      <c r="B4" s="25">
        <v>43979</v>
      </c>
      <c r="C4" s="10" t="s">
        <v>247</v>
      </c>
      <c r="D4" s="1">
        <v>354.1</v>
      </c>
      <c r="E4" s="30">
        <v>2300</v>
      </c>
      <c r="F4" s="1">
        <v>360</v>
      </c>
      <c r="G4" s="1">
        <v>20.100000000000001</v>
      </c>
      <c r="H4" s="1">
        <v>184000</v>
      </c>
      <c r="I4" s="1">
        <v>2300</v>
      </c>
      <c r="J4" s="1">
        <v>19</v>
      </c>
      <c r="K4" s="1">
        <v>19.5</v>
      </c>
      <c r="L4" s="1">
        <v>4600</v>
      </c>
      <c r="M4" s="9"/>
      <c r="N4" s="7">
        <f t="shared" ref="N4:N42" si="0">$G4/$D4</f>
        <v>5.6763626094323637E-2</v>
      </c>
      <c r="O4" s="7">
        <f t="shared" ref="O4:O42" ca="1" si="1">N4/($B4-TODAY())</f>
        <v>-7.0954532617904546E-3</v>
      </c>
      <c r="P4" s="33">
        <f t="shared" ref="P4:P42" si="2">$E4*$D4</f>
        <v>814430</v>
      </c>
      <c r="Q4" s="33">
        <f t="shared" ref="Q4:Q42" si="3">($G4+$F4-$D4)*$E4</f>
        <v>59800</v>
      </c>
      <c r="R4" s="7">
        <f t="shared" ref="R4:R42" si="4">$Q4/$P4</f>
        <v>7.3425585992657444E-2</v>
      </c>
      <c r="S4" s="7" t="e">
        <f t="shared" ref="S4:S42" ca="1" si="5">mrigxl_max_drawdown($C4,INT($B4-TODAY()))</f>
        <v>#NAME?</v>
      </c>
      <c r="T4" s="33" t="e">
        <f t="shared" ref="T4:T42" ca="1" si="6">(S4*$D4+$G4)*$E4</f>
        <v>#NAME?</v>
      </c>
      <c r="U4" s="7" t="e">
        <f t="shared" ref="U4:U42" ca="1" si="7">T4/$P4</f>
        <v>#NAME?</v>
      </c>
      <c r="V4" s="7" t="e">
        <f t="shared" ref="V4:V42" ca="1" si="8">$R4+U4</f>
        <v>#NAME?</v>
      </c>
      <c r="W4" s="7" t="e">
        <f t="shared" ref="W4:W42" ca="1" si="9">mrigxl_avg_drawdown($C4,INT($B4-TODAY()))</f>
        <v>#NAME?</v>
      </c>
      <c r="X4" s="33" t="e">
        <f t="shared" ref="X4:X42" ca="1" si="10">(W4*$D4+$G4)*$E4</f>
        <v>#NAME?</v>
      </c>
      <c r="Y4" s="7" t="e">
        <f t="shared" ref="Y4:Y42" ca="1" si="11">X4/$P4</f>
        <v>#NAME?</v>
      </c>
      <c r="Z4" s="7" t="e">
        <f t="shared" ref="Z4:Z42" ca="1" si="12">$R4+Y4</f>
        <v>#NAME?</v>
      </c>
      <c r="AA4" s="1"/>
      <c r="AB4" s="1"/>
      <c r="AC4" s="60"/>
      <c r="AE4" s="34" t="s">
        <v>1846</v>
      </c>
    </row>
    <row r="5" spans="1:36" x14ac:dyDescent="0.25">
      <c r="A5" s="3"/>
      <c r="B5" s="25">
        <v>43979</v>
      </c>
      <c r="C5" s="10" t="s">
        <v>327</v>
      </c>
      <c r="D5" s="1">
        <v>590</v>
      </c>
      <c r="E5" s="30">
        <v>1150</v>
      </c>
      <c r="F5" s="1">
        <v>600</v>
      </c>
      <c r="G5" s="1">
        <v>33.200000000000003</v>
      </c>
      <c r="H5" s="1">
        <v>161000</v>
      </c>
      <c r="I5" s="1">
        <v>1150</v>
      </c>
      <c r="J5" s="1">
        <v>32.799999999999997</v>
      </c>
      <c r="K5" s="1">
        <v>33.200000000000003</v>
      </c>
      <c r="L5" s="1">
        <v>2300</v>
      </c>
      <c r="M5" s="9"/>
      <c r="N5" s="7">
        <f t="shared" si="0"/>
        <v>5.6271186440677974E-2</v>
      </c>
      <c r="O5" s="7">
        <f t="shared" ca="1" si="1"/>
        <v>-7.0338983050847468E-3</v>
      </c>
      <c r="P5" s="33">
        <f t="shared" si="2"/>
        <v>678500</v>
      </c>
      <c r="Q5" s="33">
        <f t="shared" si="3"/>
        <v>49680.000000000051</v>
      </c>
      <c r="R5" s="7">
        <f t="shared" si="4"/>
        <v>7.3220338983050928E-2</v>
      </c>
      <c r="S5" s="7" t="e">
        <f t="shared" ca="1" si="5"/>
        <v>#NAME?</v>
      </c>
      <c r="T5" s="33" t="e">
        <f t="shared" ca="1" si="6"/>
        <v>#NAME?</v>
      </c>
      <c r="U5" s="7" t="e">
        <f t="shared" ca="1" si="7"/>
        <v>#NAME?</v>
      </c>
      <c r="V5" s="7" t="e">
        <f t="shared" ca="1" si="8"/>
        <v>#NAME?</v>
      </c>
      <c r="W5" s="7" t="e">
        <f t="shared" ca="1" si="9"/>
        <v>#NAME?</v>
      </c>
      <c r="X5" s="33" t="e">
        <f t="shared" ca="1" si="10"/>
        <v>#NAME?</v>
      </c>
      <c r="Y5" s="7" t="e">
        <f t="shared" ca="1" si="11"/>
        <v>#NAME?</v>
      </c>
      <c r="Z5" s="7" t="e">
        <f t="shared" ca="1" si="12"/>
        <v>#NAME?</v>
      </c>
      <c r="AA5" s="1"/>
      <c r="AB5" s="1"/>
    </row>
    <row r="6" spans="1:36" x14ac:dyDescent="0.25">
      <c r="A6" s="3"/>
      <c r="B6" s="25">
        <v>43979</v>
      </c>
      <c r="C6" s="10" t="s">
        <v>409</v>
      </c>
      <c r="D6" s="1">
        <v>3931</v>
      </c>
      <c r="E6" s="30">
        <v>250</v>
      </c>
      <c r="F6" s="1">
        <v>4000</v>
      </c>
      <c r="G6" s="1">
        <v>201.25</v>
      </c>
      <c r="H6" s="1">
        <v>26750</v>
      </c>
      <c r="I6" s="1">
        <v>250</v>
      </c>
      <c r="J6" s="1">
        <v>195.05</v>
      </c>
      <c r="K6" s="1">
        <v>201.95</v>
      </c>
      <c r="L6" s="1">
        <v>2250</v>
      </c>
      <c r="M6" s="9"/>
      <c r="N6" s="7">
        <f t="shared" si="0"/>
        <v>5.1195624523022135E-2</v>
      </c>
      <c r="O6" s="7">
        <f t="shared" ca="1" si="1"/>
        <v>-6.3994530653777668E-3</v>
      </c>
      <c r="P6" s="33">
        <f t="shared" si="2"/>
        <v>982750</v>
      </c>
      <c r="Q6" s="33">
        <f t="shared" si="3"/>
        <v>67562.5</v>
      </c>
      <c r="R6" s="7">
        <f t="shared" si="4"/>
        <v>6.8748410073772581E-2</v>
      </c>
      <c r="S6" s="7" t="e">
        <f t="shared" ca="1" si="5"/>
        <v>#NAME?</v>
      </c>
      <c r="T6" s="33" t="e">
        <f t="shared" ca="1" si="6"/>
        <v>#NAME?</v>
      </c>
      <c r="U6" s="7" t="e">
        <f t="shared" ca="1" si="7"/>
        <v>#NAME?</v>
      </c>
      <c r="V6" s="7" t="e">
        <f t="shared" ca="1" si="8"/>
        <v>#NAME?</v>
      </c>
      <c r="W6" s="7" t="e">
        <f t="shared" ca="1" si="9"/>
        <v>#NAME?</v>
      </c>
      <c r="X6" s="33" t="e">
        <f t="shared" ca="1" si="10"/>
        <v>#NAME?</v>
      </c>
      <c r="Y6" s="7" t="e">
        <f t="shared" ca="1" si="11"/>
        <v>#NAME?</v>
      </c>
      <c r="Z6" s="7" t="e">
        <f t="shared" ca="1" si="12"/>
        <v>#NAME?</v>
      </c>
      <c r="AA6" s="1"/>
      <c r="AB6" s="1"/>
    </row>
    <row r="7" spans="1:36" x14ac:dyDescent="0.25">
      <c r="A7" s="3"/>
      <c r="B7" s="25">
        <v>43979</v>
      </c>
      <c r="C7" s="10" t="s">
        <v>539</v>
      </c>
      <c r="D7" s="1">
        <v>337.5</v>
      </c>
      <c r="E7" s="30">
        <v>1400</v>
      </c>
      <c r="F7" s="1">
        <v>330</v>
      </c>
      <c r="G7" s="1">
        <v>32.700000000000003</v>
      </c>
      <c r="H7" s="1">
        <v>53200</v>
      </c>
      <c r="I7" s="1">
        <v>4200</v>
      </c>
      <c r="J7" s="1">
        <v>33.049999999999997</v>
      </c>
      <c r="K7" s="1">
        <v>34.450000000000003</v>
      </c>
      <c r="L7" s="1">
        <v>1400</v>
      </c>
      <c r="M7" s="9"/>
      <c r="N7" s="7">
        <f t="shared" si="0"/>
        <v>9.6888888888888899E-2</v>
      </c>
      <c r="O7" s="7">
        <f t="shared" ca="1" si="1"/>
        <v>-1.2111111111111112E-2</v>
      </c>
      <c r="P7" s="33">
        <f t="shared" si="2"/>
        <v>472500</v>
      </c>
      <c r="Q7" s="33">
        <f t="shared" si="3"/>
        <v>35279.999999999985</v>
      </c>
      <c r="R7" s="7">
        <f t="shared" si="4"/>
        <v>7.4666666666666631E-2</v>
      </c>
      <c r="S7" s="7" t="e">
        <f t="shared" ca="1" si="5"/>
        <v>#NAME?</v>
      </c>
      <c r="T7" s="33" t="e">
        <f t="shared" ca="1" si="6"/>
        <v>#NAME?</v>
      </c>
      <c r="U7" s="7" t="e">
        <f t="shared" ca="1" si="7"/>
        <v>#NAME?</v>
      </c>
      <c r="V7" s="7" t="e">
        <f t="shared" ca="1" si="8"/>
        <v>#NAME?</v>
      </c>
      <c r="W7" s="7" t="e">
        <f t="shared" ca="1" si="9"/>
        <v>#NAME?</v>
      </c>
      <c r="X7" s="33" t="e">
        <f t="shared" ca="1" si="10"/>
        <v>#NAME?</v>
      </c>
      <c r="Y7" s="7" t="e">
        <f t="shared" ca="1" si="11"/>
        <v>#NAME?</v>
      </c>
      <c r="Z7" s="7" t="e">
        <f t="shared" ca="1" si="12"/>
        <v>#NAME?</v>
      </c>
      <c r="AA7" s="1"/>
      <c r="AB7" s="1"/>
    </row>
    <row r="8" spans="1:36" x14ac:dyDescent="0.25">
      <c r="A8" s="3"/>
      <c r="B8" s="25">
        <v>43979</v>
      </c>
      <c r="C8" s="10" t="s">
        <v>539</v>
      </c>
      <c r="D8" s="1">
        <v>337.5</v>
      </c>
      <c r="E8" s="30">
        <v>1400</v>
      </c>
      <c r="F8" s="1">
        <v>340</v>
      </c>
      <c r="G8" s="1">
        <v>28.65</v>
      </c>
      <c r="H8" s="1">
        <v>57400</v>
      </c>
      <c r="I8" s="1">
        <v>2800</v>
      </c>
      <c r="J8" s="1">
        <v>28.75</v>
      </c>
      <c r="K8" s="1">
        <v>29.2</v>
      </c>
      <c r="L8" s="1">
        <v>2800</v>
      </c>
      <c r="M8" s="9"/>
      <c r="N8" s="7">
        <f t="shared" si="0"/>
        <v>8.4888888888888889E-2</v>
      </c>
      <c r="O8" s="7">
        <f t="shared" ca="1" si="1"/>
        <v>-1.0611111111111111E-2</v>
      </c>
      <c r="P8" s="33">
        <f t="shared" si="2"/>
        <v>472500</v>
      </c>
      <c r="Q8" s="33">
        <f t="shared" si="3"/>
        <v>43609.999999999971</v>
      </c>
      <c r="R8" s="7">
        <f t="shared" si="4"/>
        <v>9.2296296296296237E-2</v>
      </c>
      <c r="S8" s="7" t="e">
        <f t="shared" ca="1" si="5"/>
        <v>#NAME?</v>
      </c>
      <c r="T8" s="33" t="e">
        <f t="shared" ca="1" si="6"/>
        <v>#NAME?</v>
      </c>
      <c r="U8" s="7" t="e">
        <f t="shared" ca="1" si="7"/>
        <v>#NAME?</v>
      </c>
      <c r="V8" s="7" t="e">
        <f t="shared" ca="1" si="8"/>
        <v>#NAME?</v>
      </c>
      <c r="W8" s="7" t="e">
        <f t="shared" ca="1" si="9"/>
        <v>#NAME?</v>
      </c>
      <c r="X8" s="33" t="e">
        <f t="shared" ca="1" si="10"/>
        <v>#NAME?</v>
      </c>
      <c r="Y8" s="7" t="e">
        <f t="shared" ca="1" si="11"/>
        <v>#NAME?</v>
      </c>
      <c r="Z8" s="7" t="e">
        <f t="shared" ca="1" si="12"/>
        <v>#NAME?</v>
      </c>
      <c r="AA8" s="1"/>
      <c r="AB8" s="1"/>
    </row>
    <row r="9" spans="1:36" x14ac:dyDescent="0.25">
      <c r="A9" s="3"/>
      <c r="B9" s="25">
        <v>43979</v>
      </c>
      <c r="C9" s="10" t="s">
        <v>644</v>
      </c>
      <c r="D9" s="1">
        <v>2205</v>
      </c>
      <c r="E9" s="30">
        <v>300</v>
      </c>
      <c r="F9" s="1">
        <v>2220</v>
      </c>
      <c r="G9" s="1">
        <v>115</v>
      </c>
      <c r="H9" s="1">
        <v>6300</v>
      </c>
      <c r="I9" s="1">
        <v>600</v>
      </c>
      <c r="J9" s="1">
        <v>113.75</v>
      </c>
      <c r="K9" s="1">
        <v>117.15</v>
      </c>
      <c r="L9" s="1">
        <v>600</v>
      </c>
      <c r="M9" s="9"/>
      <c r="N9" s="7">
        <f t="shared" si="0"/>
        <v>5.2154195011337869E-2</v>
      </c>
      <c r="O9" s="7">
        <f t="shared" ca="1" si="1"/>
        <v>-6.5192743764172336E-3</v>
      </c>
      <c r="P9" s="33">
        <f t="shared" si="2"/>
        <v>661500</v>
      </c>
      <c r="Q9" s="33">
        <f t="shared" si="3"/>
        <v>39000</v>
      </c>
      <c r="R9" s="7">
        <f t="shared" si="4"/>
        <v>5.8956916099773243E-2</v>
      </c>
      <c r="S9" s="7" t="e">
        <f t="shared" ca="1" si="5"/>
        <v>#NAME?</v>
      </c>
      <c r="T9" s="33" t="e">
        <f t="shared" ca="1" si="6"/>
        <v>#NAME?</v>
      </c>
      <c r="U9" s="7" t="e">
        <f t="shared" ca="1" si="7"/>
        <v>#NAME?</v>
      </c>
      <c r="V9" s="7" t="e">
        <f t="shared" ca="1" si="8"/>
        <v>#NAME?</v>
      </c>
      <c r="W9" s="7" t="e">
        <f t="shared" ca="1" si="9"/>
        <v>#NAME?</v>
      </c>
      <c r="X9" s="33" t="e">
        <f t="shared" ca="1" si="10"/>
        <v>#NAME?</v>
      </c>
      <c r="Y9" s="7" t="e">
        <f t="shared" ca="1" si="11"/>
        <v>#NAME?</v>
      </c>
      <c r="Z9" s="7" t="e">
        <f t="shared" ca="1" si="12"/>
        <v>#NAME?</v>
      </c>
      <c r="AA9" s="1"/>
      <c r="AB9" s="1"/>
    </row>
    <row r="10" spans="1:36" x14ac:dyDescent="0.25">
      <c r="A10" s="3"/>
      <c r="B10" s="25">
        <v>43979</v>
      </c>
      <c r="C10" s="10" t="s">
        <v>644</v>
      </c>
      <c r="D10" s="1">
        <v>2205</v>
      </c>
      <c r="E10" s="30">
        <v>300</v>
      </c>
      <c r="F10" s="1">
        <v>2240</v>
      </c>
      <c r="G10" s="1">
        <v>109</v>
      </c>
      <c r="H10" s="1">
        <v>25200</v>
      </c>
      <c r="I10" s="1">
        <v>300</v>
      </c>
      <c r="J10" s="1">
        <v>105.2</v>
      </c>
      <c r="K10" s="1">
        <v>107.95</v>
      </c>
      <c r="L10" s="1">
        <v>1200</v>
      </c>
      <c r="M10" s="9"/>
      <c r="N10" s="7">
        <f t="shared" si="0"/>
        <v>4.9433106575963719E-2</v>
      </c>
      <c r="O10" s="7">
        <f t="shared" ca="1" si="1"/>
        <v>-6.1791383219954648E-3</v>
      </c>
      <c r="P10" s="33">
        <f t="shared" si="2"/>
        <v>661500</v>
      </c>
      <c r="Q10" s="33">
        <f t="shared" si="3"/>
        <v>43200</v>
      </c>
      <c r="R10" s="7">
        <f t="shared" si="4"/>
        <v>6.5306122448979598E-2</v>
      </c>
      <c r="S10" s="7" t="e">
        <f t="shared" ca="1" si="5"/>
        <v>#NAME?</v>
      </c>
      <c r="T10" s="33" t="e">
        <f t="shared" ca="1" si="6"/>
        <v>#NAME?</v>
      </c>
      <c r="U10" s="7" t="e">
        <f t="shared" ca="1" si="7"/>
        <v>#NAME?</v>
      </c>
      <c r="V10" s="7" t="e">
        <f t="shared" ca="1" si="8"/>
        <v>#NAME?</v>
      </c>
      <c r="W10" s="7" t="e">
        <f t="shared" ca="1" si="9"/>
        <v>#NAME?</v>
      </c>
      <c r="X10" s="33" t="e">
        <f t="shared" ca="1" si="10"/>
        <v>#NAME?</v>
      </c>
      <c r="Y10" s="7" t="e">
        <f t="shared" ca="1" si="11"/>
        <v>#NAME?</v>
      </c>
      <c r="Z10" s="7" t="e">
        <f t="shared" ca="1" si="12"/>
        <v>#NAME?</v>
      </c>
      <c r="AA10" s="1"/>
      <c r="AB10" s="1"/>
    </row>
    <row r="11" spans="1:36" x14ac:dyDescent="0.25">
      <c r="A11" s="3"/>
      <c r="B11" s="25">
        <v>43979</v>
      </c>
      <c r="C11" s="10" t="s">
        <v>933</v>
      </c>
      <c r="D11" s="1">
        <v>833.8</v>
      </c>
      <c r="E11" s="30">
        <v>700</v>
      </c>
      <c r="F11" s="1">
        <v>840</v>
      </c>
      <c r="G11" s="1">
        <v>59.6</v>
      </c>
      <c r="H11" s="1">
        <v>9100</v>
      </c>
      <c r="I11" s="1">
        <v>1400</v>
      </c>
      <c r="J11" s="1">
        <v>53.5</v>
      </c>
      <c r="K11" s="1">
        <v>59.6</v>
      </c>
      <c r="L11" s="1">
        <v>11200</v>
      </c>
      <c r="M11" s="9"/>
      <c r="N11" s="7">
        <f t="shared" si="0"/>
        <v>7.1479971216118973E-2</v>
      </c>
      <c r="O11" s="7">
        <f t="shared" ca="1" si="1"/>
        <v>-8.9349964020148716E-3</v>
      </c>
      <c r="P11" s="33">
        <f t="shared" si="2"/>
        <v>583660</v>
      </c>
      <c r="Q11" s="33">
        <f t="shared" si="3"/>
        <v>46060.000000000051</v>
      </c>
      <c r="R11" s="7">
        <f t="shared" si="4"/>
        <v>7.8915807147997202E-2</v>
      </c>
      <c r="S11" s="7" t="e">
        <f t="shared" ca="1" si="5"/>
        <v>#NAME?</v>
      </c>
      <c r="T11" s="33" t="e">
        <f t="shared" ca="1" si="6"/>
        <v>#NAME?</v>
      </c>
      <c r="U11" s="7" t="e">
        <f t="shared" ca="1" si="7"/>
        <v>#NAME?</v>
      </c>
      <c r="V11" s="7" t="e">
        <f t="shared" ca="1" si="8"/>
        <v>#NAME?</v>
      </c>
      <c r="W11" s="7" t="e">
        <f t="shared" ca="1" si="9"/>
        <v>#NAME?</v>
      </c>
      <c r="X11" s="33" t="e">
        <f t="shared" ca="1" si="10"/>
        <v>#NAME?</v>
      </c>
      <c r="Y11" s="7" t="e">
        <f t="shared" ca="1" si="11"/>
        <v>#NAME?</v>
      </c>
      <c r="Z11" s="7" t="e">
        <f t="shared" ca="1" si="12"/>
        <v>#NAME?</v>
      </c>
      <c r="AA11" s="1"/>
      <c r="AB11" s="1"/>
    </row>
    <row r="12" spans="1:36" x14ac:dyDescent="0.25">
      <c r="A12" s="3"/>
      <c r="B12" s="25">
        <v>43979</v>
      </c>
      <c r="C12" s="10" t="s">
        <v>1530</v>
      </c>
      <c r="D12" s="1">
        <v>466</v>
      </c>
      <c r="E12" s="30">
        <v>1250</v>
      </c>
      <c r="F12" s="1">
        <v>460</v>
      </c>
      <c r="G12" s="1">
        <v>39.5</v>
      </c>
      <c r="H12" s="1">
        <v>11250</v>
      </c>
      <c r="I12" s="1">
        <v>1250</v>
      </c>
      <c r="J12" s="1">
        <v>39.65</v>
      </c>
      <c r="K12" s="1">
        <v>40.25</v>
      </c>
      <c r="L12" s="1">
        <v>1250</v>
      </c>
      <c r="M12" s="9"/>
      <c r="N12" s="7">
        <f t="shared" si="0"/>
        <v>8.4763948497854083E-2</v>
      </c>
      <c r="O12" s="7">
        <f t="shared" ca="1" si="1"/>
        <v>-1.059549356223176E-2</v>
      </c>
      <c r="P12" s="33">
        <f t="shared" si="2"/>
        <v>582500</v>
      </c>
      <c r="Q12" s="33">
        <f t="shared" si="3"/>
        <v>41875</v>
      </c>
      <c r="R12" s="7">
        <f t="shared" si="4"/>
        <v>7.1888412017167377E-2</v>
      </c>
      <c r="S12" s="7" t="e">
        <f t="shared" ca="1" si="5"/>
        <v>#NAME?</v>
      </c>
      <c r="T12" s="33" t="e">
        <f t="shared" ca="1" si="6"/>
        <v>#NAME?</v>
      </c>
      <c r="U12" s="7" t="e">
        <f t="shared" ca="1" si="7"/>
        <v>#NAME?</v>
      </c>
      <c r="V12" s="7" t="e">
        <f t="shared" ca="1" si="8"/>
        <v>#NAME?</v>
      </c>
      <c r="W12" s="7" t="e">
        <f t="shared" ca="1" si="9"/>
        <v>#NAME?</v>
      </c>
      <c r="X12" s="33" t="e">
        <f t="shared" ca="1" si="10"/>
        <v>#NAME?</v>
      </c>
      <c r="Y12" s="7" t="e">
        <f t="shared" ca="1" si="11"/>
        <v>#NAME?</v>
      </c>
      <c r="Z12" s="7" t="e">
        <f t="shared" ca="1" si="12"/>
        <v>#NAME?</v>
      </c>
      <c r="AA12" s="1"/>
      <c r="AB12" s="1"/>
    </row>
    <row r="13" spans="1:36" x14ac:dyDescent="0.25">
      <c r="A13" s="3"/>
      <c r="B13" s="25">
        <v>43979</v>
      </c>
      <c r="C13" s="10" t="s">
        <v>1530</v>
      </c>
      <c r="D13" s="1">
        <v>466</v>
      </c>
      <c r="E13" s="30">
        <v>1250</v>
      </c>
      <c r="F13" s="1">
        <v>470</v>
      </c>
      <c r="G13" s="1">
        <v>35</v>
      </c>
      <c r="H13" s="1">
        <v>97500</v>
      </c>
      <c r="I13" s="1">
        <v>2500</v>
      </c>
      <c r="J13" s="1">
        <v>34.65</v>
      </c>
      <c r="K13" s="1">
        <v>35.1</v>
      </c>
      <c r="L13" s="1">
        <v>2500</v>
      </c>
      <c r="M13" s="9"/>
      <c r="N13" s="7">
        <f t="shared" si="0"/>
        <v>7.5107296137339061E-2</v>
      </c>
      <c r="O13" s="7">
        <f t="shared" ca="1" si="1"/>
        <v>-9.3884120171673826E-3</v>
      </c>
      <c r="P13" s="33">
        <f t="shared" si="2"/>
        <v>582500</v>
      </c>
      <c r="Q13" s="33">
        <f t="shared" si="3"/>
        <v>48750</v>
      </c>
      <c r="R13" s="7">
        <f t="shared" si="4"/>
        <v>8.3690987124463517E-2</v>
      </c>
      <c r="S13" s="7" t="e">
        <f t="shared" ca="1" si="5"/>
        <v>#NAME?</v>
      </c>
      <c r="T13" s="33" t="e">
        <f t="shared" ca="1" si="6"/>
        <v>#NAME?</v>
      </c>
      <c r="U13" s="7" t="e">
        <f t="shared" ca="1" si="7"/>
        <v>#NAME?</v>
      </c>
      <c r="V13" s="7" t="e">
        <f t="shared" ca="1" si="8"/>
        <v>#NAME?</v>
      </c>
      <c r="W13" s="7" t="e">
        <f t="shared" ca="1" si="9"/>
        <v>#NAME?</v>
      </c>
      <c r="X13" s="33" t="e">
        <f t="shared" ca="1" si="10"/>
        <v>#NAME?</v>
      </c>
      <c r="Y13" s="7" t="e">
        <f t="shared" ca="1" si="11"/>
        <v>#NAME?</v>
      </c>
      <c r="Z13" s="7" t="e">
        <f t="shared" ca="1" si="12"/>
        <v>#NAME?</v>
      </c>
      <c r="AA13" s="1"/>
      <c r="AB13" s="1"/>
    </row>
    <row r="14" spans="1:36" x14ac:dyDescent="0.25">
      <c r="A14" s="3"/>
      <c r="B14" s="25">
        <v>43979</v>
      </c>
      <c r="C14" s="10" t="s">
        <v>1757</v>
      </c>
      <c r="D14" s="1">
        <v>27.85</v>
      </c>
      <c r="E14" s="30">
        <v>8800</v>
      </c>
      <c r="F14" s="1">
        <v>25</v>
      </c>
      <c r="G14" s="1">
        <v>5.6</v>
      </c>
      <c r="H14" s="1">
        <v>413600</v>
      </c>
      <c r="I14" s="1">
        <v>8800</v>
      </c>
      <c r="J14" s="1">
        <v>5.2</v>
      </c>
      <c r="K14" s="1">
        <v>5.65</v>
      </c>
      <c r="L14" s="1">
        <v>8800</v>
      </c>
      <c r="M14" s="9"/>
      <c r="N14" s="7">
        <f t="shared" si="0"/>
        <v>0.20107719928186712</v>
      </c>
      <c r="O14" s="7">
        <f t="shared" ca="1" si="1"/>
        <v>-2.5134649910233391E-2</v>
      </c>
      <c r="P14" s="33">
        <f t="shared" si="2"/>
        <v>245080</v>
      </c>
      <c r="Q14" s="33">
        <f t="shared" si="3"/>
        <v>24200</v>
      </c>
      <c r="R14" s="7">
        <f t="shared" si="4"/>
        <v>9.8743267504488336E-2</v>
      </c>
      <c r="S14" s="7" t="e">
        <f t="shared" ca="1" si="5"/>
        <v>#NAME?</v>
      </c>
      <c r="T14" s="33" t="e">
        <f t="shared" ca="1" si="6"/>
        <v>#NAME?</v>
      </c>
      <c r="U14" s="7" t="e">
        <f t="shared" ca="1" si="7"/>
        <v>#NAME?</v>
      </c>
      <c r="V14" s="7" t="e">
        <f t="shared" ca="1" si="8"/>
        <v>#NAME?</v>
      </c>
      <c r="W14" s="7" t="e">
        <f t="shared" ca="1" si="9"/>
        <v>#NAME?</v>
      </c>
      <c r="X14" s="33" t="e">
        <f t="shared" ca="1" si="10"/>
        <v>#NAME?</v>
      </c>
      <c r="Y14" s="7" t="e">
        <f t="shared" ca="1" si="11"/>
        <v>#NAME?</v>
      </c>
      <c r="Z14" s="7" t="e">
        <f t="shared" ca="1" si="12"/>
        <v>#NAME?</v>
      </c>
      <c r="AA14" s="1"/>
      <c r="AB14" s="1"/>
    </row>
    <row r="15" spans="1:36" x14ac:dyDescent="0.25">
      <c r="A15" s="3"/>
      <c r="B15" s="25">
        <v>43979</v>
      </c>
      <c r="C15" s="10" t="s">
        <v>1757</v>
      </c>
      <c r="D15" s="1">
        <v>27.85</v>
      </c>
      <c r="E15" s="30">
        <v>8800</v>
      </c>
      <c r="F15" s="1">
        <v>30</v>
      </c>
      <c r="G15" s="1">
        <v>3.1</v>
      </c>
      <c r="H15" s="1">
        <v>2560800</v>
      </c>
      <c r="I15" s="1">
        <v>17600</v>
      </c>
      <c r="J15" s="1">
        <v>3.1</v>
      </c>
      <c r="K15" s="1">
        <v>3.2</v>
      </c>
      <c r="L15" s="1">
        <v>17600</v>
      </c>
      <c r="M15" s="9"/>
      <c r="N15" s="7">
        <f t="shared" si="0"/>
        <v>0.11131059245960502</v>
      </c>
      <c r="O15" s="7">
        <f t="shared" ca="1" si="1"/>
        <v>-1.3913824057450628E-2</v>
      </c>
      <c r="P15" s="33">
        <f t="shared" si="2"/>
        <v>245080</v>
      </c>
      <c r="Q15" s="33">
        <f t="shared" si="3"/>
        <v>46200</v>
      </c>
      <c r="R15" s="7">
        <f t="shared" si="4"/>
        <v>0.18850987432675045</v>
      </c>
      <c r="S15" s="7" t="e">
        <f t="shared" ca="1" si="5"/>
        <v>#NAME?</v>
      </c>
      <c r="T15" s="33" t="e">
        <f t="shared" ca="1" si="6"/>
        <v>#NAME?</v>
      </c>
      <c r="U15" s="7" t="e">
        <f t="shared" ca="1" si="7"/>
        <v>#NAME?</v>
      </c>
      <c r="V15" s="7" t="e">
        <f t="shared" ca="1" si="8"/>
        <v>#NAME?</v>
      </c>
      <c r="W15" s="7" t="e">
        <f t="shared" ca="1" si="9"/>
        <v>#NAME?</v>
      </c>
      <c r="X15" s="33" t="e">
        <f t="shared" ca="1" si="10"/>
        <v>#NAME?</v>
      </c>
      <c r="Y15" s="7" t="e">
        <f t="shared" ca="1" si="11"/>
        <v>#NAME?</v>
      </c>
      <c r="Z15" s="7" t="e">
        <f t="shared" ca="1" si="12"/>
        <v>#NAME?</v>
      </c>
      <c r="AA15" s="1"/>
      <c r="AB15" s="1"/>
    </row>
    <row r="16" spans="1:36" x14ac:dyDescent="0.25">
      <c r="A16" s="3"/>
      <c r="B16" s="25"/>
      <c r="C16" s="10"/>
      <c r="D16" s="1"/>
      <c r="E16" s="30"/>
      <c r="F16" s="1"/>
      <c r="G16" s="1"/>
      <c r="H16" s="1"/>
      <c r="I16" s="1"/>
      <c r="J16" s="1"/>
      <c r="K16" s="1"/>
      <c r="L16" s="1"/>
      <c r="M16" s="9"/>
      <c r="N16" s="7" t="e">
        <f t="shared" si="0"/>
        <v>#DIV/0!</v>
      </c>
      <c r="O16" s="7" t="e">
        <f t="shared" ca="1" si="1"/>
        <v>#DIV/0!</v>
      </c>
      <c r="P16" s="33">
        <f t="shared" si="2"/>
        <v>0</v>
      </c>
      <c r="Q16" s="33">
        <f t="shared" si="3"/>
        <v>0</v>
      </c>
      <c r="R16" s="7" t="e">
        <f t="shared" si="4"/>
        <v>#DIV/0!</v>
      </c>
      <c r="S16" s="7" t="e">
        <f t="shared" ca="1" si="5"/>
        <v>#NAME?</v>
      </c>
      <c r="T16" s="33" t="e">
        <f t="shared" ca="1" si="6"/>
        <v>#NAME?</v>
      </c>
      <c r="U16" s="7" t="e">
        <f t="shared" ca="1" si="7"/>
        <v>#NAME?</v>
      </c>
      <c r="V16" s="7" t="e">
        <f t="shared" ca="1" si="8"/>
        <v>#DIV/0!</v>
      </c>
      <c r="W16" s="7" t="e">
        <f t="shared" ca="1" si="9"/>
        <v>#NAME?</v>
      </c>
      <c r="X16" s="33" t="e">
        <f t="shared" ca="1" si="10"/>
        <v>#NAME?</v>
      </c>
      <c r="Y16" s="7" t="e">
        <f t="shared" ca="1" si="11"/>
        <v>#NAME?</v>
      </c>
      <c r="Z16" s="7" t="e">
        <f t="shared" ca="1" si="12"/>
        <v>#DIV/0!</v>
      </c>
      <c r="AA16" s="1"/>
      <c r="AB16" s="1"/>
    </row>
    <row r="17" spans="1:28" x14ac:dyDescent="0.25">
      <c r="A17" s="3"/>
      <c r="B17" s="25"/>
      <c r="C17" s="10"/>
      <c r="D17" s="1"/>
      <c r="E17" s="30"/>
      <c r="F17" s="1"/>
      <c r="G17" s="1"/>
      <c r="H17" s="1"/>
      <c r="I17" s="1"/>
      <c r="J17" s="1"/>
      <c r="K17" s="1"/>
      <c r="L17" s="1"/>
      <c r="M17" s="9"/>
      <c r="N17" s="7" t="e">
        <f t="shared" si="0"/>
        <v>#DIV/0!</v>
      </c>
      <c r="O17" s="7" t="e">
        <f t="shared" ca="1" si="1"/>
        <v>#DIV/0!</v>
      </c>
      <c r="P17" s="33">
        <f t="shared" si="2"/>
        <v>0</v>
      </c>
      <c r="Q17" s="33">
        <f t="shared" si="3"/>
        <v>0</v>
      </c>
      <c r="R17" s="7" t="e">
        <f t="shared" si="4"/>
        <v>#DIV/0!</v>
      </c>
      <c r="S17" s="7" t="e">
        <f t="shared" ca="1" si="5"/>
        <v>#NAME?</v>
      </c>
      <c r="T17" s="33" t="e">
        <f t="shared" ca="1" si="6"/>
        <v>#NAME?</v>
      </c>
      <c r="U17" s="7" t="e">
        <f t="shared" ca="1" si="7"/>
        <v>#NAME?</v>
      </c>
      <c r="V17" s="7" t="e">
        <f t="shared" ca="1" si="8"/>
        <v>#DIV/0!</v>
      </c>
      <c r="W17" s="7" t="e">
        <f t="shared" ca="1" si="9"/>
        <v>#NAME?</v>
      </c>
      <c r="X17" s="33" t="e">
        <f t="shared" ca="1" si="10"/>
        <v>#NAME?</v>
      </c>
      <c r="Y17" s="7" t="e">
        <f t="shared" ca="1" si="11"/>
        <v>#NAME?</v>
      </c>
      <c r="Z17" s="7" t="e">
        <f t="shared" ca="1" si="12"/>
        <v>#DIV/0!</v>
      </c>
      <c r="AA17" s="1"/>
      <c r="AB17" s="1"/>
    </row>
    <row r="18" spans="1:28" x14ac:dyDescent="0.25">
      <c r="A18" s="3"/>
      <c r="B18" s="25"/>
      <c r="C18" s="10"/>
      <c r="D18" s="1"/>
      <c r="E18" s="30"/>
      <c r="F18" s="1"/>
      <c r="G18" s="1"/>
      <c r="H18" s="1"/>
      <c r="I18" s="1"/>
      <c r="J18" s="1"/>
      <c r="K18" s="1"/>
      <c r="L18" s="1"/>
      <c r="M18" s="9"/>
      <c r="N18" s="7" t="e">
        <f t="shared" si="0"/>
        <v>#DIV/0!</v>
      </c>
      <c r="O18" s="7" t="e">
        <f t="shared" ca="1" si="1"/>
        <v>#DIV/0!</v>
      </c>
      <c r="P18" s="33">
        <f t="shared" si="2"/>
        <v>0</v>
      </c>
      <c r="Q18" s="33">
        <f t="shared" si="3"/>
        <v>0</v>
      </c>
      <c r="R18" s="7" t="e">
        <f t="shared" si="4"/>
        <v>#DIV/0!</v>
      </c>
      <c r="S18" s="7" t="e">
        <f t="shared" ca="1" si="5"/>
        <v>#NAME?</v>
      </c>
      <c r="T18" s="33" t="e">
        <f t="shared" ca="1" si="6"/>
        <v>#NAME?</v>
      </c>
      <c r="U18" s="7" t="e">
        <f t="shared" ca="1" si="7"/>
        <v>#NAME?</v>
      </c>
      <c r="V18" s="7" t="e">
        <f t="shared" ca="1" si="8"/>
        <v>#DIV/0!</v>
      </c>
      <c r="W18" s="7" t="e">
        <f t="shared" ca="1" si="9"/>
        <v>#NAME?</v>
      </c>
      <c r="X18" s="33" t="e">
        <f t="shared" ca="1" si="10"/>
        <v>#NAME?</v>
      </c>
      <c r="Y18" s="7" t="e">
        <f t="shared" ca="1" si="11"/>
        <v>#NAME?</v>
      </c>
      <c r="Z18" s="7" t="e">
        <f t="shared" ca="1" si="12"/>
        <v>#DIV/0!</v>
      </c>
      <c r="AA18" s="1"/>
      <c r="AB18" s="1"/>
    </row>
    <row r="19" spans="1:28" ht="15" customHeight="1" x14ac:dyDescent="0.25">
      <c r="A19" s="3"/>
      <c r="B19" s="25"/>
      <c r="C19" s="10"/>
      <c r="D19" s="1"/>
      <c r="E19" s="30"/>
      <c r="F19" s="1"/>
      <c r="G19" s="1"/>
      <c r="H19" s="1"/>
      <c r="I19" s="1"/>
      <c r="J19" s="1"/>
      <c r="K19" s="1"/>
      <c r="L19" s="1"/>
      <c r="M19" s="9"/>
      <c r="N19" s="7" t="e">
        <f t="shared" si="0"/>
        <v>#DIV/0!</v>
      </c>
      <c r="O19" s="7" t="e">
        <f t="shared" ca="1" si="1"/>
        <v>#DIV/0!</v>
      </c>
      <c r="P19" s="33">
        <f t="shared" si="2"/>
        <v>0</v>
      </c>
      <c r="Q19" s="33">
        <f t="shared" si="3"/>
        <v>0</v>
      </c>
      <c r="R19" s="7" t="e">
        <f t="shared" si="4"/>
        <v>#DIV/0!</v>
      </c>
      <c r="S19" s="7" t="e">
        <f t="shared" ca="1" si="5"/>
        <v>#NAME?</v>
      </c>
      <c r="T19" s="33" t="e">
        <f t="shared" ca="1" si="6"/>
        <v>#NAME?</v>
      </c>
      <c r="U19" s="7" t="e">
        <f t="shared" ca="1" si="7"/>
        <v>#NAME?</v>
      </c>
      <c r="V19" s="7" t="e">
        <f t="shared" ca="1" si="8"/>
        <v>#DIV/0!</v>
      </c>
      <c r="W19" s="7" t="e">
        <f t="shared" ca="1" si="9"/>
        <v>#NAME?</v>
      </c>
      <c r="X19" s="33" t="e">
        <f t="shared" ca="1" si="10"/>
        <v>#NAME?</v>
      </c>
      <c r="Y19" s="7" t="e">
        <f t="shared" ca="1" si="11"/>
        <v>#NAME?</v>
      </c>
      <c r="Z19" s="7" t="e">
        <f t="shared" ca="1" si="12"/>
        <v>#DIV/0!</v>
      </c>
      <c r="AA19" s="1"/>
      <c r="AB19" s="1"/>
    </row>
    <row r="20" spans="1:28" ht="15" customHeight="1" x14ac:dyDescent="0.25">
      <c r="A20" s="3"/>
      <c r="B20" s="25"/>
      <c r="C20" s="10"/>
      <c r="D20" s="1"/>
      <c r="E20" s="30"/>
      <c r="F20" s="1"/>
      <c r="G20" s="1"/>
      <c r="H20" s="1"/>
      <c r="I20" s="1"/>
      <c r="J20" s="1"/>
      <c r="K20" s="1"/>
      <c r="L20" s="1"/>
      <c r="M20" s="9"/>
      <c r="N20" s="7" t="e">
        <f t="shared" si="0"/>
        <v>#DIV/0!</v>
      </c>
      <c r="O20" s="7" t="e">
        <f t="shared" ca="1" si="1"/>
        <v>#DIV/0!</v>
      </c>
      <c r="P20" s="33">
        <f t="shared" si="2"/>
        <v>0</v>
      </c>
      <c r="Q20" s="33">
        <f t="shared" si="3"/>
        <v>0</v>
      </c>
      <c r="R20" s="7" t="e">
        <f t="shared" si="4"/>
        <v>#DIV/0!</v>
      </c>
      <c r="S20" s="7" t="e">
        <f t="shared" ca="1" si="5"/>
        <v>#NAME?</v>
      </c>
      <c r="T20" s="33" t="e">
        <f t="shared" ca="1" si="6"/>
        <v>#NAME?</v>
      </c>
      <c r="U20" s="7" t="e">
        <f t="shared" ca="1" si="7"/>
        <v>#NAME?</v>
      </c>
      <c r="V20" s="7" t="e">
        <f t="shared" ca="1" si="8"/>
        <v>#DIV/0!</v>
      </c>
      <c r="W20" s="7" t="e">
        <f t="shared" ca="1" si="9"/>
        <v>#NAME?</v>
      </c>
      <c r="X20" s="33" t="e">
        <f t="shared" ca="1" si="10"/>
        <v>#NAME?</v>
      </c>
      <c r="Y20" s="7" t="e">
        <f t="shared" ca="1" si="11"/>
        <v>#NAME?</v>
      </c>
      <c r="Z20" s="7" t="e">
        <f t="shared" ca="1" si="12"/>
        <v>#DIV/0!</v>
      </c>
      <c r="AA20" s="1"/>
      <c r="AB20" s="1"/>
    </row>
    <row r="21" spans="1:28" x14ac:dyDescent="0.25">
      <c r="A21" s="3"/>
      <c r="B21" s="25"/>
      <c r="C21" s="10"/>
      <c r="D21" s="1"/>
      <c r="E21" s="30"/>
      <c r="F21" s="1"/>
      <c r="G21" s="1"/>
      <c r="H21" s="1"/>
      <c r="I21" s="1"/>
      <c r="J21" s="1"/>
      <c r="K21" s="1"/>
      <c r="L21" s="1"/>
      <c r="M21" s="9"/>
      <c r="N21" s="7" t="e">
        <f t="shared" si="0"/>
        <v>#DIV/0!</v>
      </c>
      <c r="O21" s="7" t="e">
        <f t="shared" ca="1" si="1"/>
        <v>#DIV/0!</v>
      </c>
      <c r="P21" s="33">
        <f t="shared" si="2"/>
        <v>0</v>
      </c>
      <c r="Q21" s="33">
        <f t="shared" si="3"/>
        <v>0</v>
      </c>
      <c r="R21" s="7" t="e">
        <f t="shared" si="4"/>
        <v>#DIV/0!</v>
      </c>
      <c r="S21" s="7" t="e">
        <f t="shared" ca="1" si="5"/>
        <v>#NAME?</v>
      </c>
      <c r="T21" s="33" t="e">
        <f t="shared" ca="1" si="6"/>
        <v>#NAME?</v>
      </c>
      <c r="U21" s="7" t="e">
        <f t="shared" ca="1" si="7"/>
        <v>#NAME?</v>
      </c>
      <c r="V21" s="7" t="e">
        <f t="shared" ca="1" si="8"/>
        <v>#DIV/0!</v>
      </c>
      <c r="W21" s="7" t="e">
        <f t="shared" ca="1" si="9"/>
        <v>#NAME?</v>
      </c>
      <c r="X21" s="33" t="e">
        <f t="shared" ca="1" si="10"/>
        <v>#NAME?</v>
      </c>
      <c r="Y21" s="7" t="e">
        <f t="shared" ca="1" si="11"/>
        <v>#NAME?</v>
      </c>
      <c r="Z21" s="7" t="e">
        <f t="shared" ca="1" si="12"/>
        <v>#DIV/0!</v>
      </c>
      <c r="AA21" s="1"/>
      <c r="AB21" s="1"/>
    </row>
    <row r="22" spans="1:28" x14ac:dyDescent="0.25">
      <c r="A22" s="3"/>
      <c r="B22" s="25"/>
      <c r="C22" s="10"/>
      <c r="D22" s="1"/>
      <c r="E22" s="30"/>
      <c r="F22" s="1"/>
      <c r="G22" s="1"/>
      <c r="H22" s="1"/>
      <c r="I22" s="1"/>
      <c r="J22" s="1"/>
      <c r="K22" s="1"/>
      <c r="L22" s="1"/>
      <c r="M22" s="9"/>
      <c r="N22" s="7" t="e">
        <f t="shared" si="0"/>
        <v>#DIV/0!</v>
      </c>
      <c r="O22" s="7" t="e">
        <f t="shared" ca="1" si="1"/>
        <v>#DIV/0!</v>
      </c>
      <c r="P22" s="33">
        <f t="shared" si="2"/>
        <v>0</v>
      </c>
      <c r="Q22" s="33">
        <f t="shared" si="3"/>
        <v>0</v>
      </c>
      <c r="R22" s="7" t="e">
        <f t="shared" si="4"/>
        <v>#DIV/0!</v>
      </c>
      <c r="S22" s="7" t="e">
        <f t="shared" ca="1" si="5"/>
        <v>#NAME?</v>
      </c>
      <c r="T22" s="33" t="e">
        <f t="shared" ca="1" si="6"/>
        <v>#NAME?</v>
      </c>
      <c r="U22" s="7" t="e">
        <f t="shared" ca="1" si="7"/>
        <v>#NAME?</v>
      </c>
      <c r="V22" s="7" t="e">
        <f t="shared" ca="1" si="8"/>
        <v>#DIV/0!</v>
      </c>
      <c r="W22" s="7" t="e">
        <f t="shared" ca="1" si="9"/>
        <v>#NAME?</v>
      </c>
      <c r="X22" s="33" t="e">
        <f t="shared" ca="1" si="10"/>
        <v>#NAME?</v>
      </c>
      <c r="Y22" s="7" t="e">
        <f t="shared" ca="1" si="11"/>
        <v>#NAME?</v>
      </c>
      <c r="Z22" s="7" t="e">
        <f t="shared" ca="1" si="12"/>
        <v>#DIV/0!</v>
      </c>
      <c r="AA22" s="1"/>
      <c r="AB22" s="1"/>
    </row>
    <row r="23" spans="1:28" x14ac:dyDescent="0.25">
      <c r="A23" s="3"/>
      <c r="B23" s="25"/>
      <c r="C23" s="10"/>
      <c r="D23" s="1"/>
      <c r="E23" s="30"/>
      <c r="F23" s="1"/>
      <c r="G23" s="1"/>
      <c r="H23" s="1"/>
      <c r="I23" s="1"/>
      <c r="J23" s="1"/>
      <c r="K23" s="1"/>
      <c r="L23" s="1"/>
      <c r="M23" s="9"/>
      <c r="N23" s="7" t="e">
        <f t="shared" si="0"/>
        <v>#DIV/0!</v>
      </c>
      <c r="O23" s="7" t="e">
        <f t="shared" ca="1" si="1"/>
        <v>#DIV/0!</v>
      </c>
      <c r="P23" s="33">
        <f t="shared" si="2"/>
        <v>0</v>
      </c>
      <c r="Q23" s="33">
        <f t="shared" si="3"/>
        <v>0</v>
      </c>
      <c r="R23" s="7" t="e">
        <f t="shared" si="4"/>
        <v>#DIV/0!</v>
      </c>
      <c r="S23" s="7" t="e">
        <f t="shared" ca="1" si="5"/>
        <v>#NAME?</v>
      </c>
      <c r="T23" s="33" t="e">
        <f t="shared" ca="1" si="6"/>
        <v>#NAME?</v>
      </c>
      <c r="U23" s="7" t="e">
        <f t="shared" ca="1" si="7"/>
        <v>#NAME?</v>
      </c>
      <c r="V23" s="7" t="e">
        <f t="shared" ca="1" si="8"/>
        <v>#DIV/0!</v>
      </c>
      <c r="W23" s="7" t="e">
        <f t="shared" ca="1" si="9"/>
        <v>#NAME?</v>
      </c>
      <c r="X23" s="33" t="e">
        <f t="shared" ca="1" si="10"/>
        <v>#NAME?</v>
      </c>
      <c r="Y23" s="7" t="e">
        <f t="shared" ca="1" si="11"/>
        <v>#NAME?</v>
      </c>
      <c r="Z23" s="7" t="e">
        <f t="shared" ca="1" si="12"/>
        <v>#DIV/0!</v>
      </c>
      <c r="AA23" s="1"/>
      <c r="AB23" s="1"/>
    </row>
    <row r="24" spans="1:28" x14ac:dyDescent="0.25">
      <c r="A24" s="3"/>
      <c r="B24" s="25"/>
      <c r="C24" s="10"/>
      <c r="D24" s="1"/>
      <c r="E24" s="30"/>
      <c r="F24" s="1"/>
      <c r="G24" s="1"/>
      <c r="H24" s="1"/>
      <c r="I24" s="1"/>
      <c r="J24" s="1"/>
      <c r="K24" s="1"/>
      <c r="L24" s="1"/>
      <c r="M24" s="9"/>
      <c r="N24" s="7" t="e">
        <f t="shared" si="0"/>
        <v>#DIV/0!</v>
      </c>
      <c r="O24" s="7" t="e">
        <f t="shared" ca="1" si="1"/>
        <v>#DIV/0!</v>
      </c>
      <c r="P24" s="33">
        <f t="shared" si="2"/>
        <v>0</v>
      </c>
      <c r="Q24" s="33">
        <f t="shared" si="3"/>
        <v>0</v>
      </c>
      <c r="R24" s="7" t="e">
        <f t="shared" si="4"/>
        <v>#DIV/0!</v>
      </c>
      <c r="S24" s="7" t="e">
        <f t="shared" ca="1" si="5"/>
        <v>#NAME?</v>
      </c>
      <c r="T24" s="33" t="e">
        <f t="shared" ca="1" si="6"/>
        <v>#NAME?</v>
      </c>
      <c r="U24" s="7" t="e">
        <f t="shared" ca="1" si="7"/>
        <v>#NAME?</v>
      </c>
      <c r="V24" s="7" t="e">
        <f t="shared" ca="1" si="8"/>
        <v>#DIV/0!</v>
      </c>
      <c r="W24" s="7" t="e">
        <f t="shared" ca="1" si="9"/>
        <v>#NAME?</v>
      </c>
      <c r="X24" s="33" t="e">
        <f t="shared" ca="1" si="10"/>
        <v>#NAME?</v>
      </c>
      <c r="Y24" s="7" t="e">
        <f t="shared" ca="1" si="11"/>
        <v>#NAME?</v>
      </c>
      <c r="Z24" s="7" t="e">
        <f t="shared" ca="1" si="12"/>
        <v>#DIV/0!</v>
      </c>
      <c r="AA24" s="1"/>
      <c r="AB24" s="1"/>
    </row>
    <row r="25" spans="1:28" x14ac:dyDescent="0.25">
      <c r="A25" s="3"/>
      <c r="B25" s="25"/>
      <c r="C25" s="10"/>
      <c r="D25" s="1"/>
      <c r="E25" s="30"/>
      <c r="F25" s="1"/>
      <c r="G25" s="1"/>
      <c r="H25" s="1"/>
      <c r="I25" s="1"/>
      <c r="J25" s="1"/>
      <c r="K25" s="1"/>
      <c r="L25" s="1"/>
      <c r="M25" s="9"/>
      <c r="N25" s="7" t="e">
        <f t="shared" si="0"/>
        <v>#DIV/0!</v>
      </c>
      <c r="O25" s="7" t="e">
        <f t="shared" ca="1" si="1"/>
        <v>#DIV/0!</v>
      </c>
      <c r="P25" s="33">
        <f t="shared" si="2"/>
        <v>0</v>
      </c>
      <c r="Q25" s="33">
        <f t="shared" si="3"/>
        <v>0</v>
      </c>
      <c r="R25" s="7" t="e">
        <f t="shared" si="4"/>
        <v>#DIV/0!</v>
      </c>
      <c r="S25" s="7" t="e">
        <f t="shared" ca="1" si="5"/>
        <v>#NAME?</v>
      </c>
      <c r="T25" s="33" t="e">
        <f t="shared" ca="1" si="6"/>
        <v>#NAME?</v>
      </c>
      <c r="U25" s="7" t="e">
        <f t="shared" ca="1" si="7"/>
        <v>#NAME?</v>
      </c>
      <c r="V25" s="7" t="e">
        <f t="shared" ca="1" si="8"/>
        <v>#DIV/0!</v>
      </c>
      <c r="W25" s="7" t="e">
        <f t="shared" ca="1" si="9"/>
        <v>#NAME?</v>
      </c>
      <c r="X25" s="33" t="e">
        <f t="shared" ca="1" si="10"/>
        <v>#NAME?</v>
      </c>
      <c r="Y25" s="7" t="e">
        <f t="shared" ca="1" si="11"/>
        <v>#NAME?</v>
      </c>
      <c r="Z25" s="7" t="e">
        <f t="shared" ca="1" si="12"/>
        <v>#DIV/0!</v>
      </c>
      <c r="AA25" s="1"/>
      <c r="AB25" s="1"/>
    </row>
    <row r="26" spans="1:28" x14ac:dyDescent="0.25">
      <c r="A26" s="3"/>
      <c r="B26" s="25"/>
      <c r="C26" s="10"/>
      <c r="D26" s="1"/>
      <c r="E26" s="30"/>
      <c r="F26" s="1"/>
      <c r="G26" s="1"/>
      <c r="H26" s="1"/>
      <c r="I26" s="1"/>
      <c r="J26" s="1"/>
      <c r="K26" s="1"/>
      <c r="L26" s="1"/>
      <c r="M26" s="9"/>
      <c r="N26" s="7" t="e">
        <f t="shared" si="0"/>
        <v>#DIV/0!</v>
      </c>
      <c r="O26" s="7" t="e">
        <f t="shared" ca="1" si="1"/>
        <v>#DIV/0!</v>
      </c>
      <c r="P26" s="33">
        <f t="shared" si="2"/>
        <v>0</v>
      </c>
      <c r="Q26" s="33">
        <f t="shared" si="3"/>
        <v>0</v>
      </c>
      <c r="R26" s="7" t="e">
        <f t="shared" si="4"/>
        <v>#DIV/0!</v>
      </c>
      <c r="S26" s="7" t="e">
        <f t="shared" ca="1" si="5"/>
        <v>#NAME?</v>
      </c>
      <c r="T26" s="33" t="e">
        <f t="shared" ca="1" si="6"/>
        <v>#NAME?</v>
      </c>
      <c r="U26" s="7" t="e">
        <f t="shared" ca="1" si="7"/>
        <v>#NAME?</v>
      </c>
      <c r="V26" s="7" t="e">
        <f t="shared" ca="1" si="8"/>
        <v>#DIV/0!</v>
      </c>
      <c r="W26" s="7" t="e">
        <f t="shared" ca="1" si="9"/>
        <v>#NAME?</v>
      </c>
      <c r="X26" s="33" t="e">
        <f t="shared" ca="1" si="10"/>
        <v>#NAME?</v>
      </c>
      <c r="Y26" s="7" t="e">
        <f t="shared" ca="1" si="11"/>
        <v>#NAME?</v>
      </c>
      <c r="Z26" s="7" t="e">
        <f t="shared" ca="1" si="12"/>
        <v>#DIV/0!</v>
      </c>
      <c r="AA26" s="1"/>
      <c r="AB26" s="1"/>
    </row>
    <row r="27" spans="1:28" x14ac:dyDescent="0.25">
      <c r="A27" s="3"/>
      <c r="B27" s="25"/>
      <c r="C27" s="10"/>
      <c r="D27" s="1"/>
      <c r="E27" s="30"/>
      <c r="F27" s="1"/>
      <c r="G27" s="1"/>
      <c r="H27" s="1"/>
      <c r="I27" s="1"/>
      <c r="J27" s="1"/>
      <c r="K27" s="1"/>
      <c r="L27" s="1"/>
      <c r="M27" s="9"/>
      <c r="N27" s="7" t="e">
        <f t="shared" si="0"/>
        <v>#DIV/0!</v>
      </c>
      <c r="O27" s="7" t="e">
        <f t="shared" ca="1" si="1"/>
        <v>#DIV/0!</v>
      </c>
      <c r="P27" s="33">
        <f t="shared" si="2"/>
        <v>0</v>
      </c>
      <c r="Q27" s="33">
        <f t="shared" si="3"/>
        <v>0</v>
      </c>
      <c r="R27" s="7" t="e">
        <f t="shared" si="4"/>
        <v>#DIV/0!</v>
      </c>
      <c r="S27" s="7" t="e">
        <f t="shared" ca="1" si="5"/>
        <v>#NAME?</v>
      </c>
      <c r="T27" s="33" t="e">
        <f t="shared" ca="1" si="6"/>
        <v>#NAME?</v>
      </c>
      <c r="U27" s="7" t="e">
        <f t="shared" ca="1" si="7"/>
        <v>#NAME?</v>
      </c>
      <c r="V27" s="7" t="e">
        <f t="shared" ca="1" si="8"/>
        <v>#DIV/0!</v>
      </c>
      <c r="W27" s="7" t="e">
        <f t="shared" ca="1" si="9"/>
        <v>#NAME?</v>
      </c>
      <c r="X27" s="33" t="e">
        <f t="shared" ca="1" si="10"/>
        <v>#NAME?</v>
      </c>
      <c r="Y27" s="7" t="e">
        <f t="shared" ca="1" si="11"/>
        <v>#NAME?</v>
      </c>
      <c r="Z27" s="7" t="e">
        <f t="shared" ca="1" si="12"/>
        <v>#DIV/0!</v>
      </c>
      <c r="AA27" s="1"/>
      <c r="AB27" s="1"/>
    </row>
    <row r="28" spans="1:28" x14ac:dyDescent="0.25">
      <c r="A28" s="3"/>
      <c r="B28" s="25"/>
      <c r="C28" s="10"/>
      <c r="D28" s="1"/>
      <c r="E28" s="30"/>
      <c r="F28" s="1"/>
      <c r="G28" s="1"/>
      <c r="H28" s="1"/>
      <c r="I28" s="1"/>
      <c r="J28" s="1"/>
      <c r="K28" s="1"/>
      <c r="L28" s="1"/>
      <c r="M28" s="9"/>
      <c r="N28" s="7" t="e">
        <f t="shared" si="0"/>
        <v>#DIV/0!</v>
      </c>
      <c r="O28" s="7" t="e">
        <f t="shared" ca="1" si="1"/>
        <v>#DIV/0!</v>
      </c>
      <c r="P28" s="33">
        <f t="shared" si="2"/>
        <v>0</v>
      </c>
      <c r="Q28" s="33">
        <f t="shared" si="3"/>
        <v>0</v>
      </c>
      <c r="R28" s="7" t="e">
        <f t="shared" si="4"/>
        <v>#DIV/0!</v>
      </c>
      <c r="S28" s="7" t="e">
        <f t="shared" ca="1" si="5"/>
        <v>#NAME?</v>
      </c>
      <c r="T28" s="33" t="e">
        <f t="shared" ca="1" si="6"/>
        <v>#NAME?</v>
      </c>
      <c r="U28" s="7" t="e">
        <f t="shared" ca="1" si="7"/>
        <v>#NAME?</v>
      </c>
      <c r="V28" s="7" t="e">
        <f t="shared" ca="1" si="8"/>
        <v>#DIV/0!</v>
      </c>
      <c r="W28" s="7" t="e">
        <f t="shared" ca="1" si="9"/>
        <v>#NAME?</v>
      </c>
      <c r="X28" s="33" t="e">
        <f t="shared" ca="1" si="10"/>
        <v>#NAME?</v>
      </c>
      <c r="Y28" s="7" t="e">
        <f t="shared" ca="1" si="11"/>
        <v>#NAME?</v>
      </c>
      <c r="Z28" s="7" t="e">
        <f t="shared" ca="1" si="12"/>
        <v>#DIV/0!</v>
      </c>
      <c r="AA28" s="1"/>
      <c r="AB28" s="1"/>
    </row>
    <row r="29" spans="1:28" x14ac:dyDescent="0.25">
      <c r="A29" s="3"/>
      <c r="B29" s="25"/>
      <c r="C29" s="10"/>
      <c r="D29" s="1"/>
      <c r="E29" s="30"/>
      <c r="F29" s="1"/>
      <c r="G29" s="1"/>
      <c r="H29" s="1"/>
      <c r="I29" s="1"/>
      <c r="J29" s="1"/>
      <c r="K29" s="1"/>
      <c r="L29" s="1"/>
      <c r="M29" s="9"/>
      <c r="N29" s="7" t="e">
        <f t="shared" si="0"/>
        <v>#DIV/0!</v>
      </c>
      <c r="O29" s="7" t="e">
        <f t="shared" ca="1" si="1"/>
        <v>#DIV/0!</v>
      </c>
      <c r="P29" s="33">
        <f t="shared" si="2"/>
        <v>0</v>
      </c>
      <c r="Q29" s="33">
        <f t="shared" si="3"/>
        <v>0</v>
      </c>
      <c r="R29" s="7" t="e">
        <f t="shared" si="4"/>
        <v>#DIV/0!</v>
      </c>
      <c r="S29" s="7" t="e">
        <f t="shared" ca="1" si="5"/>
        <v>#NAME?</v>
      </c>
      <c r="T29" s="33" t="e">
        <f t="shared" ca="1" si="6"/>
        <v>#NAME?</v>
      </c>
      <c r="U29" s="7" t="e">
        <f t="shared" ca="1" si="7"/>
        <v>#NAME?</v>
      </c>
      <c r="V29" s="7" t="e">
        <f t="shared" ca="1" si="8"/>
        <v>#DIV/0!</v>
      </c>
      <c r="W29" s="7" t="e">
        <f t="shared" ca="1" si="9"/>
        <v>#NAME?</v>
      </c>
      <c r="X29" s="33" t="e">
        <f t="shared" ca="1" si="10"/>
        <v>#NAME?</v>
      </c>
      <c r="Y29" s="7" t="e">
        <f t="shared" ca="1" si="11"/>
        <v>#NAME?</v>
      </c>
      <c r="Z29" s="7" t="e">
        <f t="shared" ca="1" si="12"/>
        <v>#DIV/0!</v>
      </c>
      <c r="AA29" s="1"/>
      <c r="AB29" s="1"/>
    </row>
    <row r="30" spans="1:28" x14ac:dyDescent="0.25">
      <c r="A30" s="3"/>
      <c r="B30" s="25"/>
      <c r="C30" s="10"/>
      <c r="D30" s="1"/>
      <c r="E30" s="30"/>
      <c r="F30" s="1"/>
      <c r="G30" s="1"/>
      <c r="H30" s="1"/>
      <c r="I30" s="1"/>
      <c r="J30" s="1"/>
      <c r="K30" s="1"/>
      <c r="L30" s="1"/>
      <c r="M30" s="9"/>
      <c r="N30" s="7" t="e">
        <f t="shared" si="0"/>
        <v>#DIV/0!</v>
      </c>
      <c r="O30" s="7" t="e">
        <f t="shared" ca="1" si="1"/>
        <v>#DIV/0!</v>
      </c>
      <c r="P30" s="33">
        <f t="shared" si="2"/>
        <v>0</v>
      </c>
      <c r="Q30" s="33">
        <f t="shared" si="3"/>
        <v>0</v>
      </c>
      <c r="R30" s="7" t="e">
        <f t="shared" si="4"/>
        <v>#DIV/0!</v>
      </c>
      <c r="S30" s="7" t="e">
        <f t="shared" ca="1" si="5"/>
        <v>#NAME?</v>
      </c>
      <c r="T30" s="33" t="e">
        <f t="shared" ca="1" si="6"/>
        <v>#NAME?</v>
      </c>
      <c r="U30" s="7" t="e">
        <f t="shared" ca="1" si="7"/>
        <v>#NAME?</v>
      </c>
      <c r="V30" s="7" t="e">
        <f t="shared" ca="1" si="8"/>
        <v>#DIV/0!</v>
      </c>
      <c r="W30" s="7" t="e">
        <f t="shared" ca="1" si="9"/>
        <v>#NAME?</v>
      </c>
      <c r="X30" s="33" t="e">
        <f t="shared" ca="1" si="10"/>
        <v>#NAME?</v>
      </c>
      <c r="Y30" s="7" t="e">
        <f t="shared" ca="1" si="11"/>
        <v>#NAME?</v>
      </c>
      <c r="Z30" s="7" t="e">
        <f t="shared" ca="1" si="12"/>
        <v>#DIV/0!</v>
      </c>
      <c r="AA30" s="1"/>
      <c r="AB30" s="1"/>
    </row>
    <row r="31" spans="1:28" x14ac:dyDescent="0.25">
      <c r="A31" s="3"/>
      <c r="B31" s="25"/>
      <c r="C31" s="10"/>
      <c r="D31" s="1"/>
      <c r="E31" s="30"/>
      <c r="F31" s="1"/>
      <c r="G31" s="1"/>
      <c r="H31" s="1"/>
      <c r="I31" s="1"/>
      <c r="J31" s="1"/>
      <c r="K31" s="1"/>
      <c r="L31" s="1"/>
      <c r="M31" s="9"/>
      <c r="N31" s="7" t="e">
        <f t="shared" si="0"/>
        <v>#DIV/0!</v>
      </c>
      <c r="O31" s="7" t="e">
        <f t="shared" ca="1" si="1"/>
        <v>#DIV/0!</v>
      </c>
      <c r="P31" s="33">
        <f t="shared" si="2"/>
        <v>0</v>
      </c>
      <c r="Q31" s="33">
        <f t="shared" si="3"/>
        <v>0</v>
      </c>
      <c r="R31" s="7" t="e">
        <f t="shared" si="4"/>
        <v>#DIV/0!</v>
      </c>
      <c r="S31" s="7" t="e">
        <f t="shared" ca="1" si="5"/>
        <v>#NAME?</v>
      </c>
      <c r="T31" s="33" t="e">
        <f t="shared" ca="1" si="6"/>
        <v>#NAME?</v>
      </c>
      <c r="U31" s="7" t="e">
        <f t="shared" ca="1" si="7"/>
        <v>#NAME?</v>
      </c>
      <c r="V31" s="7" t="e">
        <f t="shared" ca="1" si="8"/>
        <v>#DIV/0!</v>
      </c>
      <c r="W31" s="7" t="e">
        <f t="shared" ca="1" si="9"/>
        <v>#NAME?</v>
      </c>
      <c r="X31" s="33" t="e">
        <f t="shared" ca="1" si="10"/>
        <v>#NAME?</v>
      </c>
      <c r="Y31" s="7" t="e">
        <f t="shared" ca="1" si="11"/>
        <v>#NAME?</v>
      </c>
      <c r="Z31" s="7" t="e">
        <f t="shared" ca="1" si="12"/>
        <v>#DIV/0!</v>
      </c>
      <c r="AA31" s="1"/>
      <c r="AB31" s="1"/>
    </row>
    <row r="32" spans="1:28" x14ac:dyDescent="0.25">
      <c r="A32" s="3"/>
      <c r="B32" s="25"/>
      <c r="C32" s="10"/>
      <c r="D32" s="1"/>
      <c r="E32" s="30"/>
      <c r="F32" s="1"/>
      <c r="G32" s="1"/>
      <c r="H32" s="1"/>
      <c r="I32" s="1"/>
      <c r="J32" s="1"/>
      <c r="K32" s="1"/>
      <c r="L32" s="1"/>
      <c r="M32" s="9"/>
      <c r="N32" s="7" t="e">
        <f t="shared" si="0"/>
        <v>#DIV/0!</v>
      </c>
      <c r="O32" s="7" t="e">
        <f t="shared" ca="1" si="1"/>
        <v>#DIV/0!</v>
      </c>
      <c r="P32" s="33">
        <f t="shared" si="2"/>
        <v>0</v>
      </c>
      <c r="Q32" s="33">
        <f t="shared" si="3"/>
        <v>0</v>
      </c>
      <c r="R32" s="7" t="e">
        <f t="shared" si="4"/>
        <v>#DIV/0!</v>
      </c>
      <c r="S32" s="7" t="e">
        <f t="shared" ca="1" si="5"/>
        <v>#NAME?</v>
      </c>
      <c r="T32" s="33" t="e">
        <f t="shared" ca="1" si="6"/>
        <v>#NAME?</v>
      </c>
      <c r="U32" s="7" t="e">
        <f t="shared" ca="1" si="7"/>
        <v>#NAME?</v>
      </c>
      <c r="V32" s="7" t="e">
        <f t="shared" ca="1" si="8"/>
        <v>#DIV/0!</v>
      </c>
      <c r="W32" s="7" t="e">
        <f t="shared" ca="1" si="9"/>
        <v>#NAME?</v>
      </c>
      <c r="X32" s="33" t="e">
        <f t="shared" ca="1" si="10"/>
        <v>#NAME?</v>
      </c>
      <c r="Y32" s="7" t="e">
        <f t="shared" ca="1" si="11"/>
        <v>#NAME?</v>
      </c>
      <c r="Z32" s="7" t="e">
        <f t="shared" ca="1" si="12"/>
        <v>#DIV/0!</v>
      </c>
      <c r="AA32" s="1"/>
      <c r="AB32" s="1"/>
    </row>
    <row r="33" spans="1:28" x14ac:dyDescent="0.25">
      <c r="A33" s="3"/>
      <c r="B33" s="25"/>
      <c r="C33" s="10"/>
      <c r="D33" s="1"/>
      <c r="E33" s="30"/>
      <c r="F33" s="1"/>
      <c r="G33" s="1"/>
      <c r="H33" s="1"/>
      <c r="I33" s="1"/>
      <c r="J33" s="1"/>
      <c r="K33" s="1"/>
      <c r="L33" s="1"/>
      <c r="M33" s="9"/>
      <c r="N33" s="7" t="e">
        <f t="shared" si="0"/>
        <v>#DIV/0!</v>
      </c>
      <c r="O33" s="7" t="e">
        <f t="shared" ca="1" si="1"/>
        <v>#DIV/0!</v>
      </c>
      <c r="P33" s="33">
        <f t="shared" si="2"/>
        <v>0</v>
      </c>
      <c r="Q33" s="33">
        <f t="shared" si="3"/>
        <v>0</v>
      </c>
      <c r="R33" s="7" t="e">
        <f t="shared" si="4"/>
        <v>#DIV/0!</v>
      </c>
      <c r="S33" s="7" t="e">
        <f t="shared" ca="1" si="5"/>
        <v>#NAME?</v>
      </c>
      <c r="T33" s="33" t="e">
        <f t="shared" ca="1" si="6"/>
        <v>#NAME?</v>
      </c>
      <c r="U33" s="7" t="e">
        <f t="shared" ca="1" si="7"/>
        <v>#NAME?</v>
      </c>
      <c r="V33" s="7" t="e">
        <f t="shared" ca="1" si="8"/>
        <v>#DIV/0!</v>
      </c>
      <c r="W33" s="7" t="e">
        <f t="shared" ca="1" si="9"/>
        <v>#NAME?</v>
      </c>
      <c r="X33" s="33" t="e">
        <f t="shared" ca="1" si="10"/>
        <v>#NAME?</v>
      </c>
      <c r="Y33" s="7" t="e">
        <f t="shared" ca="1" si="11"/>
        <v>#NAME?</v>
      </c>
      <c r="Z33" s="7" t="e">
        <f t="shared" ca="1" si="12"/>
        <v>#DIV/0!</v>
      </c>
      <c r="AA33" s="1"/>
      <c r="AB33" s="1"/>
    </row>
    <row r="34" spans="1:28" x14ac:dyDescent="0.25">
      <c r="A34" s="3"/>
      <c r="B34" s="25"/>
      <c r="C34" s="10"/>
      <c r="D34" s="1"/>
      <c r="E34" s="30"/>
      <c r="F34" s="1"/>
      <c r="G34" s="1"/>
      <c r="H34" s="1"/>
      <c r="I34" s="1"/>
      <c r="J34" s="1"/>
      <c r="K34" s="1"/>
      <c r="L34" s="1"/>
      <c r="M34" s="9"/>
      <c r="N34" s="7" t="e">
        <f t="shared" si="0"/>
        <v>#DIV/0!</v>
      </c>
      <c r="O34" s="7" t="e">
        <f t="shared" ca="1" si="1"/>
        <v>#DIV/0!</v>
      </c>
      <c r="P34" s="33">
        <f t="shared" si="2"/>
        <v>0</v>
      </c>
      <c r="Q34" s="33">
        <f t="shared" si="3"/>
        <v>0</v>
      </c>
      <c r="R34" s="7" t="e">
        <f t="shared" si="4"/>
        <v>#DIV/0!</v>
      </c>
      <c r="S34" s="7" t="e">
        <f t="shared" ca="1" si="5"/>
        <v>#NAME?</v>
      </c>
      <c r="T34" s="33" t="e">
        <f t="shared" ca="1" si="6"/>
        <v>#NAME?</v>
      </c>
      <c r="U34" s="7" t="e">
        <f t="shared" ca="1" si="7"/>
        <v>#NAME?</v>
      </c>
      <c r="V34" s="7" t="e">
        <f t="shared" ca="1" si="8"/>
        <v>#DIV/0!</v>
      </c>
      <c r="W34" s="7" t="e">
        <f t="shared" ca="1" si="9"/>
        <v>#NAME?</v>
      </c>
      <c r="X34" s="33" t="e">
        <f t="shared" ca="1" si="10"/>
        <v>#NAME?</v>
      </c>
      <c r="Y34" s="7" t="e">
        <f t="shared" ca="1" si="11"/>
        <v>#NAME?</v>
      </c>
      <c r="Z34" s="7" t="e">
        <f t="shared" ca="1" si="12"/>
        <v>#DIV/0!</v>
      </c>
      <c r="AA34" s="1"/>
      <c r="AB34" s="1"/>
    </row>
    <row r="35" spans="1:28" x14ac:dyDescent="0.25">
      <c r="A35" s="3"/>
      <c r="B35" s="25"/>
      <c r="C35" s="10"/>
      <c r="D35" s="1"/>
      <c r="E35" s="30"/>
      <c r="F35" s="1"/>
      <c r="G35" s="1"/>
      <c r="H35" s="1"/>
      <c r="I35" s="1"/>
      <c r="J35" s="1"/>
      <c r="K35" s="1"/>
      <c r="L35" s="1"/>
      <c r="M35" s="9"/>
      <c r="N35" s="7" t="e">
        <f t="shared" si="0"/>
        <v>#DIV/0!</v>
      </c>
      <c r="O35" s="7" t="e">
        <f t="shared" ca="1" si="1"/>
        <v>#DIV/0!</v>
      </c>
      <c r="P35" s="33">
        <f t="shared" si="2"/>
        <v>0</v>
      </c>
      <c r="Q35" s="33">
        <f t="shared" si="3"/>
        <v>0</v>
      </c>
      <c r="R35" s="7" t="e">
        <f t="shared" si="4"/>
        <v>#DIV/0!</v>
      </c>
      <c r="S35" s="7" t="e">
        <f t="shared" ca="1" si="5"/>
        <v>#NAME?</v>
      </c>
      <c r="T35" s="33" t="e">
        <f t="shared" ca="1" si="6"/>
        <v>#NAME?</v>
      </c>
      <c r="U35" s="7" t="e">
        <f t="shared" ca="1" si="7"/>
        <v>#NAME?</v>
      </c>
      <c r="V35" s="7" t="e">
        <f t="shared" ca="1" si="8"/>
        <v>#DIV/0!</v>
      </c>
      <c r="W35" s="7" t="e">
        <f t="shared" ca="1" si="9"/>
        <v>#NAME?</v>
      </c>
      <c r="X35" s="33" t="e">
        <f t="shared" ca="1" si="10"/>
        <v>#NAME?</v>
      </c>
      <c r="Y35" s="7" t="e">
        <f t="shared" ca="1" si="11"/>
        <v>#NAME?</v>
      </c>
      <c r="Z35" s="7" t="e">
        <f t="shared" ca="1" si="12"/>
        <v>#DIV/0!</v>
      </c>
      <c r="AA35" s="1"/>
      <c r="AB35" s="1"/>
    </row>
    <row r="36" spans="1:28" x14ac:dyDescent="0.25">
      <c r="A36" s="3"/>
      <c r="B36" s="25"/>
      <c r="C36" s="10"/>
      <c r="D36" s="1"/>
      <c r="E36" s="30"/>
      <c r="F36" s="1"/>
      <c r="G36" s="1"/>
      <c r="H36" s="1"/>
      <c r="I36" s="1"/>
      <c r="J36" s="1"/>
      <c r="K36" s="1"/>
      <c r="L36" s="1"/>
      <c r="M36" s="9"/>
      <c r="N36" s="7" t="e">
        <f t="shared" si="0"/>
        <v>#DIV/0!</v>
      </c>
      <c r="O36" s="7" t="e">
        <f t="shared" ca="1" si="1"/>
        <v>#DIV/0!</v>
      </c>
      <c r="P36" s="33">
        <f t="shared" si="2"/>
        <v>0</v>
      </c>
      <c r="Q36" s="33">
        <f t="shared" si="3"/>
        <v>0</v>
      </c>
      <c r="R36" s="7" t="e">
        <f t="shared" si="4"/>
        <v>#DIV/0!</v>
      </c>
      <c r="S36" s="7" t="e">
        <f t="shared" ca="1" si="5"/>
        <v>#NAME?</v>
      </c>
      <c r="T36" s="33" t="e">
        <f t="shared" ca="1" si="6"/>
        <v>#NAME?</v>
      </c>
      <c r="U36" s="7" t="e">
        <f t="shared" ca="1" si="7"/>
        <v>#NAME?</v>
      </c>
      <c r="V36" s="7" t="e">
        <f t="shared" ca="1" si="8"/>
        <v>#DIV/0!</v>
      </c>
      <c r="W36" s="7" t="e">
        <f t="shared" ca="1" si="9"/>
        <v>#NAME?</v>
      </c>
      <c r="X36" s="33" t="e">
        <f t="shared" ca="1" si="10"/>
        <v>#NAME?</v>
      </c>
      <c r="Y36" s="7" t="e">
        <f t="shared" ca="1" si="11"/>
        <v>#NAME?</v>
      </c>
      <c r="Z36" s="7" t="e">
        <f t="shared" ca="1" si="12"/>
        <v>#DIV/0!</v>
      </c>
      <c r="AA36" s="1"/>
      <c r="AB36" s="1"/>
    </row>
    <row r="37" spans="1:28" x14ac:dyDescent="0.25">
      <c r="A37" s="3"/>
      <c r="B37" s="25"/>
      <c r="C37" s="10"/>
      <c r="D37" s="1"/>
      <c r="E37" s="30"/>
      <c r="F37" s="1"/>
      <c r="G37" s="1"/>
      <c r="H37" s="1"/>
      <c r="I37" s="1"/>
      <c r="J37" s="1"/>
      <c r="K37" s="1"/>
      <c r="L37" s="1"/>
      <c r="M37" s="9"/>
      <c r="N37" s="7" t="e">
        <f t="shared" si="0"/>
        <v>#DIV/0!</v>
      </c>
      <c r="O37" s="7" t="e">
        <f t="shared" ca="1" si="1"/>
        <v>#DIV/0!</v>
      </c>
      <c r="P37" s="33">
        <f t="shared" si="2"/>
        <v>0</v>
      </c>
      <c r="Q37" s="33">
        <f t="shared" si="3"/>
        <v>0</v>
      </c>
      <c r="R37" s="7" t="e">
        <f t="shared" si="4"/>
        <v>#DIV/0!</v>
      </c>
      <c r="S37" s="7" t="e">
        <f t="shared" ca="1" si="5"/>
        <v>#NAME?</v>
      </c>
      <c r="T37" s="33" t="e">
        <f t="shared" ca="1" si="6"/>
        <v>#NAME?</v>
      </c>
      <c r="U37" s="7" t="e">
        <f t="shared" ca="1" si="7"/>
        <v>#NAME?</v>
      </c>
      <c r="V37" s="7" t="e">
        <f t="shared" ca="1" si="8"/>
        <v>#DIV/0!</v>
      </c>
      <c r="W37" s="7" t="e">
        <f t="shared" ca="1" si="9"/>
        <v>#NAME?</v>
      </c>
      <c r="X37" s="33" t="e">
        <f t="shared" ca="1" si="10"/>
        <v>#NAME?</v>
      </c>
      <c r="Y37" s="7" t="e">
        <f t="shared" ca="1" si="11"/>
        <v>#NAME?</v>
      </c>
      <c r="Z37" s="7" t="e">
        <f t="shared" ca="1" si="12"/>
        <v>#DIV/0!</v>
      </c>
      <c r="AA37" s="1"/>
      <c r="AB37" s="1"/>
    </row>
    <row r="38" spans="1:28" x14ac:dyDescent="0.25">
      <c r="A38" s="3"/>
      <c r="B38" s="25"/>
      <c r="C38" s="10"/>
      <c r="D38" s="1"/>
      <c r="E38" s="30"/>
      <c r="F38" s="1"/>
      <c r="G38" s="1"/>
      <c r="H38" s="1"/>
      <c r="I38" s="1"/>
      <c r="J38" s="1"/>
      <c r="K38" s="1"/>
      <c r="L38" s="1"/>
      <c r="M38" s="9"/>
      <c r="N38" s="7" t="e">
        <f t="shared" si="0"/>
        <v>#DIV/0!</v>
      </c>
      <c r="O38" s="7" t="e">
        <f t="shared" ca="1" si="1"/>
        <v>#DIV/0!</v>
      </c>
      <c r="P38" s="33">
        <f t="shared" si="2"/>
        <v>0</v>
      </c>
      <c r="Q38" s="33">
        <f t="shared" si="3"/>
        <v>0</v>
      </c>
      <c r="R38" s="7" t="e">
        <f t="shared" si="4"/>
        <v>#DIV/0!</v>
      </c>
      <c r="S38" s="7" t="e">
        <f t="shared" ca="1" si="5"/>
        <v>#NAME?</v>
      </c>
      <c r="T38" s="33" t="e">
        <f t="shared" ca="1" si="6"/>
        <v>#NAME?</v>
      </c>
      <c r="U38" s="7" t="e">
        <f t="shared" ca="1" si="7"/>
        <v>#NAME?</v>
      </c>
      <c r="V38" s="7" t="e">
        <f t="shared" ca="1" si="8"/>
        <v>#DIV/0!</v>
      </c>
      <c r="W38" s="7" t="e">
        <f t="shared" ca="1" si="9"/>
        <v>#NAME?</v>
      </c>
      <c r="X38" s="33" t="e">
        <f t="shared" ca="1" si="10"/>
        <v>#NAME?</v>
      </c>
      <c r="Y38" s="7" t="e">
        <f t="shared" ca="1" si="11"/>
        <v>#NAME?</v>
      </c>
      <c r="Z38" s="7" t="e">
        <f t="shared" ca="1" si="12"/>
        <v>#DIV/0!</v>
      </c>
      <c r="AA38" s="1"/>
      <c r="AB38" s="1"/>
    </row>
    <row r="39" spans="1:28" x14ac:dyDescent="0.25">
      <c r="A39" s="3"/>
      <c r="B39" s="25"/>
      <c r="C39" s="10"/>
      <c r="D39" s="1"/>
      <c r="E39" s="30"/>
      <c r="F39" s="1"/>
      <c r="G39" s="1"/>
      <c r="H39" s="1"/>
      <c r="I39" s="1"/>
      <c r="J39" s="1"/>
      <c r="K39" s="1"/>
      <c r="L39" s="1"/>
      <c r="M39" s="9"/>
      <c r="N39" s="7" t="e">
        <f t="shared" si="0"/>
        <v>#DIV/0!</v>
      </c>
      <c r="O39" s="7" t="e">
        <f t="shared" ca="1" si="1"/>
        <v>#DIV/0!</v>
      </c>
      <c r="P39" s="33">
        <f t="shared" si="2"/>
        <v>0</v>
      </c>
      <c r="Q39" s="33">
        <f t="shared" si="3"/>
        <v>0</v>
      </c>
      <c r="R39" s="7" t="e">
        <f t="shared" si="4"/>
        <v>#DIV/0!</v>
      </c>
      <c r="S39" s="7" t="e">
        <f t="shared" ca="1" si="5"/>
        <v>#NAME?</v>
      </c>
      <c r="T39" s="33" t="e">
        <f t="shared" ca="1" si="6"/>
        <v>#NAME?</v>
      </c>
      <c r="U39" s="7" t="e">
        <f t="shared" ca="1" si="7"/>
        <v>#NAME?</v>
      </c>
      <c r="V39" s="7" t="e">
        <f t="shared" ca="1" si="8"/>
        <v>#DIV/0!</v>
      </c>
      <c r="W39" s="7" t="e">
        <f t="shared" ca="1" si="9"/>
        <v>#NAME?</v>
      </c>
      <c r="X39" s="33" t="e">
        <f t="shared" ca="1" si="10"/>
        <v>#NAME?</v>
      </c>
      <c r="Y39" s="7" t="e">
        <f t="shared" ca="1" si="11"/>
        <v>#NAME?</v>
      </c>
      <c r="Z39" s="7" t="e">
        <f t="shared" ca="1" si="12"/>
        <v>#DIV/0!</v>
      </c>
      <c r="AA39" s="1"/>
      <c r="AB39" s="1"/>
    </row>
    <row r="40" spans="1:28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9"/>
      <c r="N40" s="7" t="e">
        <f t="shared" si="0"/>
        <v>#DIV/0!</v>
      </c>
      <c r="O40" s="7" t="e">
        <f t="shared" ca="1" si="1"/>
        <v>#DIV/0!</v>
      </c>
      <c r="P40" s="33">
        <f t="shared" si="2"/>
        <v>0</v>
      </c>
      <c r="Q40" s="33">
        <f t="shared" si="3"/>
        <v>0</v>
      </c>
      <c r="R40" s="7" t="e">
        <f t="shared" si="4"/>
        <v>#DIV/0!</v>
      </c>
      <c r="S40" s="7" t="e">
        <f t="shared" ca="1" si="5"/>
        <v>#NAME?</v>
      </c>
      <c r="T40" s="33" t="e">
        <f t="shared" ca="1" si="6"/>
        <v>#NAME?</v>
      </c>
      <c r="U40" s="7" t="e">
        <f t="shared" ca="1" si="7"/>
        <v>#NAME?</v>
      </c>
      <c r="V40" s="7" t="e">
        <f t="shared" ca="1" si="8"/>
        <v>#DIV/0!</v>
      </c>
      <c r="W40" s="7" t="e">
        <f t="shared" ca="1" si="9"/>
        <v>#NAME?</v>
      </c>
      <c r="X40" s="33" t="e">
        <f t="shared" ca="1" si="10"/>
        <v>#NAME?</v>
      </c>
      <c r="Y40" s="7" t="e">
        <f t="shared" ca="1" si="11"/>
        <v>#NAME?</v>
      </c>
      <c r="Z40" s="7" t="e">
        <f t="shared" ca="1" si="12"/>
        <v>#DIV/0!</v>
      </c>
      <c r="AA40" s="1"/>
      <c r="AB40" s="1"/>
    </row>
    <row r="41" spans="1:28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9"/>
      <c r="N41" s="7" t="e">
        <f t="shared" si="0"/>
        <v>#DIV/0!</v>
      </c>
      <c r="O41" s="7" t="e">
        <f t="shared" ca="1" si="1"/>
        <v>#DIV/0!</v>
      </c>
      <c r="P41" s="33">
        <f t="shared" si="2"/>
        <v>0</v>
      </c>
      <c r="Q41" s="33">
        <f t="shared" si="3"/>
        <v>0</v>
      </c>
      <c r="R41" s="7" t="e">
        <f t="shared" si="4"/>
        <v>#DIV/0!</v>
      </c>
      <c r="S41" s="7" t="e">
        <f t="shared" ca="1" si="5"/>
        <v>#NAME?</v>
      </c>
      <c r="T41" s="33" t="e">
        <f t="shared" ca="1" si="6"/>
        <v>#NAME?</v>
      </c>
      <c r="U41" s="7" t="e">
        <f t="shared" ca="1" si="7"/>
        <v>#NAME?</v>
      </c>
      <c r="V41" s="7" t="e">
        <f t="shared" ca="1" si="8"/>
        <v>#DIV/0!</v>
      </c>
      <c r="W41" s="7" t="e">
        <f t="shared" ca="1" si="9"/>
        <v>#NAME?</v>
      </c>
      <c r="X41" s="33" t="e">
        <f t="shared" ca="1" si="10"/>
        <v>#NAME?</v>
      </c>
      <c r="Y41" s="7" t="e">
        <f t="shared" ca="1" si="11"/>
        <v>#NAME?</v>
      </c>
      <c r="Z41" s="7" t="e">
        <f t="shared" ca="1" si="12"/>
        <v>#DIV/0!</v>
      </c>
      <c r="AA41" s="1"/>
      <c r="AB41" s="1"/>
    </row>
    <row r="42" spans="1:28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9"/>
      <c r="N42" s="7" t="e">
        <f t="shared" si="0"/>
        <v>#DIV/0!</v>
      </c>
      <c r="O42" s="7" t="e">
        <f t="shared" ca="1" si="1"/>
        <v>#DIV/0!</v>
      </c>
      <c r="P42" s="33">
        <f t="shared" si="2"/>
        <v>0</v>
      </c>
      <c r="Q42" s="33">
        <f t="shared" si="3"/>
        <v>0</v>
      </c>
      <c r="R42" s="7" t="e">
        <f t="shared" si="4"/>
        <v>#DIV/0!</v>
      </c>
      <c r="S42" s="7" t="e">
        <f t="shared" ca="1" si="5"/>
        <v>#NAME?</v>
      </c>
      <c r="T42" s="33" t="e">
        <f t="shared" ca="1" si="6"/>
        <v>#NAME?</v>
      </c>
      <c r="U42" s="7" t="e">
        <f t="shared" ca="1" si="7"/>
        <v>#NAME?</v>
      </c>
      <c r="V42" s="7" t="e">
        <f t="shared" ca="1" si="8"/>
        <v>#DIV/0!</v>
      </c>
      <c r="W42" s="7" t="e">
        <f t="shared" ca="1" si="9"/>
        <v>#NAME?</v>
      </c>
      <c r="X42" s="33" t="e">
        <f t="shared" ca="1" si="10"/>
        <v>#NAME?</v>
      </c>
      <c r="Y42" s="7" t="e">
        <f t="shared" ca="1" si="11"/>
        <v>#NAME?</v>
      </c>
      <c r="Z42" s="7" t="e">
        <f t="shared" ca="1" si="12"/>
        <v>#DIV/0!</v>
      </c>
      <c r="AA42" s="1"/>
      <c r="AB42" s="1"/>
    </row>
    <row r="43" spans="1:28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9"/>
      <c r="N43" s="7" t="e">
        <f t="shared" ref="N43:N67" si="13">$G43/$D43</f>
        <v>#DIV/0!</v>
      </c>
      <c r="O43" s="7" t="e">
        <f t="shared" ref="O43:O67" ca="1" si="14">N43/($B43-TODAY())</f>
        <v>#DIV/0!</v>
      </c>
      <c r="P43" s="33">
        <f t="shared" ref="P43:P67" si="15">$E43*$D43</f>
        <v>0</v>
      </c>
      <c r="Q43" s="33">
        <f t="shared" ref="Q43:Q67" si="16">($G43+$F43-$D43)*$E43</f>
        <v>0</v>
      </c>
      <c r="R43" s="7" t="e">
        <f t="shared" ref="R43:R67" si="17">$Q43/$P43</f>
        <v>#DIV/0!</v>
      </c>
      <c r="S43" s="7" t="e">
        <f t="shared" ref="S43:S67" ca="1" si="18">mrigxl_max_drawdown($C43,INT($B43-TODAY()))</f>
        <v>#NAME?</v>
      </c>
      <c r="T43" s="33" t="e">
        <f t="shared" ref="T43:T67" ca="1" si="19">(S43*$D43+$G43)*$E43</f>
        <v>#NAME?</v>
      </c>
      <c r="U43" s="7" t="e">
        <f t="shared" ref="U43:U67" ca="1" si="20">T43/$P43</f>
        <v>#NAME?</v>
      </c>
      <c r="V43" s="7" t="e">
        <f t="shared" ref="V43:V67" ca="1" si="21">$R43+U43</f>
        <v>#DIV/0!</v>
      </c>
      <c r="W43" s="7" t="e">
        <f t="shared" ref="W43:W67" ca="1" si="22">mrigxl_avg_drawdown($C43,INT($B43-TODAY()))</f>
        <v>#NAME?</v>
      </c>
      <c r="X43" s="33" t="e">
        <f t="shared" ref="X43:X67" ca="1" si="23">(W43*$D43+$G43)*$E43</f>
        <v>#NAME?</v>
      </c>
      <c r="Y43" s="7" t="e">
        <f t="shared" ref="Y43:Y67" ca="1" si="24">X43/$P43</f>
        <v>#NAME?</v>
      </c>
      <c r="Z43" s="7" t="e">
        <f t="shared" ref="Z43:Z67" ca="1" si="25">$R43+Y43</f>
        <v>#DIV/0!</v>
      </c>
      <c r="AA43" s="1"/>
      <c r="AB43" s="1"/>
    </row>
    <row r="44" spans="1:28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9"/>
      <c r="N44" s="7" t="e">
        <f t="shared" si="13"/>
        <v>#DIV/0!</v>
      </c>
      <c r="O44" s="7" t="e">
        <f t="shared" ca="1" si="14"/>
        <v>#DIV/0!</v>
      </c>
      <c r="P44" s="33">
        <f t="shared" si="15"/>
        <v>0</v>
      </c>
      <c r="Q44" s="33">
        <f t="shared" si="16"/>
        <v>0</v>
      </c>
      <c r="R44" s="7" t="e">
        <f t="shared" si="17"/>
        <v>#DIV/0!</v>
      </c>
      <c r="S44" s="7" t="e">
        <f t="shared" ca="1" si="18"/>
        <v>#NAME?</v>
      </c>
      <c r="T44" s="33" t="e">
        <f t="shared" ca="1" si="19"/>
        <v>#NAME?</v>
      </c>
      <c r="U44" s="7" t="e">
        <f t="shared" ca="1" si="20"/>
        <v>#NAME?</v>
      </c>
      <c r="V44" s="7" t="e">
        <f t="shared" ca="1" si="21"/>
        <v>#DIV/0!</v>
      </c>
      <c r="W44" s="7" t="e">
        <f t="shared" ca="1" si="22"/>
        <v>#NAME?</v>
      </c>
      <c r="X44" s="33" t="e">
        <f t="shared" ca="1" si="23"/>
        <v>#NAME?</v>
      </c>
      <c r="Y44" s="7" t="e">
        <f t="shared" ca="1" si="24"/>
        <v>#NAME?</v>
      </c>
      <c r="Z44" s="7" t="e">
        <f t="shared" ca="1" si="25"/>
        <v>#DIV/0!</v>
      </c>
      <c r="AA44" s="1"/>
      <c r="AB44" s="1"/>
    </row>
    <row r="45" spans="1:28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9"/>
      <c r="N45" s="7" t="e">
        <f t="shared" si="13"/>
        <v>#DIV/0!</v>
      </c>
      <c r="O45" s="7" t="e">
        <f t="shared" ca="1" si="14"/>
        <v>#DIV/0!</v>
      </c>
      <c r="P45" s="33">
        <f t="shared" si="15"/>
        <v>0</v>
      </c>
      <c r="Q45" s="33">
        <f t="shared" si="16"/>
        <v>0</v>
      </c>
      <c r="R45" s="7" t="e">
        <f t="shared" si="17"/>
        <v>#DIV/0!</v>
      </c>
      <c r="S45" s="7" t="e">
        <f t="shared" ca="1" si="18"/>
        <v>#NAME?</v>
      </c>
      <c r="T45" s="33" t="e">
        <f t="shared" ca="1" si="19"/>
        <v>#NAME?</v>
      </c>
      <c r="U45" s="7" t="e">
        <f t="shared" ca="1" si="20"/>
        <v>#NAME?</v>
      </c>
      <c r="V45" s="7" t="e">
        <f t="shared" ca="1" si="21"/>
        <v>#DIV/0!</v>
      </c>
      <c r="W45" s="7" t="e">
        <f t="shared" ca="1" si="22"/>
        <v>#NAME?</v>
      </c>
      <c r="X45" s="33" t="e">
        <f t="shared" ca="1" si="23"/>
        <v>#NAME?</v>
      </c>
      <c r="Y45" s="7" t="e">
        <f t="shared" ca="1" si="24"/>
        <v>#NAME?</v>
      </c>
      <c r="Z45" s="7" t="e">
        <f t="shared" ca="1" si="25"/>
        <v>#DIV/0!</v>
      </c>
      <c r="AA45" s="1"/>
      <c r="AB45" s="1"/>
    </row>
    <row r="46" spans="1:28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9"/>
      <c r="N46" s="7" t="e">
        <f t="shared" si="13"/>
        <v>#DIV/0!</v>
      </c>
      <c r="O46" s="7" t="e">
        <f t="shared" ca="1" si="14"/>
        <v>#DIV/0!</v>
      </c>
      <c r="P46" s="33">
        <f t="shared" si="15"/>
        <v>0</v>
      </c>
      <c r="Q46" s="33">
        <f t="shared" si="16"/>
        <v>0</v>
      </c>
      <c r="R46" s="7" t="e">
        <f t="shared" si="17"/>
        <v>#DIV/0!</v>
      </c>
      <c r="S46" s="7" t="e">
        <f t="shared" ca="1" si="18"/>
        <v>#NAME?</v>
      </c>
      <c r="T46" s="33" t="e">
        <f t="shared" ca="1" si="19"/>
        <v>#NAME?</v>
      </c>
      <c r="U46" s="7" t="e">
        <f t="shared" ca="1" si="20"/>
        <v>#NAME?</v>
      </c>
      <c r="V46" s="7" t="e">
        <f t="shared" ca="1" si="21"/>
        <v>#DIV/0!</v>
      </c>
      <c r="W46" s="7" t="e">
        <f t="shared" ca="1" si="22"/>
        <v>#NAME?</v>
      </c>
      <c r="X46" s="33" t="e">
        <f t="shared" ca="1" si="23"/>
        <v>#NAME?</v>
      </c>
      <c r="Y46" s="7" t="e">
        <f t="shared" ca="1" si="24"/>
        <v>#NAME?</v>
      </c>
      <c r="Z46" s="7" t="e">
        <f t="shared" ca="1" si="25"/>
        <v>#DIV/0!</v>
      </c>
      <c r="AA46" s="1"/>
      <c r="AB46" s="1"/>
    </row>
    <row r="47" spans="1:28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9"/>
      <c r="N47" s="7" t="e">
        <f t="shared" si="13"/>
        <v>#DIV/0!</v>
      </c>
      <c r="O47" s="7" t="e">
        <f t="shared" ca="1" si="14"/>
        <v>#DIV/0!</v>
      </c>
      <c r="P47" s="33">
        <f t="shared" si="15"/>
        <v>0</v>
      </c>
      <c r="Q47" s="33">
        <f t="shared" si="16"/>
        <v>0</v>
      </c>
      <c r="R47" s="7" t="e">
        <f t="shared" si="17"/>
        <v>#DIV/0!</v>
      </c>
      <c r="S47" s="7" t="e">
        <f t="shared" ca="1" si="18"/>
        <v>#NAME?</v>
      </c>
      <c r="T47" s="33" t="e">
        <f t="shared" ca="1" si="19"/>
        <v>#NAME?</v>
      </c>
      <c r="U47" s="7" t="e">
        <f t="shared" ca="1" si="20"/>
        <v>#NAME?</v>
      </c>
      <c r="V47" s="7" t="e">
        <f t="shared" ca="1" si="21"/>
        <v>#DIV/0!</v>
      </c>
      <c r="W47" s="7" t="e">
        <f t="shared" ca="1" si="22"/>
        <v>#NAME?</v>
      </c>
      <c r="X47" s="33" t="e">
        <f t="shared" ca="1" si="23"/>
        <v>#NAME?</v>
      </c>
      <c r="Y47" s="7" t="e">
        <f t="shared" ca="1" si="24"/>
        <v>#NAME?</v>
      </c>
      <c r="Z47" s="7" t="e">
        <f t="shared" ca="1" si="25"/>
        <v>#DIV/0!</v>
      </c>
      <c r="AA47" s="1"/>
      <c r="AB47" s="1"/>
    </row>
    <row r="48" spans="1:28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9"/>
      <c r="N48" s="7" t="e">
        <f t="shared" si="13"/>
        <v>#DIV/0!</v>
      </c>
      <c r="O48" s="7" t="e">
        <f t="shared" ca="1" si="14"/>
        <v>#DIV/0!</v>
      </c>
      <c r="P48" s="33">
        <f t="shared" si="15"/>
        <v>0</v>
      </c>
      <c r="Q48" s="33">
        <f t="shared" si="16"/>
        <v>0</v>
      </c>
      <c r="R48" s="7" t="e">
        <f t="shared" si="17"/>
        <v>#DIV/0!</v>
      </c>
      <c r="S48" s="7" t="e">
        <f t="shared" ca="1" si="18"/>
        <v>#NAME?</v>
      </c>
      <c r="T48" s="33" t="e">
        <f t="shared" ca="1" si="19"/>
        <v>#NAME?</v>
      </c>
      <c r="U48" s="7" t="e">
        <f t="shared" ca="1" si="20"/>
        <v>#NAME?</v>
      </c>
      <c r="V48" s="7" t="e">
        <f t="shared" ca="1" si="21"/>
        <v>#DIV/0!</v>
      </c>
      <c r="W48" s="7" t="e">
        <f t="shared" ca="1" si="22"/>
        <v>#NAME?</v>
      </c>
      <c r="X48" s="33" t="e">
        <f t="shared" ca="1" si="23"/>
        <v>#NAME?</v>
      </c>
      <c r="Y48" s="7" t="e">
        <f t="shared" ca="1" si="24"/>
        <v>#NAME?</v>
      </c>
      <c r="Z48" s="7" t="e">
        <f t="shared" ca="1" si="25"/>
        <v>#DIV/0!</v>
      </c>
      <c r="AA48" s="1"/>
      <c r="AB48" s="1"/>
    </row>
    <row r="49" spans="1:28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9"/>
      <c r="N49" s="7" t="e">
        <f t="shared" si="13"/>
        <v>#DIV/0!</v>
      </c>
      <c r="O49" s="7" t="e">
        <f t="shared" ca="1" si="14"/>
        <v>#DIV/0!</v>
      </c>
      <c r="P49" s="33">
        <f t="shared" si="15"/>
        <v>0</v>
      </c>
      <c r="Q49" s="33">
        <f t="shared" si="16"/>
        <v>0</v>
      </c>
      <c r="R49" s="7" t="e">
        <f t="shared" si="17"/>
        <v>#DIV/0!</v>
      </c>
      <c r="S49" s="7" t="e">
        <f t="shared" ca="1" si="18"/>
        <v>#NAME?</v>
      </c>
      <c r="T49" s="33" t="e">
        <f t="shared" ca="1" si="19"/>
        <v>#NAME?</v>
      </c>
      <c r="U49" s="7" t="e">
        <f t="shared" ca="1" si="20"/>
        <v>#NAME?</v>
      </c>
      <c r="V49" s="7" t="e">
        <f t="shared" ca="1" si="21"/>
        <v>#DIV/0!</v>
      </c>
      <c r="W49" s="7" t="e">
        <f t="shared" ca="1" si="22"/>
        <v>#NAME?</v>
      </c>
      <c r="X49" s="33" t="e">
        <f t="shared" ca="1" si="23"/>
        <v>#NAME?</v>
      </c>
      <c r="Y49" s="7" t="e">
        <f t="shared" ca="1" si="24"/>
        <v>#NAME?</v>
      </c>
      <c r="Z49" s="7" t="e">
        <f t="shared" ca="1" si="25"/>
        <v>#DIV/0!</v>
      </c>
      <c r="AA49" s="1"/>
      <c r="AB49" s="1"/>
    </row>
    <row r="50" spans="1:28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9"/>
      <c r="N50" s="7" t="e">
        <f t="shared" si="13"/>
        <v>#DIV/0!</v>
      </c>
      <c r="O50" s="7" t="e">
        <f t="shared" ca="1" si="14"/>
        <v>#DIV/0!</v>
      </c>
      <c r="P50" s="33">
        <f t="shared" si="15"/>
        <v>0</v>
      </c>
      <c r="Q50" s="33">
        <f t="shared" si="16"/>
        <v>0</v>
      </c>
      <c r="R50" s="7" t="e">
        <f t="shared" si="17"/>
        <v>#DIV/0!</v>
      </c>
      <c r="S50" s="7" t="e">
        <f t="shared" ca="1" si="18"/>
        <v>#NAME?</v>
      </c>
      <c r="T50" s="33" t="e">
        <f t="shared" ca="1" si="19"/>
        <v>#NAME?</v>
      </c>
      <c r="U50" s="7" t="e">
        <f t="shared" ca="1" si="20"/>
        <v>#NAME?</v>
      </c>
      <c r="V50" s="7" t="e">
        <f t="shared" ca="1" si="21"/>
        <v>#DIV/0!</v>
      </c>
      <c r="W50" s="7" t="e">
        <f t="shared" ca="1" si="22"/>
        <v>#NAME?</v>
      </c>
      <c r="X50" s="33" t="e">
        <f t="shared" ca="1" si="23"/>
        <v>#NAME?</v>
      </c>
      <c r="Y50" s="7" t="e">
        <f t="shared" ca="1" si="24"/>
        <v>#NAME?</v>
      </c>
      <c r="Z50" s="7" t="e">
        <f t="shared" ca="1" si="25"/>
        <v>#DIV/0!</v>
      </c>
      <c r="AA50" s="1"/>
      <c r="AB50" s="1"/>
    </row>
    <row r="51" spans="1:28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9"/>
      <c r="N51" s="7" t="e">
        <f t="shared" si="13"/>
        <v>#DIV/0!</v>
      </c>
      <c r="O51" s="7" t="e">
        <f t="shared" ca="1" si="14"/>
        <v>#DIV/0!</v>
      </c>
      <c r="P51" s="33">
        <f t="shared" si="15"/>
        <v>0</v>
      </c>
      <c r="Q51" s="33">
        <f t="shared" si="16"/>
        <v>0</v>
      </c>
      <c r="R51" s="7" t="e">
        <f t="shared" si="17"/>
        <v>#DIV/0!</v>
      </c>
      <c r="S51" s="7" t="e">
        <f t="shared" ca="1" si="18"/>
        <v>#NAME?</v>
      </c>
      <c r="T51" s="33" t="e">
        <f t="shared" ca="1" si="19"/>
        <v>#NAME?</v>
      </c>
      <c r="U51" s="7" t="e">
        <f t="shared" ca="1" si="20"/>
        <v>#NAME?</v>
      </c>
      <c r="V51" s="7" t="e">
        <f t="shared" ca="1" si="21"/>
        <v>#DIV/0!</v>
      </c>
      <c r="W51" s="7" t="e">
        <f t="shared" ca="1" si="22"/>
        <v>#NAME?</v>
      </c>
      <c r="X51" s="33" t="e">
        <f t="shared" ca="1" si="23"/>
        <v>#NAME?</v>
      </c>
      <c r="Y51" s="7" t="e">
        <f t="shared" ca="1" si="24"/>
        <v>#NAME?</v>
      </c>
      <c r="Z51" s="7" t="e">
        <f t="shared" ca="1" si="25"/>
        <v>#DIV/0!</v>
      </c>
      <c r="AA51" s="1"/>
      <c r="AB51" s="1"/>
    </row>
    <row r="52" spans="1:28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9"/>
      <c r="N52" s="7" t="e">
        <f t="shared" si="13"/>
        <v>#DIV/0!</v>
      </c>
      <c r="O52" s="7" t="e">
        <f t="shared" ca="1" si="14"/>
        <v>#DIV/0!</v>
      </c>
      <c r="P52" s="33">
        <f t="shared" si="15"/>
        <v>0</v>
      </c>
      <c r="Q52" s="33">
        <f t="shared" si="16"/>
        <v>0</v>
      </c>
      <c r="R52" s="7" t="e">
        <f t="shared" si="17"/>
        <v>#DIV/0!</v>
      </c>
      <c r="S52" s="7" t="e">
        <f t="shared" ca="1" si="18"/>
        <v>#NAME?</v>
      </c>
      <c r="T52" s="33" t="e">
        <f t="shared" ca="1" si="19"/>
        <v>#NAME?</v>
      </c>
      <c r="U52" s="7" t="e">
        <f t="shared" ca="1" si="20"/>
        <v>#NAME?</v>
      </c>
      <c r="V52" s="7" t="e">
        <f t="shared" ca="1" si="21"/>
        <v>#DIV/0!</v>
      </c>
      <c r="W52" s="7" t="e">
        <f t="shared" ca="1" si="22"/>
        <v>#NAME?</v>
      </c>
      <c r="X52" s="33" t="e">
        <f t="shared" ca="1" si="23"/>
        <v>#NAME?</v>
      </c>
      <c r="Y52" s="7" t="e">
        <f t="shared" ca="1" si="24"/>
        <v>#NAME?</v>
      </c>
      <c r="Z52" s="7" t="e">
        <f t="shared" ca="1" si="25"/>
        <v>#DIV/0!</v>
      </c>
      <c r="AA52" s="1"/>
      <c r="AB52" s="1"/>
    </row>
    <row r="53" spans="1:28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9"/>
      <c r="N53" s="7" t="e">
        <f t="shared" si="13"/>
        <v>#DIV/0!</v>
      </c>
      <c r="O53" s="7" t="e">
        <f t="shared" ca="1" si="14"/>
        <v>#DIV/0!</v>
      </c>
      <c r="P53" s="33">
        <f t="shared" si="15"/>
        <v>0</v>
      </c>
      <c r="Q53" s="33">
        <f t="shared" si="16"/>
        <v>0</v>
      </c>
      <c r="R53" s="7" t="e">
        <f t="shared" si="17"/>
        <v>#DIV/0!</v>
      </c>
      <c r="S53" s="7" t="e">
        <f t="shared" ca="1" si="18"/>
        <v>#NAME?</v>
      </c>
      <c r="T53" s="33" t="e">
        <f t="shared" ca="1" si="19"/>
        <v>#NAME?</v>
      </c>
      <c r="U53" s="7" t="e">
        <f t="shared" ca="1" si="20"/>
        <v>#NAME?</v>
      </c>
      <c r="V53" s="7" t="e">
        <f t="shared" ca="1" si="21"/>
        <v>#DIV/0!</v>
      </c>
      <c r="W53" s="7" t="e">
        <f t="shared" ca="1" si="22"/>
        <v>#NAME?</v>
      </c>
      <c r="X53" s="33" t="e">
        <f t="shared" ca="1" si="23"/>
        <v>#NAME?</v>
      </c>
      <c r="Y53" s="7" t="e">
        <f t="shared" ca="1" si="24"/>
        <v>#NAME?</v>
      </c>
      <c r="Z53" s="7" t="e">
        <f t="shared" ca="1" si="25"/>
        <v>#DIV/0!</v>
      </c>
      <c r="AA53" s="1"/>
      <c r="AB53" s="1"/>
    </row>
    <row r="54" spans="1:28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9"/>
      <c r="N54" s="7" t="e">
        <f t="shared" si="13"/>
        <v>#DIV/0!</v>
      </c>
      <c r="O54" s="7" t="e">
        <f t="shared" ca="1" si="14"/>
        <v>#DIV/0!</v>
      </c>
      <c r="P54" s="33">
        <f t="shared" si="15"/>
        <v>0</v>
      </c>
      <c r="Q54" s="33">
        <f t="shared" si="16"/>
        <v>0</v>
      </c>
      <c r="R54" s="7" t="e">
        <f t="shared" si="17"/>
        <v>#DIV/0!</v>
      </c>
      <c r="S54" s="7" t="e">
        <f t="shared" ca="1" si="18"/>
        <v>#NAME?</v>
      </c>
      <c r="T54" s="33" t="e">
        <f t="shared" ca="1" si="19"/>
        <v>#NAME?</v>
      </c>
      <c r="U54" s="7" t="e">
        <f t="shared" ca="1" si="20"/>
        <v>#NAME?</v>
      </c>
      <c r="V54" s="7" t="e">
        <f t="shared" ca="1" si="21"/>
        <v>#DIV/0!</v>
      </c>
      <c r="W54" s="7" t="e">
        <f t="shared" ca="1" si="22"/>
        <v>#NAME?</v>
      </c>
      <c r="X54" s="33" t="e">
        <f t="shared" ca="1" si="23"/>
        <v>#NAME?</v>
      </c>
      <c r="Y54" s="7" t="e">
        <f t="shared" ca="1" si="24"/>
        <v>#NAME?</v>
      </c>
      <c r="Z54" s="7" t="e">
        <f t="shared" ca="1" si="25"/>
        <v>#DIV/0!</v>
      </c>
      <c r="AA54" s="1"/>
      <c r="AB54" s="1"/>
    </row>
    <row r="55" spans="1:28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9"/>
      <c r="N55" s="7" t="e">
        <f t="shared" si="13"/>
        <v>#DIV/0!</v>
      </c>
      <c r="O55" s="7" t="e">
        <f t="shared" ca="1" si="14"/>
        <v>#DIV/0!</v>
      </c>
      <c r="P55" s="33">
        <f t="shared" si="15"/>
        <v>0</v>
      </c>
      <c r="Q55" s="33">
        <f t="shared" si="16"/>
        <v>0</v>
      </c>
      <c r="R55" s="7" t="e">
        <f t="shared" si="17"/>
        <v>#DIV/0!</v>
      </c>
      <c r="S55" s="7" t="e">
        <f t="shared" ca="1" si="18"/>
        <v>#NAME?</v>
      </c>
      <c r="T55" s="33" t="e">
        <f t="shared" ca="1" si="19"/>
        <v>#NAME?</v>
      </c>
      <c r="U55" s="7" t="e">
        <f t="shared" ca="1" si="20"/>
        <v>#NAME?</v>
      </c>
      <c r="V55" s="7" t="e">
        <f t="shared" ca="1" si="21"/>
        <v>#DIV/0!</v>
      </c>
      <c r="W55" s="7" t="e">
        <f t="shared" ca="1" si="22"/>
        <v>#NAME?</v>
      </c>
      <c r="X55" s="33" t="e">
        <f t="shared" ca="1" si="23"/>
        <v>#NAME?</v>
      </c>
      <c r="Y55" s="7" t="e">
        <f t="shared" ca="1" si="24"/>
        <v>#NAME?</v>
      </c>
      <c r="Z55" s="7" t="e">
        <f t="shared" ca="1" si="25"/>
        <v>#DIV/0!</v>
      </c>
      <c r="AA55" s="1"/>
      <c r="AB55" s="1"/>
    </row>
    <row r="56" spans="1:28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9"/>
      <c r="N56" s="7" t="e">
        <f t="shared" si="13"/>
        <v>#DIV/0!</v>
      </c>
      <c r="O56" s="7" t="e">
        <f t="shared" ca="1" si="14"/>
        <v>#DIV/0!</v>
      </c>
      <c r="P56" s="33">
        <f t="shared" si="15"/>
        <v>0</v>
      </c>
      <c r="Q56" s="33">
        <f t="shared" si="16"/>
        <v>0</v>
      </c>
      <c r="R56" s="7" t="e">
        <f t="shared" si="17"/>
        <v>#DIV/0!</v>
      </c>
      <c r="S56" s="7" t="e">
        <f t="shared" ca="1" si="18"/>
        <v>#NAME?</v>
      </c>
      <c r="T56" s="33" t="e">
        <f t="shared" ca="1" si="19"/>
        <v>#NAME?</v>
      </c>
      <c r="U56" s="7" t="e">
        <f t="shared" ca="1" si="20"/>
        <v>#NAME?</v>
      </c>
      <c r="V56" s="7" t="e">
        <f t="shared" ca="1" si="21"/>
        <v>#DIV/0!</v>
      </c>
      <c r="W56" s="7" t="e">
        <f t="shared" ca="1" si="22"/>
        <v>#NAME?</v>
      </c>
      <c r="X56" s="33" t="e">
        <f t="shared" ca="1" si="23"/>
        <v>#NAME?</v>
      </c>
      <c r="Y56" s="7" t="e">
        <f t="shared" ca="1" si="24"/>
        <v>#NAME?</v>
      </c>
      <c r="Z56" s="7" t="e">
        <f t="shared" ca="1" si="25"/>
        <v>#DIV/0!</v>
      </c>
      <c r="AA56" s="1"/>
      <c r="AB56" s="1"/>
    </row>
    <row r="57" spans="1:28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9"/>
      <c r="N57" s="7" t="e">
        <f t="shared" si="13"/>
        <v>#DIV/0!</v>
      </c>
      <c r="O57" s="7" t="e">
        <f t="shared" ca="1" si="14"/>
        <v>#DIV/0!</v>
      </c>
      <c r="P57" s="33">
        <f t="shared" si="15"/>
        <v>0</v>
      </c>
      <c r="Q57" s="33">
        <f t="shared" si="16"/>
        <v>0</v>
      </c>
      <c r="R57" s="7" t="e">
        <f t="shared" si="17"/>
        <v>#DIV/0!</v>
      </c>
      <c r="S57" s="7" t="e">
        <f t="shared" ca="1" si="18"/>
        <v>#NAME?</v>
      </c>
      <c r="T57" s="33" t="e">
        <f t="shared" ca="1" si="19"/>
        <v>#NAME?</v>
      </c>
      <c r="U57" s="7" t="e">
        <f t="shared" ca="1" si="20"/>
        <v>#NAME?</v>
      </c>
      <c r="V57" s="7" t="e">
        <f t="shared" ca="1" si="21"/>
        <v>#DIV/0!</v>
      </c>
      <c r="W57" s="7" t="e">
        <f t="shared" ca="1" si="22"/>
        <v>#NAME?</v>
      </c>
      <c r="X57" s="33" t="e">
        <f t="shared" ca="1" si="23"/>
        <v>#NAME?</v>
      </c>
      <c r="Y57" s="7" t="e">
        <f t="shared" ca="1" si="24"/>
        <v>#NAME?</v>
      </c>
      <c r="Z57" s="7" t="e">
        <f t="shared" ca="1" si="25"/>
        <v>#DIV/0!</v>
      </c>
      <c r="AA57" s="1"/>
      <c r="AB57" s="1"/>
    </row>
    <row r="58" spans="1:28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9"/>
      <c r="N58" s="7" t="e">
        <f t="shared" si="13"/>
        <v>#DIV/0!</v>
      </c>
      <c r="O58" s="7" t="e">
        <f t="shared" ca="1" si="14"/>
        <v>#DIV/0!</v>
      </c>
      <c r="P58" s="33">
        <f t="shared" si="15"/>
        <v>0</v>
      </c>
      <c r="Q58" s="33">
        <f t="shared" si="16"/>
        <v>0</v>
      </c>
      <c r="R58" s="7" t="e">
        <f t="shared" si="17"/>
        <v>#DIV/0!</v>
      </c>
      <c r="S58" s="7" t="e">
        <f t="shared" ca="1" si="18"/>
        <v>#NAME?</v>
      </c>
      <c r="T58" s="33" t="e">
        <f t="shared" ca="1" si="19"/>
        <v>#NAME?</v>
      </c>
      <c r="U58" s="7" t="e">
        <f t="shared" ca="1" si="20"/>
        <v>#NAME?</v>
      </c>
      <c r="V58" s="7" t="e">
        <f t="shared" ca="1" si="21"/>
        <v>#DIV/0!</v>
      </c>
      <c r="W58" s="7" t="e">
        <f t="shared" ca="1" si="22"/>
        <v>#NAME?</v>
      </c>
      <c r="X58" s="33" t="e">
        <f t="shared" ca="1" si="23"/>
        <v>#NAME?</v>
      </c>
      <c r="Y58" s="7" t="e">
        <f t="shared" ca="1" si="24"/>
        <v>#NAME?</v>
      </c>
      <c r="Z58" s="7" t="e">
        <f t="shared" ca="1" si="25"/>
        <v>#DIV/0!</v>
      </c>
      <c r="AA58" s="1"/>
      <c r="AB58" s="1"/>
    </row>
    <row r="59" spans="1:28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9"/>
      <c r="N59" s="7" t="e">
        <f t="shared" si="13"/>
        <v>#DIV/0!</v>
      </c>
      <c r="O59" s="7" t="e">
        <f t="shared" ca="1" si="14"/>
        <v>#DIV/0!</v>
      </c>
      <c r="P59" s="33">
        <f t="shared" si="15"/>
        <v>0</v>
      </c>
      <c r="Q59" s="33">
        <f t="shared" si="16"/>
        <v>0</v>
      </c>
      <c r="R59" s="7" t="e">
        <f t="shared" si="17"/>
        <v>#DIV/0!</v>
      </c>
      <c r="S59" s="7" t="e">
        <f t="shared" ca="1" si="18"/>
        <v>#NAME?</v>
      </c>
      <c r="T59" s="33" t="e">
        <f t="shared" ca="1" si="19"/>
        <v>#NAME?</v>
      </c>
      <c r="U59" s="7" t="e">
        <f t="shared" ca="1" si="20"/>
        <v>#NAME?</v>
      </c>
      <c r="V59" s="7" t="e">
        <f t="shared" ca="1" si="21"/>
        <v>#DIV/0!</v>
      </c>
      <c r="W59" s="7" t="e">
        <f t="shared" ca="1" si="22"/>
        <v>#NAME?</v>
      </c>
      <c r="X59" s="33" t="e">
        <f t="shared" ca="1" si="23"/>
        <v>#NAME?</v>
      </c>
      <c r="Y59" s="7" t="e">
        <f t="shared" ca="1" si="24"/>
        <v>#NAME?</v>
      </c>
      <c r="Z59" s="7" t="e">
        <f t="shared" ca="1" si="25"/>
        <v>#DIV/0!</v>
      </c>
      <c r="AA59" s="1"/>
      <c r="AB59" s="1"/>
    </row>
    <row r="60" spans="1:28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9"/>
      <c r="N60" s="7" t="e">
        <f t="shared" si="13"/>
        <v>#DIV/0!</v>
      </c>
      <c r="O60" s="7" t="e">
        <f t="shared" ca="1" si="14"/>
        <v>#DIV/0!</v>
      </c>
      <c r="P60" s="33">
        <f t="shared" si="15"/>
        <v>0</v>
      </c>
      <c r="Q60" s="33">
        <f t="shared" si="16"/>
        <v>0</v>
      </c>
      <c r="R60" s="7" t="e">
        <f t="shared" si="17"/>
        <v>#DIV/0!</v>
      </c>
      <c r="S60" s="7" t="e">
        <f t="shared" ca="1" si="18"/>
        <v>#NAME?</v>
      </c>
      <c r="T60" s="33" t="e">
        <f t="shared" ca="1" si="19"/>
        <v>#NAME?</v>
      </c>
      <c r="U60" s="7" t="e">
        <f t="shared" ca="1" si="20"/>
        <v>#NAME?</v>
      </c>
      <c r="V60" s="7" t="e">
        <f t="shared" ca="1" si="21"/>
        <v>#DIV/0!</v>
      </c>
      <c r="W60" s="7" t="e">
        <f t="shared" ca="1" si="22"/>
        <v>#NAME?</v>
      </c>
      <c r="X60" s="33" t="e">
        <f t="shared" ca="1" si="23"/>
        <v>#NAME?</v>
      </c>
      <c r="Y60" s="7" t="e">
        <f t="shared" ca="1" si="24"/>
        <v>#NAME?</v>
      </c>
      <c r="Z60" s="7" t="e">
        <f t="shared" ca="1" si="25"/>
        <v>#DIV/0!</v>
      </c>
      <c r="AA60" s="1"/>
      <c r="AB60" s="1"/>
    </row>
    <row r="61" spans="1:28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9"/>
      <c r="N61" s="7" t="e">
        <f t="shared" si="13"/>
        <v>#DIV/0!</v>
      </c>
      <c r="O61" s="7" t="e">
        <f t="shared" ca="1" si="14"/>
        <v>#DIV/0!</v>
      </c>
      <c r="P61" s="33">
        <f t="shared" si="15"/>
        <v>0</v>
      </c>
      <c r="Q61" s="33">
        <f t="shared" si="16"/>
        <v>0</v>
      </c>
      <c r="R61" s="7" t="e">
        <f t="shared" si="17"/>
        <v>#DIV/0!</v>
      </c>
      <c r="S61" s="7" t="e">
        <f t="shared" ca="1" si="18"/>
        <v>#NAME?</v>
      </c>
      <c r="T61" s="33" t="e">
        <f t="shared" ca="1" si="19"/>
        <v>#NAME?</v>
      </c>
      <c r="U61" s="7" t="e">
        <f t="shared" ca="1" si="20"/>
        <v>#NAME?</v>
      </c>
      <c r="V61" s="7" t="e">
        <f t="shared" ca="1" si="21"/>
        <v>#DIV/0!</v>
      </c>
      <c r="W61" s="7" t="e">
        <f t="shared" ca="1" si="22"/>
        <v>#NAME?</v>
      </c>
      <c r="X61" s="33" t="e">
        <f t="shared" ca="1" si="23"/>
        <v>#NAME?</v>
      </c>
      <c r="Y61" s="7" t="e">
        <f t="shared" ca="1" si="24"/>
        <v>#NAME?</v>
      </c>
      <c r="Z61" s="7" t="e">
        <f t="shared" ca="1" si="25"/>
        <v>#DIV/0!</v>
      </c>
      <c r="AA61" s="1"/>
      <c r="AB61" s="1"/>
    </row>
    <row r="62" spans="1:28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9"/>
      <c r="N62" s="7" t="e">
        <f t="shared" si="13"/>
        <v>#DIV/0!</v>
      </c>
      <c r="O62" s="7" t="e">
        <f t="shared" ca="1" si="14"/>
        <v>#DIV/0!</v>
      </c>
      <c r="P62" s="33">
        <f t="shared" si="15"/>
        <v>0</v>
      </c>
      <c r="Q62" s="33">
        <f t="shared" si="16"/>
        <v>0</v>
      </c>
      <c r="R62" s="7" t="e">
        <f t="shared" si="17"/>
        <v>#DIV/0!</v>
      </c>
      <c r="S62" s="7" t="e">
        <f t="shared" ca="1" si="18"/>
        <v>#NAME?</v>
      </c>
      <c r="T62" s="33" t="e">
        <f t="shared" ca="1" si="19"/>
        <v>#NAME?</v>
      </c>
      <c r="U62" s="7" t="e">
        <f t="shared" ca="1" si="20"/>
        <v>#NAME?</v>
      </c>
      <c r="V62" s="7" t="e">
        <f t="shared" ca="1" si="21"/>
        <v>#DIV/0!</v>
      </c>
      <c r="W62" s="7" t="e">
        <f t="shared" ca="1" si="22"/>
        <v>#NAME?</v>
      </c>
      <c r="X62" s="33" t="e">
        <f t="shared" ca="1" si="23"/>
        <v>#NAME?</v>
      </c>
      <c r="Y62" s="7" t="e">
        <f t="shared" ca="1" si="24"/>
        <v>#NAME?</v>
      </c>
      <c r="Z62" s="7" t="e">
        <f t="shared" ca="1" si="25"/>
        <v>#DIV/0!</v>
      </c>
      <c r="AA62" s="1"/>
      <c r="AB62" s="1"/>
    </row>
    <row r="63" spans="1:28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9"/>
      <c r="N63" s="7" t="e">
        <f t="shared" si="13"/>
        <v>#DIV/0!</v>
      </c>
      <c r="O63" s="7" t="e">
        <f t="shared" ca="1" si="14"/>
        <v>#DIV/0!</v>
      </c>
      <c r="P63" s="33">
        <f t="shared" si="15"/>
        <v>0</v>
      </c>
      <c r="Q63" s="33">
        <f t="shared" si="16"/>
        <v>0</v>
      </c>
      <c r="R63" s="7" t="e">
        <f t="shared" si="17"/>
        <v>#DIV/0!</v>
      </c>
      <c r="S63" s="7" t="e">
        <f t="shared" ca="1" si="18"/>
        <v>#NAME?</v>
      </c>
      <c r="T63" s="33" t="e">
        <f t="shared" ca="1" si="19"/>
        <v>#NAME?</v>
      </c>
      <c r="U63" s="7" t="e">
        <f t="shared" ca="1" si="20"/>
        <v>#NAME?</v>
      </c>
      <c r="V63" s="7" t="e">
        <f t="shared" ca="1" si="21"/>
        <v>#DIV/0!</v>
      </c>
      <c r="W63" s="7" t="e">
        <f t="shared" ca="1" si="22"/>
        <v>#NAME?</v>
      </c>
      <c r="X63" s="33" t="e">
        <f t="shared" ca="1" si="23"/>
        <v>#NAME?</v>
      </c>
      <c r="Y63" s="7" t="e">
        <f t="shared" ca="1" si="24"/>
        <v>#NAME?</v>
      </c>
      <c r="Z63" s="7" t="e">
        <f t="shared" ca="1" si="25"/>
        <v>#DIV/0!</v>
      </c>
      <c r="AA63" s="1"/>
      <c r="AB63" s="1"/>
    </row>
    <row r="64" spans="1:28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9"/>
      <c r="N64" s="7" t="e">
        <f t="shared" si="13"/>
        <v>#DIV/0!</v>
      </c>
      <c r="O64" s="7" t="e">
        <f t="shared" ca="1" si="14"/>
        <v>#DIV/0!</v>
      </c>
      <c r="P64" s="33">
        <f t="shared" si="15"/>
        <v>0</v>
      </c>
      <c r="Q64" s="33">
        <f t="shared" si="16"/>
        <v>0</v>
      </c>
      <c r="R64" s="7" t="e">
        <f t="shared" si="17"/>
        <v>#DIV/0!</v>
      </c>
      <c r="S64" s="7" t="e">
        <f t="shared" ca="1" si="18"/>
        <v>#NAME?</v>
      </c>
      <c r="T64" s="33" t="e">
        <f t="shared" ca="1" si="19"/>
        <v>#NAME?</v>
      </c>
      <c r="U64" s="7" t="e">
        <f t="shared" ca="1" si="20"/>
        <v>#NAME?</v>
      </c>
      <c r="V64" s="7" t="e">
        <f t="shared" ca="1" si="21"/>
        <v>#DIV/0!</v>
      </c>
      <c r="W64" s="7" t="e">
        <f t="shared" ca="1" si="22"/>
        <v>#NAME?</v>
      </c>
      <c r="X64" s="33" t="e">
        <f t="shared" ca="1" si="23"/>
        <v>#NAME?</v>
      </c>
      <c r="Y64" s="7" t="e">
        <f t="shared" ca="1" si="24"/>
        <v>#NAME?</v>
      </c>
      <c r="Z64" s="7" t="e">
        <f t="shared" ca="1" si="25"/>
        <v>#DIV/0!</v>
      </c>
      <c r="AA64" s="1"/>
      <c r="AB64" s="1"/>
    </row>
    <row r="65" spans="1:28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9"/>
      <c r="N65" s="7" t="e">
        <f t="shared" si="13"/>
        <v>#DIV/0!</v>
      </c>
      <c r="O65" s="7" t="e">
        <f t="shared" ca="1" si="14"/>
        <v>#DIV/0!</v>
      </c>
      <c r="P65" s="33">
        <f t="shared" si="15"/>
        <v>0</v>
      </c>
      <c r="Q65" s="33">
        <f t="shared" si="16"/>
        <v>0</v>
      </c>
      <c r="R65" s="7" t="e">
        <f t="shared" si="17"/>
        <v>#DIV/0!</v>
      </c>
      <c r="S65" s="7" t="e">
        <f t="shared" ca="1" si="18"/>
        <v>#NAME?</v>
      </c>
      <c r="T65" s="33" t="e">
        <f t="shared" ca="1" si="19"/>
        <v>#NAME?</v>
      </c>
      <c r="U65" s="7" t="e">
        <f t="shared" ca="1" si="20"/>
        <v>#NAME?</v>
      </c>
      <c r="V65" s="7" t="e">
        <f t="shared" ca="1" si="21"/>
        <v>#DIV/0!</v>
      </c>
      <c r="W65" s="7" t="e">
        <f t="shared" ca="1" si="22"/>
        <v>#NAME?</v>
      </c>
      <c r="X65" s="33" t="e">
        <f t="shared" ca="1" si="23"/>
        <v>#NAME?</v>
      </c>
      <c r="Y65" s="7" t="e">
        <f t="shared" ca="1" si="24"/>
        <v>#NAME?</v>
      </c>
      <c r="Z65" s="7" t="e">
        <f t="shared" ca="1" si="25"/>
        <v>#DIV/0!</v>
      </c>
      <c r="AA65" s="1"/>
      <c r="AB65" s="1"/>
    </row>
    <row r="66" spans="1:28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9"/>
      <c r="N66" s="7" t="e">
        <f t="shared" si="13"/>
        <v>#DIV/0!</v>
      </c>
      <c r="O66" s="7" t="e">
        <f t="shared" ca="1" si="14"/>
        <v>#DIV/0!</v>
      </c>
      <c r="P66" s="33">
        <f t="shared" si="15"/>
        <v>0</v>
      </c>
      <c r="Q66" s="33">
        <f t="shared" si="16"/>
        <v>0</v>
      </c>
      <c r="R66" s="7" t="e">
        <f t="shared" si="17"/>
        <v>#DIV/0!</v>
      </c>
      <c r="S66" s="7" t="e">
        <f t="shared" ca="1" si="18"/>
        <v>#NAME?</v>
      </c>
      <c r="T66" s="33" t="e">
        <f t="shared" ca="1" si="19"/>
        <v>#NAME?</v>
      </c>
      <c r="U66" s="7" t="e">
        <f t="shared" ca="1" si="20"/>
        <v>#NAME?</v>
      </c>
      <c r="V66" s="7" t="e">
        <f t="shared" ca="1" si="21"/>
        <v>#DIV/0!</v>
      </c>
      <c r="W66" s="7" t="e">
        <f t="shared" ca="1" si="22"/>
        <v>#NAME?</v>
      </c>
      <c r="X66" s="33" t="e">
        <f t="shared" ca="1" si="23"/>
        <v>#NAME?</v>
      </c>
      <c r="Y66" s="7" t="e">
        <f t="shared" ca="1" si="24"/>
        <v>#NAME?</v>
      </c>
      <c r="Z66" s="7" t="e">
        <f t="shared" ca="1" si="25"/>
        <v>#DIV/0!</v>
      </c>
      <c r="AA66" s="1"/>
      <c r="AB66" s="1"/>
    </row>
    <row r="67" spans="1:28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9"/>
      <c r="N67" s="7" t="e">
        <f t="shared" si="13"/>
        <v>#DIV/0!</v>
      </c>
      <c r="O67" s="7" t="e">
        <f t="shared" ca="1" si="14"/>
        <v>#DIV/0!</v>
      </c>
      <c r="P67" s="33">
        <f t="shared" si="15"/>
        <v>0</v>
      </c>
      <c r="Q67" s="33">
        <f t="shared" si="16"/>
        <v>0</v>
      </c>
      <c r="R67" s="7" t="e">
        <f t="shared" si="17"/>
        <v>#DIV/0!</v>
      </c>
      <c r="S67" s="7" t="e">
        <f t="shared" ca="1" si="18"/>
        <v>#NAME?</v>
      </c>
      <c r="T67" s="33" t="e">
        <f t="shared" ca="1" si="19"/>
        <v>#NAME?</v>
      </c>
      <c r="U67" s="7" t="e">
        <f t="shared" ca="1" si="20"/>
        <v>#NAME?</v>
      </c>
      <c r="V67" s="7" t="e">
        <f t="shared" ca="1" si="21"/>
        <v>#DIV/0!</v>
      </c>
      <c r="W67" s="7" t="e">
        <f t="shared" ca="1" si="22"/>
        <v>#NAME?</v>
      </c>
      <c r="X67" s="33" t="e">
        <f t="shared" ca="1" si="23"/>
        <v>#NAME?</v>
      </c>
      <c r="Y67" s="7" t="e">
        <f t="shared" ca="1" si="24"/>
        <v>#NAME?</v>
      </c>
      <c r="Z67" s="7" t="e">
        <f t="shared" ca="1" si="25"/>
        <v>#DIV/0!</v>
      </c>
      <c r="AA67" s="1"/>
      <c r="AB67" s="1"/>
    </row>
    <row r="68" spans="1:28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9"/>
      <c r="N68" s="7" t="e">
        <f t="shared" ref="N68:N77" si="26">$G68/$D68</f>
        <v>#DIV/0!</v>
      </c>
      <c r="O68" s="7" t="e">
        <f t="shared" ref="O68:O77" ca="1" si="27">N68/($B68-TODAY())</f>
        <v>#DIV/0!</v>
      </c>
      <c r="P68" s="33">
        <f t="shared" ref="P68:P77" si="28">$E68*$D68</f>
        <v>0</v>
      </c>
      <c r="Q68" s="33">
        <f t="shared" ref="Q68:Q77" si="29">($G68+$F68-$D68)*$E68</f>
        <v>0</v>
      </c>
      <c r="R68" s="7" t="e">
        <f t="shared" ref="R68:R77" si="30">$Q68/$P68</f>
        <v>#DIV/0!</v>
      </c>
      <c r="S68" s="7" t="e">
        <f t="shared" ref="S68:S77" ca="1" si="31">mrigxl_max_drawdown($C68,INT($B68-TODAY()))</f>
        <v>#NAME?</v>
      </c>
      <c r="T68" s="33" t="e">
        <f t="shared" ref="T68:T77" ca="1" si="32">(S68*$D68+$G68)*$E68</f>
        <v>#NAME?</v>
      </c>
      <c r="U68" s="7" t="e">
        <f t="shared" ref="U68:U77" ca="1" si="33">T68/$P68</f>
        <v>#NAME?</v>
      </c>
      <c r="V68" s="7" t="e">
        <f t="shared" ref="V68:V77" ca="1" si="34">$R68+U68</f>
        <v>#DIV/0!</v>
      </c>
      <c r="W68" s="7" t="e">
        <f t="shared" ref="W68:W77" ca="1" si="35">mrigxl_avg_drawdown($C68,INT($B68-TODAY()))</f>
        <v>#NAME?</v>
      </c>
      <c r="X68" s="33" t="e">
        <f t="shared" ref="X68:X77" ca="1" si="36">(W68*$D68+$G68)*$E68</f>
        <v>#NAME?</v>
      </c>
      <c r="Y68" s="7" t="e">
        <f t="shared" ref="Y68:Y77" ca="1" si="37">X68/$P68</f>
        <v>#NAME?</v>
      </c>
      <c r="Z68" s="7" t="e">
        <f t="shared" ref="Z68:Z77" ca="1" si="38">$R68+Y68</f>
        <v>#DIV/0!</v>
      </c>
      <c r="AA68" s="1"/>
      <c r="AB68" s="1"/>
    </row>
    <row r="69" spans="1:28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9"/>
      <c r="N69" s="7" t="e">
        <f t="shared" si="26"/>
        <v>#DIV/0!</v>
      </c>
      <c r="O69" s="7" t="e">
        <f t="shared" ca="1" si="27"/>
        <v>#DIV/0!</v>
      </c>
      <c r="P69" s="33">
        <f t="shared" si="28"/>
        <v>0</v>
      </c>
      <c r="Q69" s="33">
        <f t="shared" si="29"/>
        <v>0</v>
      </c>
      <c r="R69" s="7" t="e">
        <f t="shared" si="30"/>
        <v>#DIV/0!</v>
      </c>
      <c r="S69" s="7" t="e">
        <f t="shared" ca="1" si="31"/>
        <v>#NAME?</v>
      </c>
      <c r="T69" s="33" t="e">
        <f t="shared" ca="1" si="32"/>
        <v>#NAME?</v>
      </c>
      <c r="U69" s="7" t="e">
        <f t="shared" ca="1" si="33"/>
        <v>#NAME?</v>
      </c>
      <c r="V69" s="7" t="e">
        <f t="shared" ca="1" si="34"/>
        <v>#DIV/0!</v>
      </c>
      <c r="W69" s="7" t="e">
        <f t="shared" ca="1" si="35"/>
        <v>#NAME?</v>
      </c>
      <c r="X69" s="33" t="e">
        <f t="shared" ca="1" si="36"/>
        <v>#NAME?</v>
      </c>
      <c r="Y69" s="7" t="e">
        <f t="shared" ca="1" si="37"/>
        <v>#NAME?</v>
      </c>
      <c r="Z69" s="7" t="e">
        <f t="shared" ca="1" si="38"/>
        <v>#DIV/0!</v>
      </c>
      <c r="AA69" s="1"/>
      <c r="AB69" s="1"/>
    </row>
    <row r="70" spans="1:28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9"/>
      <c r="N70" s="7" t="e">
        <f t="shared" si="26"/>
        <v>#DIV/0!</v>
      </c>
      <c r="O70" s="7" t="e">
        <f t="shared" ca="1" si="27"/>
        <v>#DIV/0!</v>
      </c>
      <c r="P70" s="33">
        <f t="shared" si="28"/>
        <v>0</v>
      </c>
      <c r="Q70" s="33">
        <f t="shared" si="29"/>
        <v>0</v>
      </c>
      <c r="R70" s="7" t="e">
        <f t="shared" si="30"/>
        <v>#DIV/0!</v>
      </c>
      <c r="S70" s="7" t="e">
        <f t="shared" ca="1" si="31"/>
        <v>#NAME?</v>
      </c>
      <c r="T70" s="33" t="e">
        <f t="shared" ca="1" si="32"/>
        <v>#NAME?</v>
      </c>
      <c r="U70" s="7" t="e">
        <f t="shared" ca="1" si="33"/>
        <v>#NAME?</v>
      </c>
      <c r="V70" s="7" t="e">
        <f t="shared" ca="1" si="34"/>
        <v>#DIV/0!</v>
      </c>
      <c r="W70" s="7" t="e">
        <f t="shared" ca="1" si="35"/>
        <v>#NAME?</v>
      </c>
      <c r="X70" s="33" t="e">
        <f t="shared" ca="1" si="36"/>
        <v>#NAME?</v>
      </c>
      <c r="Y70" s="7" t="e">
        <f t="shared" ca="1" si="37"/>
        <v>#NAME?</v>
      </c>
      <c r="Z70" s="7" t="e">
        <f t="shared" ca="1" si="38"/>
        <v>#DIV/0!</v>
      </c>
      <c r="AA70" s="1"/>
      <c r="AB70" s="1"/>
    </row>
    <row r="71" spans="1:28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9"/>
      <c r="N71" s="7" t="e">
        <f t="shared" si="26"/>
        <v>#DIV/0!</v>
      </c>
      <c r="O71" s="7" t="e">
        <f t="shared" ca="1" si="27"/>
        <v>#DIV/0!</v>
      </c>
      <c r="P71" s="33">
        <f t="shared" si="28"/>
        <v>0</v>
      </c>
      <c r="Q71" s="33">
        <f t="shared" si="29"/>
        <v>0</v>
      </c>
      <c r="R71" s="7" t="e">
        <f t="shared" si="30"/>
        <v>#DIV/0!</v>
      </c>
      <c r="S71" s="7" t="e">
        <f t="shared" ca="1" si="31"/>
        <v>#NAME?</v>
      </c>
      <c r="T71" s="33" t="e">
        <f t="shared" ca="1" si="32"/>
        <v>#NAME?</v>
      </c>
      <c r="U71" s="7" t="e">
        <f t="shared" ca="1" si="33"/>
        <v>#NAME?</v>
      </c>
      <c r="V71" s="7" t="e">
        <f t="shared" ca="1" si="34"/>
        <v>#DIV/0!</v>
      </c>
      <c r="W71" s="7" t="e">
        <f t="shared" ca="1" si="35"/>
        <v>#NAME?</v>
      </c>
      <c r="X71" s="33" t="e">
        <f t="shared" ca="1" si="36"/>
        <v>#NAME?</v>
      </c>
      <c r="Y71" s="7" t="e">
        <f t="shared" ca="1" si="37"/>
        <v>#NAME?</v>
      </c>
      <c r="Z71" s="7" t="e">
        <f t="shared" ca="1" si="38"/>
        <v>#DIV/0!</v>
      </c>
      <c r="AA71" s="1"/>
      <c r="AB71" s="1"/>
    </row>
    <row r="72" spans="1:28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9"/>
      <c r="N72" s="7" t="e">
        <f t="shared" si="26"/>
        <v>#DIV/0!</v>
      </c>
      <c r="O72" s="7" t="e">
        <f t="shared" ca="1" si="27"/>
        <v>#DIV/0!</v>
      </c>
      <c r="P72" s="33">
        <f t="shared" si="28"/>
        <v>0</v>
      </c>
      <c r="Q72" s="33">
        <f t="shared" si="29"/>
        <v>0</v>
      </c>
      <c r="R72" s="7" t="e">
        <f t="shared" si="30"/>
        <v>#DIV/0!</v>
      </c>
      <c r="S72" s="7" t="e">
        <f t="shared" ca="1" si="31"/>
        <v>#NAME?</v>
      </c>
      <c r="T72" s="33" t="e">
        <f t="shared" ca="1" si="32"/>
        <v>#NAME?</v>
      </c>
      <c r="U72" s="7" t="e">
        <f t="shared" ca="1" si="33"/>
        <v>#NAME?</v>
      </c>
      <c r="V72" s="7" t="e">
        <f t="shared" ca="1" si="34"/>
        <v>#DIV/0!</v>
      </c>
      <c r="W72" s="7" t="e">
        <f t="shared" ca="1" si="35"/>
        <v>#NAME?</v>
      </c>
      <c r="X72" s="33" t="e">
        <f t="shared" ca="1" si="36"/>
        <v>#NAME?</v>
      </c>
      <c r="Y72" s="7" t="e">
        <f t="shared" ca="1" si="37"/>
        <v>#NAME?</v>
      </c>
      <c r="Z72" s="7" t="e">
        <f t="shared" ca="1" si="38"/>
        <v>#DIV/0!</v>
      </c>
      <c r="AA72" s="1"/>
      <c r="AB72" s="1"/>
    </row>
    <row r="73" spans="1:28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9"/>
      <c r="N73" s="7" t="e">
        <f t="shared" si="26"/>
        <v>#DIV/0!</v>
      </c>
      <c r="O73" s="7" t="e">
        <f t="shared" ca="1" si="27"/>
        <v>#DIV/0!</v>
      </c>
      <c r="P73" s="33">
        <f t="shared" si="28"/>
        <v>0</v>
      </c>
      <c r="Q73" s="33">
        <f t="shared" si="29"/>
        <v>0</v>
      </c>
      <c r="R73" s="7" t="e">
        <f t="shared" si="30"/>
        <v>#DIV/0!</v>
      </c>
      <c r="S73" s="7" t="e">
        <f t="shared" ca="1" si="31"/>
        <v>#NAME?</v>
      </c>
      <c r="T73" s="33" t="e">
        <f t="shared" ca="1" si="32"/>
        <v>#NAME?</v>
      </c>
      <c r="U73" s="7" t="e">
        <f t="shared" ca="1" si="33"/>
        <v>#NAME?</v>
      </c>
      <c r="V73" s="7" t="e">
        <f t="shared" ca="1" si="34"/>
        <v>#DIV/0!</v>
      </c>
      <c r="W73" s="7" t="e">
        <f t="shared" ca="1" si="35"/>
        <v>#NAME?</v>
      </c>
      <c r="X73" s="33" t="e">
        <f t="shared" ca="1" si="36"/>
        <v>#NAME?</v>
      </c>
      <c r="Y73" s="7" t="e">
        <f t="shared" ca="1" si="37"/>
        <v>#NAME?</v>
      </c>
      <c r="Z73" s="7" t="e">
        <f t="shared" ca="1" si="38"/>
        <v>#DIV/0!</v>
      </c>
      <c r="AA73" s="1"/>
      <c r="AB73" s="1"/>
    </row>
    <row r="74" spans="1:28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9"/>
      <c r="N74" s="7" t="e">
        <f t="shared" si="26"/>
        <v>#DIV/0!</v>
      </c>
      <c r="O74" s="7" t="e">
        <f t="shared" ca="1" si="27"/>
        <v>#DIV/0!</v>
      </c>
      <c r="P74" s="33">
        <f t="shared" si="28"/>
        <v>0</v>
      </c>
      <c r="Q74" s="33">
        <f t="shared" si="29"/>
        <v>0</v>
      </c>
      <c r="R74" s="7" t="e">
        <f t="shared" si="30"/>
        <v>#DIV/0!</v>
      </c>
      <c r="S74" s="7" t="e">
        <f t="shared" ca="1" si="31"/>
        <v>#NAME?</v>
      </c>
      <c r="T74" s="33" t="e">
        <f t="shared" ca="1" si="32"/>
        <v>#NAME?</v>
      </c>
      <c r="U74" s="7" t="e">
        <f t="shared" ca="1" si="33"/>
        <v>#NAME?</v>
      </c>
      <c r="V74" s="7" t="e">
        <f t="shared" ca="1" si="34"/>
        <v>#DIV/0!</v>
      </c>
      <c r="W74" s="7" t="e">
        <f t="shared" ca="1" si="35"/>
        <v>#NAME?</v>
      </c>
      <c r="X74" s="33" t="e">
        <f t="shared" ca="1" si="36"/>
        <v>#NAME?</v>
      </c>
      <c r="Y74" s="7" t="e">
        <f t="shared" ca="1" si="37"/>
        <v>#NAME?</v>
      </c>
      <c r="Z74" s="7" t="e">
        <f t="shared" ca="1" si="38"/>
        <v>#DIV/0!</v>
      </c>
      <c r="AA74" s="1"/>
      <c r="AB74" s="1"/>
    </row>
    <row r="75" spans="1:28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9"/>
      <c r="N75" s="7" t="e">
        <f t="shared" si="26"/>
        <v>#DIV/0!</v>
      </c>
      <c r="O75" s="7" t="e">
        <f t="shared" ca="1" si="27"/>
        <v>#DIV/0!</v>
      </c>
      <c r="P75" s="33">
        <f t="shared" si="28"/>
        <v>0</v>
      </c>
      <c r="Q75" s="33">
        <f t="shared" si="29"/>
        <v>0</v>
      </c>
      <c r="R75" s="7" t="e">
        <f t="shared" si="30"/>
        <v>#DIV/0!</v>
      </c>
      <c r="S75" s="7" t="e">
        <f t="shared" ca="1" si="31"/>
        <v>#NAME?</v>
      </c>
      <c r="T75" s="33" t="e">
        <f t="shared" ca="1" si="32"/>
        <v>#NAME?</v>
      </c>
      <c r="U75" s="7" t="e">
        <f t="shared" ca="1" si="33"/>
        <v>#NAME?</v>
      </c>
      <c r="V75" s="7" t="e">
        <f t="shared" ca="1" si="34"/>
        <v>#DIV/0!</v>
      </c>
      <c r="W75" s="7" t="e">
        <f t="shared" ca="1" si="35"/>
        <v>#NAME?</v>
      </c>
      <c r="X75" s="33" t="e">
        <f t="shared" ca="1" si="36"/>
        <v>#NAME?</v>
      </c>
      <c r="Y75" s="7" t="e">
        <f t="shared" ca="1" si="37"/>
        <v>#NAME?</v>
      </c>
      <c r="Z75" s="7" t="e">
        <f t="shared" ca="1" si="38"/>
        <v>#DIV/0!</v>
      </c>
      <c r="AA75" s="1"/>
      <c r="AB75" s="1"/>
    </row>
    <row r="76" spans="1:28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9"/>
      <c r="N76" s="7" t="e">
        <f t="shared" si="26"/>
        <v>#DIV/0!</v>
      </c>
      <c r="O76" s="7" t="e">
        <f t="shared" ca="1" si="27"/>
        <v>#DIV/0!</v>
      </c>
      <c r="P76" s="33">
        <f t="shared" si="28"/>
        <v>0</v>
      </c>
      <c r="Q76" s="33">
        <f t="shared" si="29"/>
        <v>0</v>
      </c>
      <c r="R76" s="7" t="e">
        <f t="shared" si="30"/>
        <v>#DIV/0!</v>
      </c>
      <c r="S76" s="7" t="e">
        <f t="shared" ca="1" si="31"/>
        <v>#NAME?</v>
      </c>
      <c r="T76" s="33" t="e">
        <f t="shared" ca="1" si="32"/>
        <v>#NAME?</v>
      </c>
      <c r="U76" s="7" t="e">
        <f t="shared" ca="1" si="33"/>
        <v>#NAME?</v>
      </c>
      <c r="V76" s="7" t="e">
        <f t="shared" ca="1" si="34"/>
        <v>#DIV/0!</v>
      </c>
      <c r="W76" s="7" t="e">
        <f t="shared" ca="1" si="35"/>
        <v>#NAME?</v>
      </c>
      <c r="X76" s="33" t="e">
        <f t="shared" ca="1" si="36"/>
        <v>#NAME?</v>
      </c>
      <c r="Y76" s="7" t="e">
        <f t="shared" ca="1" si="37"/>
        <v>#NAME?</v>
      </c>
      <c r="Z76" s="7" t="e">
        <f t="shared" ca="1" si="38"/>
        <v>#DIV/0!</v>
      </c>
      <c r="AA76" s="1"/>
      <c r="AB76" s="1"/>
    </row>
    <row r="77" spans="1:28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9"/>
      <c r="N77" s="7" t="e">
        <f t="shared" si="26"/>
        <v>#DIV/0!</v>
      </c>
      <c r="O77" s="7" t="e">
        <f t="shared" ca="1" si="27"/>
        <v>#DIV/0!</v>
      </c>
      <c r="P77" s="33">
        <f t="shared" si="28"/>
        <v>0</v>
      </c>
      <c r="Q77" s="33">
        <f t="shared" si="29"/>
        <v>0</v>
      </c>
      <c r="R77" s="7" t="e">
        <f t="shared" si="30"/>
        <v>#DIV/0!</v>
      </c>
      <c r="S77" s="7" t="e">
        <f t="shared" ca="1" si="31"/>
        <v>#NAME?</v>
      </c>
      <c r="T77" s="33" t="e">
        <f t="shared" ca="1" si="32"/>
        <v>#NAME?</v>
      </c>
      <c r="U77" s="7" t="e">
        <f t="shared" ca="1" si="33"/>
        <v>#NAME?</v>
      </c>
      <c r="V77" s="7" t="e">
        <f t="shared" ca="1" si="34"/>
        <v>#DIV/0!</v>
      </c>
      <c r="W77" s="7" t="e">
        <f t="shared" ca="1" si="35"/>
        <v>#NAME?</v>
      </c>
      <c r="X77" s="33" t="e">
        <f t="shared" ca="1" si="36"/>
        <v>#NAME?</v>
      </c>
      <c r="Y77" s="7" t="e">
        <f t="shared" ca="1" si="37"/>
        <v>#NAME?</v>
      </c>
      <c r="Z77" s="7" t="e">
        <f t="shared" ca="1" si="38"/>
        <v>#DIV/0!</v>
      </c>
      <c r="AA77" s="1"/>
      <c r="AB77" s="1"/>
    </row>
    <row r="78" spans="1:28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9"/>
      <c r="N78" s="7"/>
      <c r="O78" s="7"/>
      <c r="P78" s="33"/>
      <c r="Q78" s="33"/>
      <c r="R78" s="7"/>
      <c r="S78" s="7"/>
      <c r="T78" s="33"/>
      <c r="U78" s="7"/>
      <c r="V78" s="7"/>
      <c r="W78" s="7"/>
      <c r="X78" s="33"/>
      <c r="Y78" s="7"/>
      <c r="Z78" s="7"/>
      <c r="AA78" s="1"/>
      <c r="AB78" s="1"/>
    </row>
    <row r="79" spans="1:28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9"/>
      <c r="N79" s="7"/>
      <c r="O79" s="7"/>
      <c r="P79" s="33"/>
      <c r="Q79" s="33"/>
      <c r="R79" s="7"/>
      <c r="S79" s="7"/>
      <c r="T79" s="33"/>
      <c r="U79" s="7"/>
      <c r="V79" s="7"/>
      <c r="W79" s="7"/>
      <c r="X79" s="33"/>
      <c r="Y79" s="7"/>
      <c r="Z79" s="7"/>
      <c r="AA79" s="1"/>
      <c r="AB79" s="1"/>
    </row>
    <row r="80" spans="1:28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9"/>
      <c r="N80" s="7"/>
      <c r="O80" s="7"/>
      <c r="P80" s="33"/>
      <c r="Q80" s="33"/>
      <c r="R80" s="7"/>
      <c r="S80" s="7"/>
      <c r="T80" s="33"/>
      <c r="U80" s="7"/>
      <c r="V80" s="7"/>
      <c r="W80" s="7"/>
      <c r="X80" s="33"/>
      <c r="Y80" s="7"/>
      <c r="Z80" s="7"/>
      <c r="AA80" s="1"/>
      <c r="AB80" s="1"/>
    </row>
    <row r="81" spans="1:28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9"/>
      <c r="N81" s="7"/>
      <c r="O81" s="7"/>
      <c r="P81" s="33"/>
      <c r="Q81" s="33"/>
      <c r="R81" s="7"/>
      <c r="S81" s="7"/>
      <c r="T81" s="33"/>
      <c r="U81" s="7"/>
      <c r="V81" s="7"/>
      <c r="W81" s="7"/>
      <c r="X81" s="33"/>
      <c r="Y81" s="7"/>
      <c r="Z81" s="7"/>
      <c r="AA81" s="1"/>
      <c r="AB81" s="1"/>
    </row>
    <row r="82" spans="1:28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7"/>
      <c r="N82" s="7"/>
      <c r="O82" s="7"/>
      <c r="P82" s="33"/>
      <c r="Q82" s="33"/>
      <c r="R82" s="7"/>
      <c r="S82" s="7"/>
      <c r="T82" s="33"/>
      <c r="U82" s="7"/>
      <c r="V82" s="7"/>
      <c r="W82" s="7"/>
      <c r="X82" s="33"/>
      <c r="Y82" s="7"/>
      <c r="Z82" s="7"/>
      <c r="AA82" s="1"/>
      <c r="AB82" s="1"/>
    </row>
    <row r="83" spans="1:28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9"/>
      <c r="N83" s="7"/>
      <c r="O83" s="7"/>
      <c r="P83" s="33"/>
      <c r="Q83" s="33"/>
      <c r="R83" s="7"/>
      <c r="S83" s="7"/>
      <c r="T83" s="33"/>
      <c r="U83" s="7"/>
      <c r="V83" s="7"/>
      <c r="W83" s="7"/>
      <c r="X83" s="33"/>
      <c r="Y83" s="7"/>
      <c r="Z83" s="7"/>
      <c r="AA83" s="1"/>
      <c r="AB83" s="1"/>
    </row>
    <row r="84" spans="1:28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9"/>
      <c r="N84" s="7"/>
      <c r="O84" s="7"/>
      <c r="P84" s="33"/>
      <c r="Q84" s="33"/>
      <c r="R84" s="7"/>
      <c r="S84" s="7"/>
      <c r="T84" s="33"/>
      <c r="U84" s="7"/>
      <c r="V84" s="7"/>
      <c r="W84" s="7"/>
      <c r="X84" s="33"/>
      <c r="Y84" s="7"/>
      <c r="Z84" s="7"/>
      <c r="AA84" s="1"/>
      <c r="AB84" s="1"/>
    </row>
    <row r="85" spans="1:28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9"/>
      <c r="N85" s="7"/>
      <c r="O85" s="7"/>
      <c r="P85" s="33"/>
      <c r="Q85" s="33"/>
      <c r="R85" s="7"/>
      <c r="S85" s="7"/>
      <c r="T85" s="33"/>
      <c r="U85" s="7"/>
      <c r="V85" s="7"/>
      <c r="W85" s="7"/>
      <c r="X85" s="33"/>
      <c r="Y85" s="7"/>
      <c r="Z85" s="7"/>
      <c r="AA85" s="1"/>
      <c r="AB85" s="1"/>
    </row>
    <row r="86" spans="1:28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9"/>
      <c r="N86" s="7"/>
      <c r="O86" s="7"/>
      <c r="P86" s="33"/>
      <c r="Q86" s="33"/>
      <c r="R86" s="7"/>
      <c r="S86" s="7"/>
      <c r="T86" s="33"/>
      <c r="U86" s="7"/>
      <c r="V86" s="7"/>
      <c r="W86" s="7"/>
      <c r="X86" s="33"/>
      <c r="Y86" s="7"/>
      <c r="Z86" s="7"/>
      <c r="AA86" s="1"/>
      <c r="AB86" s="1"/>
    </row>
    <row r="87" spans="1:28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9"/>
      <c r="N87" s="7"/>
      <c r="O87" s="7"/>
      <c r="P87" s="33"/>
      <c r="Q87" s="33"/>
      <c r="R87" s="7"/>
      <c r="S87" s="7"/>
      <c r="T87" s="33"/>
      <c r="U87" s="7"/>
      <c r="V87" s="7"/>
      <c r="W87" s="7"/>
      <c r="X87" s="33"/>
      <c r="Y87" s="7"/>
      <c r="Z87" s="7"/>
      <c r="AA87" s="1"/>
      <c r="AB87" s="1"/>
    </row>
    <row r="88" spans="1:28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9"/>
      <c r="N88" s="7"/>
      <c r="O88" s="7"/>
      <c r="P88" s="33"/>
      <c r="Q88" s="33"/>
      <c r="R88" s="7"/>
      <c r="S88" s="7"/>
      <c r="T88" s="33"/>
      <c r="U88" s="7"/>
      <c r="V88" s="7"/>
      <c r="W88" s="7"/>
      <c r="X88" s="33"/>
      <c r="Y88" s="7"/>
      <c r="Z88" s="7"/>
      <c r="AA88" s="1"/>
      <c r="AB88" s="1"/>
    </row>
    <row r="89" spans="1:28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9"/>
      <c r="N89" s="7"/>
      <c r="O89" s="7"/>
      <c r="P89" s="33"/>
      <c r="Q89" s="33"/>
      <c r="R89" s="7"/>
      <c r="S89" s="7"/>
      <c r="T89" s="33"/>
      <c r="U89" s="7"/>
      <c r="V89" s="7"/>
      <c r="W89" s="7"/>
      <c r="X89" s="33"/>
      <c r="Y89" s="7"/>
      <c r="Z89" s="7"/>
      <c r="AA89" s="1"/>
      <c r="AB89" s="1"/>
    </row>
    <row r="90" spans="1:28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9"/>
      <c r="N90" s="7"/>
      <c r="O90" s="7"/>
      <c r="P90" s="33"/>
      <c r="Q90" s="33"/>
      <c r="R90" s="7"/>
      <c r="S90" s="7"/>
      <c r="T90" s="33"/>
      <c r="U90" s="7"/>
      <c r="V90" s="7"/>
      <c r="W90" s="7"/>
      <c r="X90" s="33"/>
      <c r="Y90" s="7"/>
      <c r="Z90" s="7"/>
      <c r="AA90" s="1"/>
      <c r="AB90" s="1"/>
    </row>
    <row r="91" spans="1:28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9"/>
      <c r="N91" s="7"/>
      <c r="O91" s="7"/>
      <c r="P91" s="33"/>
      <c r="Q91" s="33"/>
      <c r="R91" s="7"/>
      <c r="S91" s="7"/>
      <c r="T91" s="33"/>
      <c r="U91" s="7"/>
      <c r="V91" s="7"/>
      <c r="W91" s="7"/>
      <c r="X91" s="33"/>
      <c r="Y91" s="7"/>
      <c r="Z91" s="7"/>
      <c r="AA91" s="1"/>
      <c r="AB91" s="1"/>
    </row>
    <row r="92" spans="1:28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9"/>
      <c r="N92" s="7"/>
      <c r="O92" s="7"/>
      <c r="P92" s="33"/>
      <c r="Q92" s="33"/>
      <c r="R92" s="7"/>
      <c r="S92" s="7"/>
      <c r="T92" s="33"/>
      <c r="U92" s="7"/>
      <c r="V92" s="7"/>
      <c r="W92" s="7"/>
      <c r="X92" s="33"/>
      <c r="Y92" s="7"/>
      <c r="Z92" s="7"/>
      <c r="AA92" s="1"/>
      <c r="AB92" s="1"/>
    </row>
    <row r="93" spans="1:28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9"/>
      <c r="N93" s="7"/>
      <c r="O93" s="7"/>
      <c r="P93" s="33"/>
      <c r="Q93" s="33"/>
      <c r="R93" s="7"/>
      <c r="S93" s="7"/>
      <c r="T93" s="33"/>
      <c r="U93" s="7"/>
      <c r="V93" s="7"/>
      <c r="W93" s="7"/>
      <c r="X93" s="33"/>
      <c r="Y93" s="7"/>
      <c r="Z93" s="7"/>
      <c r="AA93" s="1"/>
      <c r="AB93" s="1"/>
    </row>
    <row r="94" spans="1:28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9"/>
      <c r="N94" s="7"/>
      <c r="O94" s="7"/>
      <c r="P94" s="33"/>
      <c r="Q94" s="33"/>
      <c r="R94" s="7"/>
      <c r="S94" s="7"/>
      <c r="T94" s="33"/>
      <c r="U94" s="7"/>
      <c r="V94" s="7"/>
      <c r="W94" s="7"/>
      <c r="X94" s="33"/>
      <c r="Y94" s="7"/>
      <c r="Z94" s="7"/>
      <c r="AA94" s="1"/>
      <c r="AB94" s="1"/>
    </row>
    <row r="95" spans="1:28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9"/>
      <c r="N95" s="7"/>
      <c r="O95" s="7"/>
      <c r="P95" s="33"/>
      <c r="Q95" s="33"/>
      <c r="R95" s="7"/>
      <c r="S95" s="7"/>
      <c r="T95" s="33"/>
      <c r="U95" s="7"/>
      <c r="V95" s="7"/>
      <c r="W95" s="7"/>
      <c r="X95" s="33"/>
      <c r="Y95" s="7"/>
      <c r="Z95" s="7"/>
      <c r="AA95" s="1"/>
      <c r="AB95" s="1"/>
    </row>
    <row r="96" spans="1:28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9"/>
      <c r="N96" s="7"/>
      <c r="O96" s="7"/>
      <c r="P96" s="33"/>
      <c r="Q96" s="33"/>
      <c r="R96" s="7"/>
      <c r="S96" s="7"/>
      <c r="T96" s="33"/>
      <c r="U96" s="7"/>
      <c r="V96" s="7"/>
      <c r="W96" s="7"/>
      <c r="X96" s="33"/>
      <c r="Y96" s="7"/>
      <c r="Z96" s="7"/>
      <c r="AA96" s="1"/>
      <c r="AB96" s="1"/>
    </row>
    <row r="97" spans="1:28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9"/>
      <c r="N97" s="7"/>
      <c r="O97" s="7"/>
      <c r="P97" s="33"/>
      <c r="Q97" s="33"/>
      <c r="R97" s="7"/>
      <c r="S97" s="7"/>
      <c r="T97" s="33"/>
      <c r="U97" s="7"/>
      <c r="V97" s="7"/>
      <c r="W97" s="7"/>
      <c r="X97" s="33"/>
      <c r="Y97" s="7"/>
      <c r="Z97" s="7"/>
      <c r="AA97" s="1"/>
      <c r="AB97" s="1"/>
    </row>
    <row r="98" spans="1:28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9"/>
      <c r="N98" s="7"/>
      <c r="O98" s="7"/>
      <c r="P98" s="33"/>
      <c r="Q98" s="33"/>
      <c r="R98" s="7"/>
      <c r="S98" s="7"/>
      <c r="T98" s="33"/>
      <c r="U98" s="7"/>
      <c r="V98" s="7"/>
      <c r="W98" s="7"/>
      <c r="X98" s="33"/>
      <c r="Y98" s="7"/>
      <c r="Z98" s="7"/>
      <c r="AA98" s="1"/>
      <c r="AB98" s="1"/>
    </row>
    <row r="99" spans="1:28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9"/>
      <c r="N99" s="7"/>
      <c r="O99" s="7"/>
      <c r="P99" s="33"/>
      <c r="Q99" s="33"/>
      <c r="R99" s="7"/>
      <c r="S99" s="7"/>
      <c r="T99" s="33"/>
      <c r="U99" s="7"/>
      <c r="V99" s="7"/>
      <c r="W99" s="7"/>
      <c r="X99" s="33"/>
      <c r="Y99" s="7"/>
      <c r="Z99" s="7"/>
      <c r="AA99" s="1"/>
      <c r="AB99" s="1"/>
    </row>
    <row r="100" spans="1:28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9"/>
      <c r="N100" s="7"/>
      <c r="O100" s="7"/>
      <c r="P100" s="33"/>
      <c r="Q100" s="33"/>
      <c r="R100" s="7"/>
      <c r="S100" s="7"/>
      <c r="T100" s="33"/>
      <c r="U100" s="7"/>
      <c r="V100" s="7"/>
      <c r="W100" s="7"/>
      <c r="X100" s="33"/>
      <c r="Y100" s="7"/>
      <c r="Z100" s="7"/>
      <c r="AA100" s="1"/>
      <c r="AB100" s="1"/>
    </row>
    <row r="101" spans="1:28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9"/>
      <c r="N101" s="7"/>
      <c r="O101" s="7"/>
      <c r="P101" s="33"/>
      <c r="Q101" s="33"/>
      <c r="R101" s="7"/>
      <c r="S101" s="7"/>
      <c r="T101" s="33"/>
      <c r="U101" s="7"/>
      <c r="V101" s="7"/>
      <c r="W101" s="7"/>
      <c r="X101" s="33"/>
      <c r="Y101" s="7"/>
      <c r="Z101" s="7"/>
      <c r="AA101" s="1"/>
      <c r="AB101" s="1"/>
    </row>
    <row r="102" spans="1:28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9"/>
      <c r="N102" s="7"/>
      <c r="O102" s="7"/>
      <c r="P102" s="33"/>
      <c r="Q102" s="33"/>
      <c r="R102" s="7"/>
      <c r="S102" s="7"/>
      <c r="T102" s="33"/>
      <c r="U102" s="7"/>
      <c r="V102" s="7"/>
      <c r="W102" s="7"/>
      <c r="X102" s="33"/>
      <c r="Y102" s="7"/>
      <c r="Z102" s="7"/>
      <c r="AA102" s="1"/>
      <c r="AB102" s="1"/>
    </row>
    <row r="103" spans="1:28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9"/>
      <c r="N103" s="7"/>
      <c r="O103" s="7"/>
      <c r="P103" s="33"/>
      <c r="Q103" s="33"/>
      <c r="R103" s="7"/>
      <c r="S103" s="7"/>
      <c r="T103" s="33"/>
      <c r="U103" s="7"/>
      <c r="V103" s="7"/>
      <c r="W103" s="7"/>
      <c r="X103" s="33"/>
      <c r="Y103" s="7"/>
      <c r="Z103" s="7"/>
      <c r="AA103" s="1"/>
      <c r="AB103" s="1"/>
    </row>
    <row r="104" spans="1:28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9"/>
      <c r="N104" s="7"/>
      <c r="O104" s="7"/>
      <c r="P104" s="33"/>
      <c r="Q104" s="33"/>
      <c r="R104" s="7"/>
      <c r="S104" s="7"/>
      <c r="T104" s="33"/>
      <c r="U104" s="7"/>
      <c r="V104" s="7"/>
      <c r="W104" s="7"/>
      <c r="X104" s="33"/>
      <c r="Y104" s="7"/>
      <c r="Z104" s="7"/>
      <c r="AA104" s="1"/>
      <c r="AB104" s="1"/>
    </row>
    <row r="105" spans="1:28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9"/>
      <c r="N105" s="7"/>
      <c r="O105" s="7"/>
      <c r="P105" s="33"/>
      <c r="Q105" s="33"/>
      <c r="R105" s="7"/>
      <c r="S105" s="7"/>
      <c r="T105" s="33"/>
      <c r="U105" s="7"/>
      <c r="V105" s="7"/>
      <c r="W105" s="7"/>
      <c r="X105" s="33"/>
      <c r="Y105" s="7"/>
      <c r="Z105" s="7"/>
      <c r="AA105" s="1"/>
      <c r="AB105" s="1"/>
    </row>
    <row r="106" spans="1:28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9"/>
      <c r="N106" s="7"/>
      <c r="O106" s="7"/>
      <c r="P106" s="33"/>
      <c r="Q106" s="33"/>
      <c r="R106" s="7"/>
      <c r="S106" s="7"/>
      <c r="T106" s="33"/>
      <c r="U106" s="7"/>
      <c r="V106" s="7"/>
      <c r="W106" s="7"/>
      <c r="X106" s="33"/>
      <c r="Y106" s="7"/>
      <c r="Z106" s="7"/>
      <c r="AA106" s="1"/>
      <c r="AB106" s="1"/>
    </row>
    <row r="107" spans="1:28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9"/>
      <c r="N107" s="7"/>
      <c r="O107" s="7"/>
      <c r="P107" s="33"/>
      <c r="Q107" s="33"/>
      <c r="R107" s="7"/>
      <c r="S107" s="7"/>
      <c r="T107" s="33"/>
      <c r="U107" s="7"/>
      <c r="V107" s="7"/>
      <c r="W107" s="7"/>
      <c r="X107" s="33"/>
      <c r="Y107" s="7"/>
      <c r="Z107" s="7"/>
      <c r="AA107" s="1"/>
      <c r="AB107" s="1"/>
    </row>
    <row r="108" spans="1:28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9"/>
      <c r="N108" s="7"/>
      <c r="O108" s="7"/>
      <c r="P108" s="33"/>
      <c r="Q108" s="33"/>
      <c r="R108" s="7"/>
      <c r="S108" s="7"/>
      <c r="T108" s="33"/>
      <c r="U108" s="7"/>
      <c r="V108" s="7"/>
      <c r="W108" s="7"/>
      <c r="X108" s="33"/>
      <c r="Y108" s="7"/>
      <c r="Z108" s="7"/>
      <c r="AA108" s="1"/>
      <c r="AB108" s="1"/>
    </row>
    <row r="109" spans="1:28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9"/>
      <c r="N109" s="7"/>
      <c r="O109" s="7"/>
      <c r="P109" s="33"/>
      <c r="Q109" s="33"/>
      <c r="R109" s="7"/>
      <c r="S109" s="7"/>
      <c r="T109" s="33"/>
      <c r="U109" s="7"/>
      <c r="V109" s="7"/>
      <c r="W109" s="7"/>
      <c r="X109" s="33"/>
      <c r="Y109" s="7"/>
      <c r="Z109" s="7"/>
      <c r="AA109" s="1"/>
      <c r="AB109" s="1"/>
    </row>
    <row r="110" spans="1:28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9"/>
      <c r="N110" s="7"/>
      <c r="O110" s="7"/>
      <c r="P110" s="33"/>
      <c r="Q110" s="33"/>
      <c r="R110" s="7"/>
      <c r="S110" s="7"/>
      <c r="T110" s="33"/>
      <c r="U110" s="7"/>
      <c r="V110" s="7"/>
      <c r="W110" s="7"/>
      <c r="X110" s="33"/>
      <c r="Y110" s="7"/>
      <c r="Z110" s="7"/>
      <c r="AA110" s="1"/>
      <c r="AB110" s="1"/>
    </row>
    <row r="111" spans="1:28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9"/>
      <c r="N111" s="7"/>
      <c r="O111" s="7"/>
      <c r="P111" s="33"/>
      <c r="Q111" s="33"/>
      <c r="R111" s="7"/>
      <c r="S111" s="7"/>
      <c r="T111" s="33"/>
      <c r="U111" s="7"/>
      <c r="V111" s="7"/>
      <c r="W111" s="7"/>
      <c r="X111" s="33"/>
      <c r="Y111" s="7"/>
      <c r="Z111" s="7"/>
      <c r="AA111" s="1"/>
      <c r="AB111" s="1"/>
    </row>
    <row r="112" spans="1:28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9"/>
      <c r="N112" s="7"/>
      <c r="O112" s="7"/>
      <c r="P112" s="33"/>
      <c r="Q112" s="33"/>
      <c r="R112" s="7"/>
      <c r="S112" s="7"/>
      <c r="T112" s="33"/>
      <c r="U112" s="7"/>
      <c r="V112" s="7"/>
      <c r="W112" s="7"/>
      <c r="X112" s="33"/>
      <c r="Y112" s="7"/>
      <c r="Z112" s="7"/>
      <c r="AA112" s="1"/>
      <c r="AB112" s="1"/>
    </row>
    <row r="113" spans="1:28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9"/>
      <c r="N113" s="7"/>
      <c r="O113" s="7"/>
      <c r="P113" s="33"/>
      <c r="Q113" s="33"/>
      <c r="R113" s="7"/>
      <c r="S113" s="7"/>
      <c r="T113" s="33"/>
      <c r="U113" s="7"/>
      <c r="V113" s="7"/>
      <c r="W113" s="7"/>
      <c r="X113" s="33"/>
      <c r="Y113" s="7"/>
      <c r="Z113" s="7"/>
      <c r="AA113" s="1"/>
      <c r="AB113" s="1"/>
    </row>
    <row r="114" spans="1:28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9"/>
      <c r="N114" s="7"/>
      <c r="O114" s="7"/>
      <c r="P114" s="33"/>
      <c r="Q114" s="33"/>
      <c r="R114" s="7"/>
      <c r="S114" s="7"/>
      <c r="T114" s="33"/>
      <c r="U114" s="7"/>
      <c r="V114" s="7"/>
      <c r="W114" s="7"/>
      <c r="X114" s="33"/>
      <c r="Y114" s="7"/>
      <c r="Z114" s="7"/>
      <c r="AA114" s="1"/>
      <c r="AB114" s="1"/>
    </row>
    <row r="115" spans="1:28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9"/>
      <c r="N115" s="7"/>
      <c r="O115" s="7"/>
      <c r="P115" s="33"/>
      <c r="Q115" s="33"/>
      <c r="R115" s="7"/>
      <c r="S115" s="7"/>
      <c r="T115" s="33"/>
      <c r="U115" s="7"/>
      <c r="V115" s="7"/>
      <c r="W115" s="7"/>
      <c r="X115" s="33"/>
      <c r="Y115" s="7"/>
      <c r="Z115" s="7"/>
      <c r="AA115" s="1"/>
      <c r="AB115" s="1"/>
    </row>
    <row r="116" spans="1:28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9"/>
      <c r="N116" s="7"/>
      <c r="O116" s="7"/>
      <c r="P116" s="33"/>
      <c r="Q116" s="33"/>
      <c r="R116" s="7"/>
      <c r="S116" s="7"/>
      <c r="T116" s="33"/>
      <c r="U116" s="7"/>
      <c r="V116" s="7"/>
      <c r="W116" s="7"/>
      <c r="X116" s="33"/>
      <c r="Y116" s="7"/>
      <c r="Z116" s="7"/>
      <c r="AA116" s="1"/>
      <c r="AB116" s="1"/>
    </row>
    <row r="117" spans="1:28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9"/>
      <c r="N117" s="7"/>
      <c r="O117" s="7"/>
      <c r="P117" s="33"/>
      <c r="Q117" s="33"/>
      <c r="R117" s="7"/>
      <c r="S117" s="7"/>
      <c r="T117" s="33"/>
      <c r="U117" s="7"/>
      <c r="V117" s="7"/>
      <c r="W117" s="7"/>
      <c r="X117" s="33"/>
      <c r="Y117" s="7"/>
      <c r="Z117" s="7"/>
      <c r="AA117" s="1"/>
      <c r="AB117" s="1"/>
    </row>
    <row r="118" spans="1:28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9"/>
      <c r="N118" s="7"/>
      <c r="O118" s="7"/>
      <c r="P118" s="33"/>
      <c r="Q118" s="33"/>
      <c r="R118" s="7"/>
      <c r="S118" s="7"/>
      <c r="T118" s="33"/>
      <c r="U118" s="7"/>
      <c r="V118" s="7"/>
      <c r="W118" s="7"/>
      <c r="X118" s="33"/>
      <c r="Y118" s="7"/>
      <c r="Z118" s="7"/>
      <c r="AA118" s="1"/>
      <c r="AB118" s="1"/>
    </row>
    <row r="119" spans="1:28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9"/>
      <c r="N119" s="7"/>
      <c r="O119" s="7"/>
      <c r="P119" s="33"/>
      <c r="Q119" s="33"/>
      <c r="R119" s="7"/>
      <c r="S119" s="7"/>
      <c r="T119" s="33"/>
      <c r="U119" s="7"/>
      <c r="V119" s="7"/>
      <c r="W119" s="7"/>
      <c r="X119" s="33"/>
      <c r="Y119" s="7"/>
      <c r="Z119" s="7"/>
      <c r="AA119" s="1"/>
      <c r="AB119" s="1"/>
    </row>
    <row r="120" spans="1:28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9"/>
      <c r="N120" s="7"/>
      <c r="O120" s="7"/>
      <c r="P120" s="33"/>
      <c r="Q120" s="33"/>
      <c r="R120" s="7"/>
      <c r="S120" s="7"/>
      <c r="T120" s="33"/>
      <c r="U120" s="7"/>
      <c r="V120" s="7"/>
      <c r="W120" s="7"/>
      <c r="X120" s="33"/>
      <c r="Y120" s="7"/>
      <c r="Z120" s="7"/>
      <c r="AA120" s="1"/>
      <c r="AB120" s="1"/>
    </row>
    <row r="121" spans="1:28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9"/>
      <c r="N121" s="7"/>
      <c r="O121" s="7"/>
      <c r="P121" s="33"/>
      <c r="Q121" s="33"/>
      <c r="R121" s="7"/>
      <c r="S121" s="7"/>
      <c r="T121" s="33"/>
      <c r="U121" s="7"/>
      <c r="V121" s="7"/>
      <c r="W121" s="7"/>
      <c r="X121" s="33"/>
      <c r="Y121" s="7"/>
      <c r="Z121" s="7"/>
      <c r="AA121" s="1"/>
      <c r="AB121" s="1"/>
    </row>
    <row r="122" spans="1:28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9"/>
      <c r="N122" s="7"/>
      <c r="O122" s="7"/>
      <c r="P122" s="33"/>
      <c r="Q122" s="33"/>
      <c r="R122" s="7"/>
      <c r="S122" s="32"/>
      <c r="T122" s="33"/>
      <c r="U122" s="7"/>
      <c r="V122" s="7"/>
      <c r="W122" s="32"/>
      <c r="X122" s="33"/>
      <c r="Y122" s="7"/>
      <c r="Z122" s="7"/>
      <c r="AA122" s="1"/>
      <c r="AB122" s="1"/>
    </row>
    <row r="123" spans="1:28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9"/>
      <c r="N123" s="7"/>
      <c r="O123" s="7"/>
      <c r="P123" s="33"/>
      <c r="Q123" s="33"/>
      <c r="R123" s="7"/>
      <c r="S123" s="32"/>
      <c r="T123" s="33"/>
      <c r="U123" s="7"/>
      <c r="V123" s="7"/>
      <c r="W123" s="32"/>
      <c r="X123" s="33"/>
      <c r="Y123" s="7"/>
      <c r="Z123" s="7"/>
      <c r="AA123" s="1"/>
      <c r="AB123" s="1"/>
    </row>
    <row r="124" spans="1:28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9"/>
      <c r="N124" s="7"/>
      <c r="O124" s="7"/>
      <c r="P124" s="33"/>
      <c r="Q124" s="33"/>
      <c r="R124" s="7"/>
      <c r="S124" s="32"/>
      <c r="T124" s="33"/>
      <c r="U124" s="7"/>
      <c r="V124" s="7"/>
      <c r="W124" s="32"/>
      <c r="X124" s="33"/>
      <c r="Y124" s="7"/>
      <c r="Z124" s="7"/>
      <c r="AA124" s="1"/>
      <c r="AB124" s="1"/>
    </row>
    <row r="125" spans="1:28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9"/>
      <c r="N125" s="7"/>
      <c r="O125" s="7"/>
      <c r="P125" s="33"/>
      <c r="Q125" s="33"/>
      <c r="R125" s="7"/>
      <c r="S125" s="32"/>
      <c r="T125" s="33"/>
      <c r="U125" s="7"/>
      <c r="V125" s="7"/>
      <c r="W125" s="32"/>
      <c r="X125" s="33"/>
      <c r="Y125" s="7"/>
      <c r="Z125" s="7"/>
      <c r="AA125" s="1"/>
      <c r="AB125" s="1"/>
    </row>
    <row r="126" spans="1:28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9"/>
      <c r="N126" s="7"/>
      <c r="O126" s="7"/>
      <c r="P126" s="33"/>
      <c r="Q126" s="33"/>
      <c r="R126" s="7"/>
      <c r="S126" s="32"/>
      <c r="T126" s="33"/>
      <c r="U126" s="7"/>
      <c r="V126" s="7"/>
      <c r="W126" s="32"/>
      <c r="X126" s="33"/>
      <c r="Y126" s="7"/>
      <c r="Z126" s="7"/>
      <c r="AA126" s="1"/>
      <c r="AB126" s="1"/>
    </row>
    <row r="127" spans="1:28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9"/>
      <c r="N127" s="7"/>
      <c r="O127" s="7"/>
      <c r="P127" s="33"/>
      <c r="Q127" s="33"/>
      <c r="R127" s="7"/>
      <c r="S127" s="32"/>
      <c r="T127" s="33"/>
      <c r="U127" s="7"/>
      <c r="V127" s="7"/>
      <c r="W127" s="32"/>
      <c r="X127" s="33"/>
      <c r="Y127" s="7"/>
      <c r="Z127" s="7"/>
      <c r="AA127" s="1"/>
      <c r="AB127" s="1"/>
    </row>
    <row r="128" spans="1:28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9"/>
      <c r="N128" s="7"/>
      <c r="O128" s="7"/>
      <c r="P128" s="33"/>
      <c r="Q128" s="33"/>
      <c r="R128" s="7"/>
      <c r="S128" s="32"/>
      <c r="T128" s="33"/>
      <c r="U128" s="7"/>
      <c r="V128" s="7"/>
      <c r="W128" s="32"/>
      <c r="X128" s="33"/>
      <c r="Y128" s="7"/>
      <c r="Z128" s="7"/>
      <c r="AA128" s="1"/>
      <c r="AB128" s="1"/>
    </row>
    <row r="129" spans="1:28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9"/>
      <c r="N129" s="7"/>
      <c r="O129" s="7"/>
      <c r="P129" s="33"/>
      <c r="Q129" s="33"/>
      <c r="R129" s="7"/>
      <c r="S129" s="32"/>
      <c r="T129" s="33"/>
      <c r="U129" s="7"/>
      <c r="V129" s="7"/>
      <c r="W129" s="32"/>
      <c r="X129" s="33"/>
      <c r="Y129" s="7"/>
      <c r="Z129" s="7"/>
      <c r="AA129" s="1"/>
      <c r="AB129" s="1"/>
    </row>
    <row r="130" spans="1:28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9"/>
      <c r="N130" s="7"/>
      <c r="O130" s="7"/>
      <c r="P130" s="33"/>
      <c r="Q130" s="33"/>
      <c r="R130" s="7"/>
      <c r="S130" s="32"/>
      <c r="T130" s="33"/>
      <c r="U130" s="7"/>
      <c r="V130" s="7"/>
      <c r="W130" s="32"/>
      <c r="X130" s="33"/>
      <c r="Y130" s="7"/>
      <c r="Z130" s="7"/>
      <c r="AA130" s="1"/>
      <c r="AB130" s="1"/>
    </row>
    <row r="131" spans="1:28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9"/>
      <c r="N131" s="7"/>
      <c r="O131" s="7"/>
      <c r="P131" s="33"/>
      <c r="Q131" s="33"/>
      <c r="R131" s="7"/>
      <c r="S131" s="32"/>
      <c r="T131" s="33"/>
      <c r="U131" s="7"/>
      <c r="V131" s="7"/>
      <c r="W131" s="32"/>
      <c r="X131" s="33"/>
      <c r="Y131" s="7"/>
      <c r="Z131" s="7"/>
      <c r="AA131" s="1"/>
      <c r="AB131" s="1"/>
    </row>
    <row r="132" spans="1:28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9"/>
      <c r="N132" s="7"/>
      <c r="O132" s="7"/>
      <c r="P132" s="33"/>
      <c r="Q132" s="33"/>
      <c r="R132" s="7"/>
      <c r="S132" s="32"/>
      <c r="T132" s="33"/>
      <c r="U132" s="7"/>
      <c r="V132" s="7"/>
      <c r="W132" s="32"/>
      <c r="X132" s="33"/>
      <c r="Y132" s="7"/>
      <c r="Z132" s="7"/>
      <c r="AA132" s="1"/>
      <c r="AB132" s="1"/>
    </row>
    <row r="133" spans="1:28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9"/>
      <c r="N133" s="7"/>
      <c r="O133" s="7"/>
      <c r="P133" s="33"/>
      <c r="Q133" s="33"/>
      <c r="R133" s="7"/>
      <c r="S133" s="32"/>
      <c r="T133" s="33"/>
      <c r="U133" s="7"/>
      <c r="V133" s="7"/>
      <c r="W133" s="32"/>
      <c r="X133" s="33"/>
      <c r="Y133" s="7"/>
      <c r="Z133" s="7"/>
      <c r="AA133" s="1"/>
      <c r="AB133" s="1"/>
    </row>
    <row r="134" spans="1:28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9"/>
      <c r="N134" s="7"/>
      <c r="O134" s="7"/>
      <c r="P134" s="33"/>
      <c r="Q134" s="33"/>
      <c r="R134" s="7"/>
      <c r="S134" s="32"/>
      <c r="T134" s="33"/>
      <c r="U134" s="7"/>
      <c r="V134" s="7"/>
      <c r="W134" s="32"/>
      <c r="X134" s="33"/>
      <c r="Y134" s="7"/>
      <c r="Z134" s="7"/>
      <c r="AA134" s="1"/>
      <c r="AB134" s="1"/>
    </row>
    <row r="135" spans="1:28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9"/>
      <c r="N135" s="7"/>
      <c r="O135" s="7"/>
      <c r="P135" s="33"/>
      <c r="Q135" s="33"/>
      <c r="R135" s="7"/>
      <c r="S135" s="32"/>
      <c r="T135" s="33"/>
      <c r="U135" s="7"/>
      <c r="V135" s="7"/>
      <c r="W135" s="32"/>
      <c r="X135" s="33"/>
      <c r="Y135" s="7"/>
      <c r="Z135" s="7"/>
      <c r="AA135" s="1"/>
      <c r="AB135" s="1"/>
    </row>
    <row r="136" spans="1:28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9"/>
      <c r="N136" s="7"/>
      <c r="O136" s="7"/>
      <c r="P136" s="33"/>
      <c r="Q136" s="33"/>
      <c r="R136" s="7"/>
      <c r="S136" s="32"/>
      <c r="T136" s="33"/>
      <c r="U136" s="7"/>
      <c r="V136" s="7"/>
      <c r="W136" s="32"/>
      <c r="X136" s="33"/>
      <c r="Y136" s="7"/>
      <c r="Z136" s="7"/>
      <c r="AA136" s="1"/>
      <c r="AB136" s="1"/>
    </row>
    <row r="137" spans="1:28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9"/>
      <c r="N137" s="7"/>
      <c r="O137" s="7"/>
      <c r="P137" s="33"/>
      <c r="Q137" s="33"/>
      <c r="R137" s="7"/>
      <c r="S137" s="32"/>
      <c r="T137" s="33"/>
      <c r="U137" s="7"/>
      <c r="V137" s="7"/>
      <c r="W137" s="32"/>
      <c r="X137" s="33"/>
      <c r="Y137" s="7"/>
      <c r="Z137" s="7"/>
      <c r="AA137" s="1"/>
      <c r="AB137" s="1"/>
    </row>
    <row r="138" spans="1:28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9"/>
      <c r="N138" s="7"/>
      <c r="O138" s="7"/>
      <c r="P138" s="33"/>
      <c r="Q138" s="33"/>
      <c r="R138" s="7"/>
      <c r="S138" s="32"/>
      <c r="T138" s="33"/>
      <c r="U138" s="7"/>
      <c r="V138" s="7"/>
      <c r="W138" s="32"/>
      <c r="X138" s="33"/>
      <c r="Y138" s="7"/>
      <c r="Z138" s="7"/>
      <c r="AA138" s="1"/>
      <c r="AB138" s="1"/>
    </row>
    <row r="139" spans="1:28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9"/>
      <c r="N139" s="7"/>
      <c r="O139" s="7"/>
      <c r="P139" s="33"/>
      <c r="Q139" s="33"/>
      <c r="R139" s="7"/>
      <c r="S139" s="32"/>
      <c r="T139" s="33"/>
      <c r="U139" s="7"/>
      <c r="V139" s="7"/>
      <c r="W139" s="32"/>
      <c r="X139" s="33"/>
      <c r="Y139" s="7"/>
      <c r="Z139" s="7"/>
      <c r="AA139" s="1"/>
      <c r="AB139" s="1"/>
    </row>
    <row r="140" spans="1:28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9"/>
      <c r="N140" s="7"/>
      <c r="O140" s="7"/>
      <c r="P140" s="33"/>
      <c r="Q140" s="33"/>
      <c r="R140" s="7"/>
      <c r="S140" s="32"/>
      <c r="T140" s="33"/>
      <c r="U140" s="7"/>
      <c r="V140" s="7"/>
      <c r="W140" s="32"/>
      <c r="X140" s="33"/>
      <c r="Y140" s="7"/>
      <c r="Z140" s="7"/>
      <c r="AA140" s="1"/>
      <c r="AB140" s="1"/>
    </row>
    <row r="141" spans="1:28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9"/>
      <c r="N141" s="7"/>
      <c r="O141" s="7"/>
      <c r="P141" s="33"/>
      <c r="Q141" s="33"/>
      <c r="R141" s="7"/>
      <c r="S141" s="32"/>
      <c r="T141" s="33"/>
      <c r="U141" s="7"/>
      <c r="V141" s="7"/>
      <c r="W141" s="32"/>
      <c r="X141" s="33"/>
      <c r="Y141" s="7"/>
      <c r="Z141" s="7"/>
      <c r="AA141" s="1"/>
      <c r="AB141" s="1"/>
    </row>
    <row r="142" spans="1:28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9"/>
      <c r="N142" s="7"/>
      <c r="O142" s="7"/>
      <c r="P142" s="33"/>
      <c r="Q142" s="33"/>
      <c r="R142" s="7"/>
      <c r="S142" s="32"/>
      <c r="T142" s="33"/>
      <c r="U142" s="7"/>
      <c r="V142" s="7"/>
      <c r="W142" s="32"/>
      <c r="X142" s="33"/>
      <c r="Y142" s="7"/>
      <c r="Z142" s="7"/>
      <c r="AA142" s="1"/>
      <c r="AB142" s="1"/>
    </row>
    <row r="143" spans="1:28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9"/>
      <c r="N143" s="7"/>
      <c r="O143" s="7"/>
      <c r="P143" s="33"/>
      <c r="Q143" s="33"/>
      <c r="R143" s="7"/>
      <c r="S143" s="32"/>
      <c r="T143" s="33"/>
      <c r="U143" s="7"/>
      <c r="V143" s="7"/>
      <c r="W143" s="32"/>
      <c r="X143" s="33"/>
      <c r="Y143" s="7"/>
      <c r="Z143" s="7"/>
      <c r="AA143" s="1"/>
      <c r="AB143" s="1"/>
    </row>
    <row r="144" spans="1:28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9"/>
      <c r="N144" s="7"/>
      <c r="O144" s="7"/>
      <c r="P144" s="33"/>
      <c r="Q144" s="33"/>
      <c r="R144" s="7"/>
      <c r="S144" s="32"/>
      <c r="T144" s="33"/>
      <c r="U144" s="7"/>
      <c r="V144" s="7"/>
      <c r="W144" s="32"/>
      <c r="X144" s="33"/>
      <c r="Y144" s="7"/>
      <c r="Z144" s="7"/>
      <c r="AA144" s="1"/>
      <c r="AB144" s="1"/>
    </row>
    <row r="145" spans="1:28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9"/>
      <c r="N145" s="7"/>
      <c r="O145" s="7"/>
      <c r="P145" s="33"/>
      <c r="Q145" s="33"/>
      <c r="R145" s="7"/>
      <c r="S145" s="32"/>
      <c r="T145" s="33"/>
      <c r="U145" s="7"/>
      <c r="V145" s="7"/>
      <c r="W145" s="32"/>
      <c r="X145" s="33"/>
      <c r="Y145" s="7"/>
      <c r="Z145" s="7"/>
      <c r="AA145" s="1"/>
      <c r="AB145" s="1"/>
    </row>
    <row r="146" spans="1:28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9"/>
      <c r="N146" s="9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9"/>
      <c r="N147" s="9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9"/>
      <c r="N148" s="9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9"/>
      <c r="N149" s="9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9"/>
      <c r="N150" s="9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9"/>
      <c r="N151" s="9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9"/>
      <c r="N152" s="9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9"/>
      <c r="N153" s="9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9"/>
      <c r="N154" s="9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9"/>
      <c r="N155" s="9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9"/>
      <c r="N156" s="9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9"/>
      <c r="N157" s="9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9"/>
      <c r="N158" s="9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9"/>
      <c r="N159" s="9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9"/>
      <c r="N160" s="9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9"/>
      <c r="N161" s="9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9"/>
      <c r="N162" s="9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9"/>
      <c r="N163" s="9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9"/>
      <c r="N164" s="9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9"/>
      <c r="N165" s="9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9"/>
      <c r="N166" s="9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9"/>
      <c r="N167" s="9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9"/>
      <c r="N168" s="9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9"/>
      <c r="N169" s="9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9"/>
      <c r="N170" s="9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9"/>
      <c r="N171" s="9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9"/>
      <c r="N172" s="9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9"/>
      <c r="N173" s="9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9"/>
      <c r="N174" s="9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9"/>
      <c r="N175" s="9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9"/>
      <c r="N176" s="9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9"/>
      <c r="N177" s="9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9"/>
      <c r="N178" s="9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9"/>
      <c r="N179" s="9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9"/>
      <c r="N180" s="9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9"/>
      <c r="N181" s="9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9"/>
      <c r="N182" s="9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9"/>
      <c r="N183" s="9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9"/>
      <c r="N184" s="9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9"/>
      <c r="N185" s="9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9"/>
      <c r="N186" s="9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9"/>
      <c r="N187" s="9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9"/>
      <c r="N188" s="9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9"/>
      <c r="N189" s="9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9"/>
      <c r="N190" s="9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9"/>
      <c r="N191" s="9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9"/>
      <c r="N192" s="9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9"/>
      <c r="N193" s="9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9"/>
      <c r="N194" s="9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9"/>
      <c r="N195" s="9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9"/>
      <c r="N196" s="9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9"/>
      <c r="N197" s="9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9"/>
      <c r="N198" s="9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9"/>
      <c r="N199" s="9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9"/>
      <c r="N200" s="9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</sheetData>
  <autoFilter ref="B3:Z3">
    <sortState ref="B4:Z42">
      <sortCondition descending="1" ref="R3"/>
    </sortState>
  </autoFilter>
  <mergeCells count="4">
    <mergeCell ref="B1:C2"/>
    <mergeCell ref="S2:V2"/>
    <mergeCell ref="W2:Z2"/>
    <mergeCell ref="Q2:R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veredcall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200"/>
  <sheetViews>
    <sheetView topLeftCell="E1" zoomScale="80" zoomScaleNormal="80" workbookViewId="0">
      <selection activeCell="X6" sqref="X6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8"/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e">
        <f ca="1">mrigxl_stored_strategies("covered_call_2")</f>
        <v>#NAME?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19" t="s">
        <v>1841</v>
      </c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801</v>
      </c>
      <c r="D4" s="1">
        <v>6.7</v>
      </c>
      <c r="E4" s="30">
        <v>34000</v>
      </c>
      <c r="F4" s="1">
        <v>8</v>
      </c>
      <c r="G4" s="1">
        <v>0.55000000000000004</v>
      </c>
      <c r="H4" s="1">
        <v>165000</v>
      </c>
      <c r="I4" s="1">
        <v>55000</v>
      </c>
      <c r="J4" s="1">
        <v>0.5</v>
      </c>
      <c r="K4" s="1">
        <v>0.55000000000000004</v>
      </c>
      <c r="L4" s="1">
        <v>55000</v>
      </c>
      <c r="M4" s="36">
        <v>-0.28820400000000002</v>
      </c>
      <c r="N4" s="1"/>
      <c r="O4" s="7">
        <f t="shared" ref="O4:O35" si="0">G4/D4</f>
        <v>8.2089552238805971E-2</v>
      </c>
      <c r="P4" s="7">
        <f t="shared" ref="P4:P35" ca="1" si="1">O4/(B4-TODAY())</f>
        <v>-1.6718849743137671E-4</v>
      </c>
      <c r="Q4" s="7" t="e">
        <f t="shared" ref="Q4:Q35" ca="1" si="2">R4/D4-1</f>
        <v>#NAME?</v>
      </c>
      <c r="R4" s="33" t="e">
        <f t="shared" ref="R4:R35" ca="1" si="3">mrigxl_stockquote(C4)</f>
        <v>#NAME?</v>
      </c>
      <c r="S4" s="33" t="e">
        <f t="shared" ref="S4:S35" ca="1" si="4">(MIN(F4,R4)-D4+G4)*E4</f>
        <v>#NAME?</v>
      </c>
      <c r="T4" s="7" t="e">
        <f t="shared" ref="T4:T35" ca="1" si="5">S4/U4</f>
        <v>#NAME?</v>
      </c>
      <c r="U4" s="33">
        <f t="shared" ref="U4:U35" si="6">E4*D4</f>
        <v>227800</v>
      </c>
    </row>
    <row r="5" spans="1:118" x14ac:dyDescent="0.25">
      <c r="A5" s="1"/>
      <c r="B5" s="25">
        <v>43461</v>
      </c>
      <c r="C5" s="10" t="s">
        <v>801</v>
      </c>
      <c r="D5" s="1">
        <v>6.7</v>
      </c>
      <c r="E5" s="30">
        <v>34000</v>
      </c>
      <c r="F5" s="1">
        <v>7</v>
      </c>
      <c r="G5" s="1">
        <v>0.45</v>
      </c>
      <c r="H5" s="1">
        <v>5066000</v>
      </c>
      <c r="I5" s="1">
        <v>204000</v>
      </c>
      <c r="J5" s="1">
        <v>0.4</v>
      </c>
      <c r="K5" s="1">
        <v>0.45</v>
      </c>
      <c r="L5" s="1">
        <v>340000</v>
      </c>
      <c r="M5" s="36">
        <v>-0.28820400000000002</v>
      </c>
      <c r="N5" s="1"/>
      <c r="O5" s="7">
        <f t="shared" si="0"/>
        <v>6.7164179104477612E-2</v>
      </c>
      <c r="P5" s="7">
        <f t="shared" ca="1" si="1"/>
        <v>-1.2768855343056579E-4</v>
      </c>
      <c r="Q5" s="7" t="e">
        <f t="shared" ca="1" si="2"/>
        <v>#NAME?</v>
      </c>
      <c r="R5" s="33" t="e">
        <f t="shared" ca="1" si="3"/>
        <v>#NAME?</v>
      </c>
      <c r="S5" s="33" t="e">
        <f t="shared" ca="1" si="4"/>
        <v>#NAME?</v>
      </c>
      <c r="T5" s="7" t="e">
        <f t="shared" ca="1" si="5"/>
        <v>#NAME?</v>
      </c>
      <c r="U5" s="33">
        <f t="shared" si="6"/>
        <v>227800</v>
      </c>
    </row>
    <row r="6" spans="1:118" x14ac:dyDescent="0.25">
      <c r="A6" s="1"/>
      <c r="B6" s="25">
        <v>43461</v>
      </c>
      <c r="C6" s="10" t="s">
        <v>48</v>
      </c>
      <c r="D6" s="1">
        <v>150.5</v>
      </c>
      <c r="E6" s="30">
        <v>4000</v>
      </c>
      <c r="F6" s="1">
        <v>160</v>
      </c>
      <c r="G6" s="1">
        <v>6.15</v>
      </c>
      <c r="H6" s="1">
        <v>136000</v>
      </c>
      <c r="I6" s="1">
        <v>4000</v>
      </c>
      <c r="J6" s="1">
        <v>5.8</v>
      </c>
      <c r="K6" s="1">
        <v>6.1</v>
      </c>
      <c r="L6" s="1">
        <v>12000</v>
      </c>
      <c r="M6" s="36">
        <v>-0.23504499999999998</v>
      </c>
      <c r="N6" s="1"/>
      <c r="O6" s="7">
        <f t="shared" si="0"/>
        <v>4.0863787375415288E-2</v>
      </c>
      <c r="P6" s="7">
        <f t="shared" ca="1" si="1"/>
        <v>-7.7687808698508146E-5</v>
      </c>
      <c r="Q6" s="7" t="e">
        <f t="shared" ca="1" si="2"/>
        <v>#NAME?</v>
      </c>
      <c r="R6" s="33" t="e">
        <f t="shared" ca="1" si="3"/>
        <v>#NAME?</v>
      </c>
      <c r="S6" s="33" t="e">
        <f t="shared" ca="1" si="4"/>
        <v>#NAME?</v>
      </c>
      <c r="T6" s="7" t="e">
        <f t="shared" ca="1" si="5"/>
        <v>#NAME?</v>
      </c>
      <c r="U6" s="33">
        <f t="shared" si="6"/>
        <v>602000</v>
      </c>
    </row>
    <row r="7" spans="1:118" x14ac:dyDescent="0.25">
      <c r="A7" s="1"/>
      <c r="B7" s="25">
        <v>43461</v>
      </c>
      <c r="C7" s="10" t="s">
        <v>206</v>
      </c>
      <c r="D7" s="1">
        <v>80.8</v>
      </c>
      <c r="E7" s="30">
        <v>6000</v>
      </c>
      <c r="F7" s="1">
        <v>85</v>
      </c>
      <c r="G7" s="1">
        <v>2.9</v>
      </c>
      <c r="H7" s="1">
        <v>1314000</v>
      </c>
      <c r="I7" s="1">
        <v>6000</v>
      </c>
      <c r="J7" s="1">
        <v>2.95</v>
      </c>
      <c r="K7" s="1">
        <v>3.05</v>
      </c>
      <c r="L7" s="1">
        <v>24000</v>
      </c>
      <c r="M7" s="36">
        <v>-0.14923400000000001</v>
      </c>
      <c r="N7" s="1"/>
      <c r="O7" s="7">
        <f t="shared" si="0"/>
        <v>3.5891089108910888E-2</v>
      </c>
      <c r="P7" s="7">
        <f t="shared" ca="1" si="1"/>
        <v>-6.8234009712758346E-5</v>
      </c>
      <c r="Q7" s="7" t="e">
        <f t="shared" ca="1" si="2"/>
        <v>#NAME?</v>
      </c>
      <c r="R7" s="33" t="e">
        <f t="shared" ca="1" si="3"/>
        <v>#NAME?</v>
      </c>
      <c r="S7" s="33" t="e">
        <f t="shared" ca="1" si="4"/>
        <v>#NAME?</v>
      </c>
      <c r="T7" s="7" t="e">
        <f t="shared" ca="1" si="5"/>
        <v>#NAME?</v>
      </c>
      <c r="U7" s="33">
        <f t="shared" si="6"/>
        <v>484800</v>
      </c>
    </row>
    <row r="8" spans="1:118" x14ac:dyDescent="0.25">
      <c r="A8" s="1"/>
      <c r="B8" s="25">
        <v>43461</v>
      </c>
      <c r="C8" s="10" t="s">
        <v>1668</v>
      </c>
      <c r="D8" s="1">
        <v>73.55</v>
      </c>
      <c r="E8" s="30">
        <v>6000</v>
      </c>
      <c r="F8" s="1">
        <v>77.5</v>
      </c>
      <c r="G8" s="1">
        <v>2.2999999999999998</v>
      </c>
      <c r="H8" s="1">
        <v>120000</v>
      </c>
      <c r="I8" s="1">
        <v>30000</v>
      </c>
      <c r="J8" s="1">
        <v>2.2000000000000002</v>
      </c>
      <c r="K8" s="1">
        <v>2.35</v>
      </c>
      <c r="L8" s="1">
        <v>42000</v>
      </c>
      <c r="M8" s="36">
        <v>-0.140041</v>
      </c>
      <c r="N8" s="1"/>
      <c r="O8" s="7">
        <f t="shared" si="0"/>
        <v>3.127124405166553E-2</v>
      </c>
      <c r="P8" s="7">
        <f t="shared" ca="1" si="1"/>
        <v>-5.9451034318755761E-5</v>
      </c>
      <c r="Q8" s="7" t="e">
        <f t="shared" ca="1" si="2"/>
        <v>#NAME?</v>
      </c>
      <c r="R8" s="33" t="e">
        <f t="shared" ca="1" si="3"/>
        <v>#NAME?</v>
      </c>
      <c r="S8" s="33" t="e">
        <f t="shared" ca="1" si="4"/>
        <v>#NAME?</v>
      </c>
      <c r="T8" s="7" t="e">
        <f t="shared" ca="1" si="5"/>
        <v>#NAME?</v>
      </c>
      <c r="U8" s="33">
        <f t="shared" si="6"/>
        <v>441300</v>
      </c>
    </row>
    <row r="9" spans="1:118" x14ac:dyDescent="0.25">
      <c r="A9" s="1"/>
      <c r="B9" s="25">
        <v>43461</v>
      </c>
      <c r="C9" s="10" t="s">
        <v>396</v>
      </c>
      <c r="D9" s="1">
        <v>166.8</v>
      </c>
      <c r="E9" s="30">
        <v>2500</v>
      </c>
      <c r="F9" s="1">
        <v>175</v>
      </c>
      <c r="G9" s="1">
        <v>5.6</v>
      </c>
      <c r="H9" s="1">
        <v>345000</v>
      </c>
      <c r="I9" s="1">
        <v>2500</v>
      </c>
      <c r="J9" s="1">
        <v>5.55</v>
      </c>
      <c r="K9" s="1">
        <v>5.65</v>
      </c>
      <c r="L9" s="1">
        <v>15000</v>
      </c>
      <c r="M9" s="36">
        <v>-0.115479</v>
      </c>
      <c r="N9" s="1"/>
      <c r="O9" s="7">
        <f t="shared" si="0"/>
        <v>3.3573141486810544E-2</v>
      </c>
      <c r="P9" s="7">
        <f t="shared" ca="1" si="1"/>
        <v>-6.382726518405047E-5</v>
      </c>
      <c r="Q9" s="7" t="e">
        <f t="shared" ca="1" si="2"/>
        <v>#NAME?</v>
      </c>
      <c r="R9" s="33" t="e">
        <f t="shared" ca="1" si="3"/>
        <v>#NAME?</v>
      </c>
      <c r="S9" s="33" t="e">
        <f t="shared" ca="1" si="4"/>
        <v>#NAME?</v>
      </c>
      <c r="T9" s="7" t="e">
        <f t="shared" ca="1" si="5"/>
        <v>#NAME?</v>
      </c>
      <c r="U9" s="33">
        <f t="shared" si="6"/>
        <v>417000</v>
      </c>
    </row>
    <row r="10" spans="1:118" x14ac:dyDescent="0.25">
      <c r="A10" s="1"/>
      <c r="B10" s="25">
        <v>43461</v>
      </c>
      <c r="C10" s="10" t="s">
        <v>458</v>
      </c>
      <c r="D10" s="1">
        <v>629.95000000000005</v>
      </c>
      <c r="E10" s="30">
        <v>1100</v>
      </c>
      <c r="F10" s="1">
        <v>660</v>
      </c>
      <c r="G10" s="1">
        <v>19.2</v>
      </c>
      <c r="H10" s="1">
        <v>134200</v>
      </c>
      <c r="I10" s="1">
        <v>1100</v>
      </c>
      <c r="J10" s="1">
        <v>19.100000000000001</v>
      </c>
      <c r="K10" s="1">
        <v>19.7</v>
      </c>
      <c r="L10" s="1">
        <v>1100</v>
      </c>
      <c r="M10" s="36">
        <v>-0.12584200000000001</v>
      </c>
      <c r="N10" s="1"/>
      <c r="O10" s="7">
        <f t="shared" si="0"/>
        <v>3.0478609413445507E-2</v>
      </c>
      <c r="P10" s="7">
        <f t="shared" ca="1" si="1"/>
        <v>-5.7944124360162562E-5</v>
      </c>
      <c r="Q10" s="7" t="e">
        <f t="shared" ca="1" si="2"/>
        <v>#NAME?</v>
      </c>
      <c r="R10" s="33" t="e">
        <f t="shared" ca="1" si="3"/>
        <v>#NAME?</v>
      </c>
      <c r="S10" s="33" t="e">
        <f t="shared" ca="1" si="4"/>
        <v>#NAME?</v>
      </c>
      <c r="T10" s="7" t="e">
        <f t="shared" ca="1" si="5"/>
        <v>#NAME?</v>
      </c>
      <c r="U10" s="33">
        <f t="shared" si="6"/>
        <v>692945</v>
      </c>
    </row>
    <row r="11" spans="1:118" x14ac:dyDescent="0.25">
      <c r="A11" s="1"/>
      <c r="B11" s="25">
        <v>43461</v>
      </c>
      <c r="C11" s="10" t="s">
        <v>48</v>
      </c>
      <c r="D11" s="1">
        <v>150.5</v>
      </c>
      <c r="E11" s="30">
        <v>4000</v>
      </c>
      <c r="F11" s="1">
        <v>155</v>
      </c>
      <c r="G11" s="1">
        <v>7.25</v>
      </c>
      <c r="H11" s="1">
        <v>44000</v>
      </c>
      <c r="I11" s="1">
        <v>4000</v>
      </c>
      <c r="J11" s="1">
        <v>7.55</v>
      </c>
      <c r="K11" s="1">
        <v>8.15</v>
      </c>
      <c r="L11" s="1">
        <v>24000</v>
      </c>
      <c r="M11" s="36">
        <v>-0.23504499999999998</v>
      </c>
      <c r="N11" s="1"/>
      <c r="O11" s="7">
        <f t="shared" si="0"/>
        <v>4.817275747508306E-2</v>
      </c>
      <c r="P11" s="7">
        <f t="shared" ca="1" si="1"/>
        <v>-9.1583189116127496E-5</v>
      </c>
      <c r="Q11" s="7" t="e">
        <f t="shared" ca="1" si="2"/>
        <v>#NAME?</v>
      </c>
      <c r="R11" s="33" t="e">
        <f t="shared" ca="1" si="3"/>
        <v>#NAME?</v>
      </c>
      <c r="S11" s="33" t="e">
        <f t="shared" ca="1" si="4"/>
        <v>#NAME?</v>
      </c>
      <c r="T11" s="7" t="e">
        <f t="shared" ca="1" si="5"/>
        <v>#NAME?</v>
      </c>
      <c r="U11" s="33">
        <f t="shared" si="6"/>
        <v>602000</v>
      </c>
    </row>
    <row r="12" spans="1:118" x14ac:dyDescent="0.25">
      <c r="A12" s="1"/>
      <c r="B12" s="25">
        <v>43461</v>
      </c>
      <c r="C12" s="10" t="s">
        <v>204</v>
      </c>
      <c r="D12" s="1">
        <v>105.1</v>
      </c>
      <c r="E12" s="30">
        <v>4000</v>
      </c>
      <c r="F12" s="1">
        <v>110</v>
      </c>
      <c r="G12" s="1">
        <v>3.2</v>
      </c>
      <c r="H12" s="1">
        <v>1544000</v>
      </c>
      <c r="I12" s="1">
        <v>12000</v>
      </c>
      <c r="J12" s="1">
        <v>3.1</v>
      </c>
      <c r="K12" s="1">
        <v>3.25</v>
      </c>
      <c r="L12" s="1">
        <v>8000</v>
      </c>
      <c r="M12" s="36">
        <v>-0.144706</v>
      </c>
      <c r="N12" s="1"/>
      <c r="O12" s="7">
        <f t="shared" si="0"/>
        <v>3.0447193149381546E-2</v>
      </c>
      <c r="P12" s="7">
        <f t="shared" ca="1" si="1"/>
        <v>-5.7884397622398376E-5</v>
      </c>
      <c r="Q12" s="7" t="e">
        <f t="shared" ca="1" si="2"/>
        <v>#NAME?</v>
      </c>
      <c r="R12" s="33" t="e">
        <f t="shared" ca="1" si="3"/>
        <v>#NAME?</v>
      </c>
      <c r="S12" s="33" t="e">
        <f t="shared" ca="1" si="4"/>
        <v>#NAME?</v>
      </c>
      <c r="T12" s="7" t="e">
        <f t="shared" ca="1" si="5"/>
        <v>#NAME?</v>
      </c>
      <c r="U12" s="33">
        <f t="shared" si="6"/>
        <v>420400</v>
      </c>
    </row>
    <row r="13" spans="1:118" x14ac:dyDescent="0.25">
      <c r="A13" s="1"/>
      <c r="B13" s="25">
        <v>43461</v>
      </c>
      <c r="C13" s="10" t="s">
        <v>1301</v>
      </c>
      <c r="D13" s="1">
        <v>298.75</v>
      </c>
      <c r="E13" s="30">
        <v>1300</v>
      </c>
      <c r="F13" s="1">
        <v>310</v>
      </c>
      <c r="G13" s="1">
        <v>13.9</v>
      </c>
      <c r="H13" s="1">
        <v>123500</v>
      </c>
      <c r="I13" s="1">
        <v>1300</v>
      </c>
      <c r="J13" s="1">
        <v>13.9</v>
      </c>
      <c r="K13" s="1">
        <v>14.9</v>
      </c>
      <c r="L13" s="1">
        <v>1300</v>
      </c>
      <c r="M13" s="36">
        <v>-0.14316900000000002</v>
      </c>
      <c r="N13" s="1"/>
      <c r="O13" s="7">
        <f t="shared" si="0"/>
        <v>4.652719665271967E-2</v>
      </c>
      <c r="P13" s="7">
        <f t="shared" ca="1" si="1"/>
        <v>-8.8454746488060213E-5</v>
      </c>
      <c r="Q13" s="7" t="e">
        <f t="shared" ca="1" si="2"/>
        <v>#NAME?</v>
      </c>
      <c r="R13" s="33" t="e">
        <f t="shared" ca="1" si="3"/>
        <v>#NAME?</v>
      </c>
      <c r="S13" s="33" t="e">
        <f t="shared" ca="1" si="4"/>
        <v>#NAME?</v>
      </c>
      <c r="T13" s="7" t="e">
        <f t="shared" ca="1" si="5"/>
        <v>#NAME?</v>
      </c>
      <c r="U13" s="33">
        <f t="shared" si="6"/>
        <v>388375</v>
      </c>
    </row>
    <row r="14" spans="1:118" x14ac:dyDescent="0.25">
      <c r="A14" s="1"/>
      <c r="B14" s="25">
        <v>43461</v>
      </c>
      <c r="C14" s="10" t="s">
        <v>1149</v>
      </c>
      <c r="D14" s="1">
        <v>84.5</v>
      </c>
      <c r="E14" s="30">
        <v>6000</v>
      </c>
      <c r="F14" s="1">
        <v>85</v>
      </c>
      <c r="G14" s="1">
        <v>5.5</v>
      </c>
      <c r="H14" s="1">
        <v>84000</v>
      </c>
      <c r="I14" s="1">
        <v>30000</v>
      </c>
      <c r="J14" s="1">
        <v>5.0999999999999996</v>
      </c>
      <c r="K14" s="1">
        <v>5.65</v>
      </c>
      <c r="L14" s="1">
        <v>6000</v>
      </c>
      <c r="M14" s="36">
        <v>-0.13131500000000002</v>
      </c>
      <c r="N14" s="1"/>
      <c r="O14" s="7">
        <f t="shared" si="0"/>
        <v>6.5088757396449703E-2</v>
      </c>
      <c r="P14" s="7">
        <f t="shared" ca="1" si="1"/>
        <v>-1.2374288478412491E-4</v>
      </c>
      <c r="Q14" s="7" t="e">
        <f t="shared" ca="1" si="2"/>
        <v>#NAME?</v>
      </c>
      <c r="R14" s="33" t="e">
        <f t="shared" ca="1" si="3"/>
        <v>#NAME?</v>
      </c>
      <c r="S14" s="33" t="e">
        <f t="shared" ca="1" si="4"/>
        <v>#NAME?</v>
      </c>
      <c r="T14" s="7" t="e">
        <f t="shared" ca="1" si="5"/>
        <v>#NAME?</v>
      </c>
      <c r="U14" s="33">
        <f t="shared" si="6"/>
        <v>507000</v>
      </c>
    </row>
    <row r="15" spans="1:118" x14ac:dyDescent="0.25">
      <c r="A15" s="1"/>
      <c r="B15" s="25">
        <v>43461</v>
      </c>
      <c r="C15" s="10" t="s">
        <v>206</v>
      </c>
      <c r="D15" s="1">
        <v>80.8</v>
      </c>
      <c r="E15" s="30">
        <v>6000</v>
      </c>
      <c r="F15" s="1">
        <v>82.5</v>
      </c>
      <c r="G15" s="1">
        <v>3.9</v>
      </c>
      <c r="H15" s="1">
        <v>150000</v>
      </c>
      <c r="I15" s="1">
        <v>12000</v>
      </c>
      <c r="J15" s="1">
        <v>3.8</v>
      </c>
      <c r="K15" s="1">
        <v>4.0999999999999996</v>
      </c>
      <c r="L15" s="1">
        <v>6000</v>
      </c>
      <c r="M15" s="36">
        <v>-0.14923400000000001</v>
      </c>
      <c r="N15" s="1"/>
      <c r="O15" s="7">
        <f t="shared" si="0"/>
        <v>4.8267326732673269E-2</v>
      </c>
      <c r="P15" s="7">
        <f t="shared" ca="1" si="1"/>
        <v>-9.1762978579226746E-5</v>
      </c>
      <c r="Q15" s="7" t="e">
        <f t="shared" ca="1" si="2"/>
        <v>#NAME?</v>
      </c>
      <c r="R15" s="33" t="e">
        <f t="shared" ca="1" si="3"/>
        <v>#NAME?</v>
      </c>
      <c r="S15" s="33" t="e">
        <f t="shared" ca="1" si="4"/>
        <v>#NAME?</v>
      </c>
      <c r="T15" s="7" t="e">
        <f t="shared" ca="1" si="5"/>
        <v>#NAME?</v>
      </c>
      <c r="U15" s="33">
        <f t="shared" si="6"/>
        <v>484800</v>
      </c>
    </row>
    <row r="16" spans="1:118" x14ac:dyDescent="0.25">
      <c r="A16" s="1"/>
      <c r="B16" s="25">
        <v>43461</v>
      </c>
      <c r="C16" s="10" t="s">
        <v>687</v>
      </c>
      <c r="D16" s="1">
        <v>37.700000000000003</v>
      </c>
      <c r="E16" s="30">
        <v>13200</v>
      </c>
      <c r="F16" s="1">
        <v>39</v>
      </c>
      <c r="G16" s="1">
        <v>1.25</v>
      </c>
      <c r="H16" s="1">
        <v>198000</v>
      </c>
      <c r="I16" s="1">
        <v>26400</v>
      </c>
      <c r="J16" s="1">
        <v>1.1499999999999999</v>
      </c>
      <c r="K16" s="1">
        <v>1.3</v>
      </c>
      <c r="L16" s="1">
        <v>13200</v>
      </c>
      <c r="M16" s="36">
        <v>-0.12365899999999999</v>
      </c>
      <c r="N16" s="1"/>
      <c r="O16" s="7">
        <f t="shared" si="0"/>
        <v>3.3156498673740049E-2</v>
      </c>
      <c r="P16" s="7">
        <f t="shared" ca="1" si="1"/>
        <v>-6.303516858125484E-5</v>
      </c>
      <c r="Q16" s="7" t="e">
        <f t="shared" ca="1" si="2"/>
        <v>#NAME?</v>
      </c>
      <c r="R16" s="33" t="e">
        <f t="shared" ca="1" si="3"/>
        <v>#NAME?</v>
      </c>
      <c r="S16" s="33" t="e">
        <f t="shared" ca="1" si="4"/>
        <v>#NAME?</v>
      </c>
      <c r="T16" s="7" t="e">
        <f t="shared" ca="1" si="5"/>
        <v>#NAME?</v>
      </c>
      <c r="U16" s="33">
        <f t="shared" si="6"/>
        <v>497640.00000000006</v>
      </c>
    </row>
    <row r="17" spans="1:21" x14ac:dyDescent="0.25">
      <c r="A17" s="1"/>
      <c r="B17" s="25">
        <v>43461</v>
      </c>
      <c r="C17" s="10" t="s">
        <v>1301</v>
      </c>
      <c r="D17" s="1">
        <v>298.75</v>
      </c>
      <c r="E17" s="30">
        <v>1300</v>
      </c>
      <c r="F17" s="1">
        <v>300</v>
      </c>
      <c r="G17" s="1">
        <v>18.75</v>
      </c>
      <c r="H17" s="1">
        <v>68900</v>
      </c>
      <c r="I17" s="1">
        <v>1300</v>
      </c>
      <c r="J17" s="1">
        <v>18.5</v>
      </c>
      <c r="K17" s="1">
        <v>19.899999999999999</v>
      </c>
      <c r="L17" s="1">
        <v>1300</v>
      </c>
      <c r="M17" s="36">
        <v>-0.14316900000000002</v>
      </c>
      <c r="N17" s="1"/>
      <c r="O17" s="7">
        <f t="shared" si="0"/>
        <v>6.2761506276150625E-2</v>
      </c>
      <c r="P17" s="7">
        <f t="shared" ca="1" si="1"/>
        <v>-1.1931845299648407E-4</v>
      </c>
      <c r="Q17" s="7" t="e">
        <f t="shared" ca="1" si="2"/>
        <v>#NAME?</v>
      </c>
      <c r="R17" s="33" t="e">
        <f t="shared" ca="1" si="3"/>
        <v>#NAME?</v>
      </c>
      <c r="S17" s="33" t="e">
        <f t="shared" ca="1" si="4"/>
        <v>#NAME?</v>
      </c>
      <c r="T17" s="7" t="e">
        <f t="shared" ca="1" si="5"/>
        <v>#NAME?</v>
      </c>
      <c r="U17" s="33">
        <f t="shared" si="6"/>
        <v>388375</v>
      </c>
    </row>
    <row r="18" spans="1:21" x14ac:dyDescent="0.25">
      <c r="A18" s="1"/>
      <c r="B18" s="25">
        <v>43461</v>
      </c>
      <c r="C18" s="10" t="s">
        <v>1554</v>
      </c>
      <c r="D18" s="1">
        <v>32.15</v>
      </c>
      <c r="E18" s="30">
        <v>9000</v>
      </c>
      <c r="F18" s="1">
        <v>33</v>
      </c>
      <c r="G18" s="1">
        <v>1.3</v>
      </c>
      <c r="H18" s="1">
        <v>18000</v>
      </c>
      <c r="I18" s="1">
        <v>36000</v>
      </c>
      <c r="J18" s="1">
        <v>1.1000000000000001</v>
      </c>
      <c r="K18" s="1">
        <v>1.45</v>
      </c>
      <c r="L18" s="1">
        <v>18000</v>
      </c>
      <c r="M18" s="36">
        <v>-0.14246800000000001</v>
      </c>
      <c r="N18" s="1"/>
      <c r="O18" s="7">
        <f t="shared" si="0"/>
        <v>4.0435458786936239E-2</v>
      </c>
      <c r="P18" s="7">
        <f t="shared" ca="1" si="1"/>
        <v>-7.6873495792654443E-5</v>
      </c>
      <c r="Q18" s="7" t="e">
        <f t="shared" ca="1" si="2"/>
        <v>#NAME?</v>
      </c>
      <c r="R18" s="33" t="e">
        <f t="shared" ca="1" si="3"/>
        <v>#NAME?</v>
      </c>
      <c r="S18" s="33" t="e">
        <f t="shared" ca="1" si="4"/>
        <v>#NAME?</v>
      </c>
      <c r="T18" s="7" t="e">
        <f t="shared" ca="1" si="5"/>
        <v>#NAME?</v>
      </c>
      <c r="U18" s="33">
        <f t="shared" si="6"/>
        <v>289350</v>
      </c>
    </row>
    <row r="19" spans="1:21" x14ac:dyDescent="0.25">
      <c r="A19" s="1"/>
      <c r="B19" s="25">
        <v>43461</v>
      </c>
      <c r="C19" s="10" t="s">
        <v>693</v>
      </c>
      <c r="D19" s="1">
        <v>12.75</v>
      </c>
      <c r="E19" s="30">
        <v>25000</v>
      </c>
      <c r="F19" s="1">
        <v>13</v>
      </c>
      <c r="G19" s="1">
        <v>0.6</v>
      </c>
      <c r="H19" s="1">
        <v>325000</v>
      </c>
      <c r="I19" s="1">
        <v>50000</v>
      </c>
      <c r="J19" s="1">
        <v>0.6</v>
      </c>
      <c r="K19" s="1">
        <v>0.7</v>
      </c>
      <c r="L19" s="1">
        <v>25000</v>
      </c>
      <c r="M19" s="36">
        <v>-0.16647699999999999</v>
      </c>
      <c r="N19" s="1"/>
      <c r="O19" s="7">
        <f t="shared" si="0"/>
        <v>4.7058823529411764E-2</v>
      </c>
      <c r="P19" s="7">
        <f t="shared" ca="1" si="1"/>
        <v>-8.9465443972265715E-5</v>
      </c>
      <c r="Q19" s="7" t="e">
        <f t="shared" ca="1" si="2"/>
        <v>#NAME?</v>
      </c>
      <c r="R19" s="33" t="e">
        <f t="shared" ca="1" si="3"/>
        <v>#NAME?</v>
      </c>
      <c r="S19" s="33" t="e">
        <f t="shared" ca="1" si="4"/>
        <v>#NAME?</v>
      </c>
      <c r="T19" s="7" t="e">
        <f t="shared" ca="1" si="5"/>
        <v>#NAME?</v>
      </c>
      <c r="U19" s="33">
        <f t="shared" si="6"/>
        <v>318750</v>
      </c>
    </row>
    <row r="20" spans="1:21" x14ac:dyDescent="0.25">
      <c r="A20" s="1"/>
      <c r="B20" s="25">
        <v>43461</v>
      </c>
      <c r="C20" s="10" t="s">
        <v>286</v>
      </c>
      <c r="D20" s="1">
        <v>244.65</v>
      </c>
      <c r="E20" s="30">
        <v>2000</v>
      </c>
      <c r="F20" s="1">
        <v>250</v>
      </c>
      <c r="G20" s="1">
        <v>10.9</v>
      </c>
      <c r="H20" s="1">
        <v>128000</v>
      </c>
      <c r="I20" s="1">
        <v>4000</v>
      </c>
      <c r="J20" s="1">
        <v>10.6</v>
      </c>
      <c r="K20" s="1">
        <v>11.55</v>
      </c>
      <c r="L20" s="1">
        <v>16000</v>
      </c>
      <c r="M20" s="36">
        <v>-0.12681400000000001</v>
      </c>
      <c r="N20" s="1"/>
      <c r="O20" s="7">
        <f t="shared" si="0"/>
        <v>4.45534436950746E-2</v>
      </c>
      <c r="P20" s="7">
        <f t="shared" ca="1" si="1"/>
        <v>-8.4702364439305329E-5</v>
      </c>
      <c r="Q20" s="7" t="e">
        <f t="shared" ca="1" si="2"/>
        <v>#NAME?</v>
      </c>
      <c r="R20" s="33" t="e">
        <f t="shared" ca="1" si="3"/>
        <v>#NAME?</v>
      </c>
      <c r="S20" s="33" t="e">
        <f t="shared" ca="1" si="4"/>
        <v>#NAME?</v>
      </c>
      <c r="T20" s="7" t="e">
        <f t="shared" ca="1" si="5"/>
        <v>#NAME?</v>
      </c>
      <c r="U20" s="33">
        <f t="shared" si="6"/>
        <v>489300</v>
      </c>
    </row>
    <row r="21" spans="1:21" x14ac:dyDescent="0.25">
      <c r="A21" s="1"/>
      <c r="B21" s="25">
        <v>43461</v>
      </c>
      <c r="C21" s="10" t="s">
        <v>396</v>
      </c>
      <c r="D21" s="1">
        <v>166.8</v>
      </c>
      <c r="E21" s="30">
        <v>2500</v>
      </c>
      <c r="F21" s="1">
        <v>170</v>
      </c>
      <c r="G21" s="1">
        <v>7.85</v>
      </c>
      <c r="H21" s="1">
        <v>307500</v>
      </c>
      <c r="I21" s="1">
        <v>5000</v>
      </c>
      <c r="J21" s="1">
        <v>7.6</v>
      </c>
      <c r="K21" s="1">
        <v>7.8</v>
      </c>
      <c r="L21" s="1">
        <v>2500</v>
      </c>
      <c r="M21" s="36">
        <v>-0.115479</v>
      </c>
      <c r="N21" s="1"/>
      <c r="O21" s="7">
        <f t="shared" si="0"/>
        <v>4.7062350119904069E-2</v>
      </c>
      <c r="P21" s="7">
        <f t="shared" ca="1" si="1"/>
        <v>-8.9472148516927882E-5</v>
      </c>
      <c r="Q21" s="7" t="e">
        <f t="shared" ca="1" si="2"/>
        <v>#NAME?</v>
      </c>
      <c r="R21" s="33" t="e">
        <f t="shared" ca="1" si="3"/>
        <v>#NAME?</v>
      </c>
      <c r="S21" s="33" t="e">
        <f t="shared" ca="1" si="4"/>
        <v>#NAME?</v>
      </c>
      <c r="T21" s="7" t="e">
        <f t="shared" ca="1" si="5"/>
        <v>#NAME?</v>
      </c>
      <c r="U21" s="33">
        <f t="shared" si="6"/>
        <v>417000</v>
      </c>
    </row>
    <row r="22" spans="1:21" x14ac:dyDescent="0.25">
      <c r="A22" s="1"/>
      <c r="B22" s="25">
        <v>43461</v>
      </c>
      <c r="C22" s="10" t="s">
        <v>221</v>
      </c>
      <c r="D22" s="1">
        <v>698</v>
      </c>
      <c r="E22" s="30">
        <v>500</v>
      </c>
      <c r="F22" s="1">
        <v>700</v>
      </c>
      <c r="G22" s="1">
        <v>43.65</v>
      </c>
      <c r="H22" s="1">
        <v>6000</v>
      </c>
      <c r="I22" s="1">
        <v>500</v>
      </c>
      <c r="J22" s="1">
        <v>40</v>
      </c>
      <c r="K22" s="1">
        <v>42.75</v>
      </c>
      <c r="L22" s="1">
        <v>4000</v>
      </c>
      <c r="M22" s="36">
        <v>-0.165631</v>
      </c>
      <c r="N22" s="1"/>
      <c r="O22" s="7">
        <f t="shared" si="0"/>
        <v>6.2535816618911166E-2</v>
      </c>
      <c r="P22" s="7">
        <f t="shared" ca="1" si="1"/>
        <v>-1.1888938520705546E-4</v>
      </c>
      <c r="Q22" s="7" t="e">
        <f t="shared" ca="1" si="2"/>
        <v>#NAME?</v>
      </c>
      <c r="R22" s="33" t="e">
        <f t="shared" ca="1" si="3"/>
        <v>#NAME?</v>
      </c>
      <c r="S22" s="33" t="e">
        <f t="shared" ca="1" si="4"/>
        <v>#NAME?</v>
      </c>
      <c r="T22" s="7" t="e">
        <f t="shared" ca="1" si="5"/>
        <v>#NAME?</v>
      </c>
      <c r="U22" s="33">
        <f t="shared" si="6"/>
        <v>349000</v>
      </c>
    </row>
    <row r="23" spans="1:21" x14ac:dyDescent="0.25">
      <c r="A23" s="1"/>
      <c r="B23" s="25">
        <v>43461</v>
      </c>
      <c r="C23" s="10" t="s">
        <v>642</v>
      </c>
      <c r="D23" s="1">
        <v>226</v>
      </c>
      <c r="E23" s="30">
        <v>1575</v>
      </c>
      <c r="F23" s="1">
        <v>230</v>
      </c>
      <c r="G23" s="1">
        <v>10.75</v>
      </c>
      <c r="H23" s="1">
        <v>485100</v>
      </c>
      <c r="I23" s="1">
        <v>3150</v>
      </c>
      <c r="J23" s="1">
        <v>10.7</v>
      </c>
      <c r="K23" s="1">
        <v>10.8</v>
      </c>
      <c r="L23" s="1">
        <v>7875</v>
      </c>
      <c r="M23" s="36">
        <v>-0.11794</v>
      </c>
      <c r="N23" s="1"/>
      <c r="O23" s="7">
        <f t="shared" si="0"/>
        <v>4.7566371681415927E-2</v>
      </c>
      <c r="P23" s="7">
        <f t="shared" ca="1" si="1"/>
        <v>-9.0430364413338264E-5</v>
      </c>
      <c r="Q23" s="7" t="e">
        <f t="shared" ca="1" si="2"/>
        <v>#NAME?</v>
      </c>
      <c r="R23" s="33" t="e">
        <f t="shared" ca="1" si="3"/>
        <v>#NAME?</v>
      </c>
      <c r="S23" s="33" t="e">
        <f t="shared" ca="1" si="4"/>
        <v>#NAME?</v>
      </c>
      <c r="T23" s="7" t="e">
        <f t="shared" ca="1" si="5"/>
        <v>#NAME?</v>
      </c>
      <c r="U23" s="33">
        <f t="shared" si="6"/>
        <v>355950</v>
      </c>
    </row>
    <row r="24" spans="1:21" x14ac:dyDescent="0.25">
      <c r="A24" s="1"/>
      <c r="B24" s="25">
        <v>43461</v>
      </c>
      <c r="C24" s="10" t="s">
        <v>1668</v>
      </c>
      <c r="D24" s="1">
        <v>73.55</v>
      </c>
      <c r="E24" s="30">
        <v>6000</v>
      </c>
      <c r="F24" s="1">
        <v>75</v>
      </c>
      <c r="G24" s="1">
        <v>3.3</v>
      </c>
      <c r="H24" s="1">
        <v>204000</v>
      </c>
      <c r="I24" s="1">
        <v>6000</v>
      </c>
      <c r="J24" s="1">
        <v>3.2</v>
      </c>
      <c r="K24" s="1">
        <v>3.25</v>
      </c>
      <c r="L24" s="1">
        <v>6000</v>
      </c>
      <c r="M24" s="36">
        <v>-0.140041</v>
      </c>
      <c r="N24" s="1"/>
      <c r="O24" s="7">
        <f t="shared" si="0"/>
        <v>4.4867437117607066E-2</v>
      </c>
      <c r="P24" s="7">
        <f t="shared" ca="1" si="1"/>
        <v>-8.5299310109519143E-5</v>
      </c>
      <c r="Q24" s="7" t="e">
        <f t="shared" ca="1" si="2"/>
        <v>#NAME?</v>
      </c>
      <c r="R24" s="33" t="e">
        <f t="shared" ca="1" si="3"/>
        <v>#NAME?</v>
      </c>
      <c r="S24" s="33" t="e">
        <f t="shared" ca="1" si="4"/>
        <v>#NAME?</v>
      </c>
      <c r="T24" s="7" t="e">
        <f t="shared" ca="1" si="5"/>
        <v>#NAME?</v>
      </c>
      <c r="U24" s="33">
        <f t="shared" si="6"/>
        <v>441300</v>
      </c>
    </row>
    <row r="25" spans="1:21" x14ac:dyDescent="0.25">
      <c r="A25" s="1"/>
      <c r="B25" s="25">
        <v>43461</v>
      </c>
      <c r="C25" s="10" t="s">
        <v>1210</v>
      </c>
      <c r="D25" s="1">
        <v>66</v>
      </c>
      <c r="E25" s="30">
        <v>5500</v>
      </c>
      <c r="F25" s="1">
        <v>67.5</v>
      </c>
      <c r="G25" s="1">
        <v>2.65</v>
      </c>
      <c r="H25" s="1">
        <v>495000</v>
      </c>
      <c r="I25" s="1">
        <v>27500</v>
      </c>
      <c r="J25" s="1">
        <v>2.6</v>
      </c>
      <c r="K25" s="1">
        <v>2.8</v>
      </c>
      <c r="L25" s="1">
        <v>5500</v>
      </c>
      <c r="M25" s="36">
        <v>-0.184474</v>
      </c>
      <c r="N25" s="1"/>
      <c r="O25" s="7">
        <f t="shared" si="0"/>
        <v>4.0151515151515153E-2</v>
      </c>
      <c r="P25" s="7">
        <f t="shared" ca="1" si="1"/>
        <v>-7.6333678995275955E-5</v>
      </c>
      <c r="Q25" s="7" t="e">
        <f t="shared" ca="1" si="2"/>
        <v>#NAME?</v>
      </c>
      <c r="R25" s="33" t="e">
        <f t="shared" ca="1" si="3"/>
        <v>#NAME?</v>
      </c>
      <c r="S25" s="33" t="e">
        <f t="shared" ca="1" si="4"/>
        <v>#NAME?</v>
      </c>
      <c r="T25" s="7" t="e">
        <f t="shared" ca="1" si="5"/>
        <v>#NAME?</v>
      </c>
      <c r="U25" s="33">
        <f t="shared" si="6"/>
        <v>363000</v>
      </c>
    </row>
    <row r="26" spans="1:21" x14ac:dyDescent="0.25">
      <c r="A26" s="1"/>
      <c r="B26" s="25">
        <v>43461</v>
      </c>
      <c r="C26" s="10" t="s">
        <v>1507</v>
      </c>
      <c r="D26" s="1">
        <v>448.1</v>
      </c>
      <c r="E26" s="30">
        <v>800</v>
      </c>
      <c r="F26" s="1">
        <v>460</v>
      </c>
      <c r="G26" s="1">
        <v>19</v>
      </c>
      <c r="H26" s="1">
        <v>13600</v>
      </c>
      <c r="I26" s="1">
        <v>2400</v>
      </c>
      <c r="J26" s="1">
        <v>17.5</v>
      </c>
      <c r="K26" s="1">
        <v>20</v>
      </c>
      <c r="L26" s="1">
        <v>800</v>
      </c>
      <c r="M26" s="36">
        <v>-0.171487</v>
      </c>
      <c r="N26" s="1"/>
      <c r="O26" s="7">
        <f t="shared" si="0"/>
        <v>4.2401249721044407E-2</v>
      </c>
      <c r="P26" s="7">
        <f t="shared" ca="1" si="1"/>
        <v>-8.0610740914533098E-5</v>
      </c>
      <c r="Q26" s="7" t="e">
        <f t="shared" ca="1" si="2"/>
        <v>#NAME?</v>
      </c>
      <c r="R26" s="33" t="e">
        <f t="shared" ca="1" si="3"/>
        <v>#NAME?</v>
      </c>
      <c r="S26" s="33" t="e">
        <f t="shared" ca="1" si="4"/>
        <v>#NAME?</v>
      </c>
      <c r="T26" s="7" t="e">
        <f t="shared" ca="1" si="5"/>
        <v>#NAME?</v>
      </c>
      <c r="U26" s="33">
        <f t="shared" si="6"/>
        <v>358480</v>
      </c>
    </row>
    <row r="27" spans="1:21" x14ac:dyDescent="0.25">
      <c r="A27" s="1"/>
      <c r="B27" s="25">
        <v>43461</v>
      </c>
      <c r="C27" s="10" t="s">
        <v>5</v>
      </c>
      <c r="D27" s="1">
        <v>82.7</v>
      </c>
      <c r="E27" s="30">
        <v>8000</v>
      </c>
      <c r="F27" s="1">
        <v>85</v>
      </c>
      <c r="G27" s="1">
        <v>2.8</v>
      </c>
      <c r="H27" s="1">
        <v>320000</v>
      </c>
      <c r="I27" s="1">
        <v>8000</v>
      </c>
      <c r="J27" s="1">
        <v>2.8</v>
      </c>
      <c r="K27" s="1">
        <v>3</v>
      </c>
      <c r="L27" s="1">
        <v>72000</v>
      </c>
      <c r="M27" s="36">
        <v>-0.111426</v>
      </c>
      <c r="N27" s="1"/>
      <c r="O27" s="7">
        <f t="shared" si="0"/>
        <v>3.3857315598548966E-2</v>
      </c>
      <c r="P27" s="7">
        <f t="shared" ca="1" si="1"/>
        <v>-6.4367520149332638E-5</v>
      </c>
      <c r="Q27" s="7" t="e">
        <f t="shared" ca="1" si="2"/>
        <v>#NAME?</v>
      </c>
      <c r="R27" s="33" t="e">
        <f t="shared" ca="1" si="3"/>
        <v>#NAME?</v>
      </c>
      <c r="S27" s="33" t="e">
        <f t="shared" ca="1" si="4"/>
        <v>#NAME?</v>
      </c>
      <c r="T27" s="7" t="e">
        <f t="shared" ca="1" si="5"/>
        <v>#NAME?</v>
      </c>
      <c r="U27" s="33">
        <f t="shared" si="6"/>
        <v>661600</v>
      </c>
    </row>
    <row r="28" spans="1:21" x14ac:dyDescent="0.25">
      <c r="A28" s="1"/>
      <c r="B28" s="25">
        <v>43461</v>
      </c>
      <c r="C28" s="10" t="s">
        <v>1288</v>
      </c>
      <c r="D28" s="1">
        <v>103.1</v>
      </c>
      <c r="E28" s="30">
        <v>6000</v>
      </c>
      <c r="F28" s="1">
        <v>105</v>
      </c>
      <c r="G28" s="1">
        <v>4.4000000000000004</v>
      </c>
      <c r="H28" s="1">
        <v>870000</v>
      </c>
      <c r="I28" s="1">
        <v>6000</v>
      </c>
      <c r="J28" s="1">
        <v>4.0999999999999996</v>
      </c>
      <c r="K28" s="1">
        <v>4.7</v>
      </c>
      <c r="L28" s="1">
        <v>6000</v>
      </c>
      <c r="M28" s="36">
        <v>-0.10454000000000001</v>
      </c>
      <c r="N28" s="1"/>
      <c r="O28" s="7">
        <f t="shared" si="0"/>
        <v>4.2677012609117368E-2</v>
      </c>
      <c r="P28" s="7">
        <f t="shared" ca="1" si="1"/>
        <v>-8.1135004960299181E-5</v>
      </c>
      <c r="Q28" s="7" t="e">
        <f t="shared" ca="1" si="2"/>
        <v>#NAME?</v>
      </c>
      <c r="R28" s="33" t="e">
        <f t="shared" ca="1" si="3"/>
        <v>#NAME?</v>
      </c>
      <c r="S28" s="33" t="e">
        <f t="shared" ca="1" si="4"/>
        <v>#NAME?</v>
      </c>
      <c r="T28" s="7" t="e">
        <f t="shared" ca="1" si="5"/>
        <v>#NAME?</v>
      </c>
      <c r="U28" s="33">
        <f t="shared" si="6"/>
        <v>618600</v>
      </c>
    </row>
    <row r="29" spans="1:21" x14ac:dyDescent="0.25">
      <c r="A29" s="1"/>
      <c r="B29" s="25">
        <v>43461</v>
      </c>
      <c r="C29" s="10" t="s">
        <v>458</v>
      </c>
      <c r="D29" s="1">
        <v>629.95000000000005</v>
      </c>
      <c r="E29" s="30">
        <v>1100</v>
      </c>
      <c r="F29" s="1">
        <v>640</v>
      </c>
      <c r="G29" s="1">
        <v>27.8</v>
      </c>
      <c r="H29" s="1">
        <v>56100</v>
      </c>
      <c r="I29" s="1">
        <v>2200</v>
      </c>
      <c r="J29" s="1">
        <v>27</v>
      </c>
      <c r="K29" s="1">
        <v>28</v>
      </c>
      <c r="L29" s="1">
        <v>3300</v>
      </c>
      <c r="M29" s="36">
        <v>-0.12584200000000001</v>
      </c>
      <c r="N29" s="1"/>
      <c r="O29" s="7">
        <f t="shared" si="0"/>
        <v>4.4130486546551315E-2</v>
      </c>
      <c r="P29" s="7">
        <f t="shared" ca="1" si="1"/>
        <v>-8.3898263396485384E-5</v>
      </c>
      <c r="Q29" s="7" t="e">
        <f t="shared" ca="1" si="2"/>
        <v>#NAME?</v>
      </c>
      <c r="R29" s="33" t="e">
        <f t="shared" ca="1" si="3"/>
        <v>#NAME?</v>
      </c>
      <c r="S29" s="33" t="e">
        <f t="shared" ca="1" si="4"/>
        <v>#NAME?</v>
      </c>
      <c r="T29" s="7" t="e">
        <f t="shared" ca="1" si="5"/>
        <v>#NAME?</v>
      </c>
      <c r="U29" s="33">
        <f t="shared" si="6"/>
        <v>692945</v>
      </c>
    </row>
    <row r="30" spans="1:21" x14ac:dyDescent="0.25">
      <c r="A30" s="1"/>
      <c r="B30" s="25">
        <v>43461</v>
      </c>
      <c r="C30" s="10" t="s">
        <v>1507</v>
      </c>
      <c r="D30" s="1">
        <v>448.1</v>
      </c>
      <c r="E30" s="30">
        <v>800</v>
      </c>
      <c r="F30" s="1">
        <v>450</v>
      </c>
      <c r="G30" s="1">
        <v>25</v>
      </c>
      <c r="H30" s="1">
        <v>12000</v>
      </c>
      <c r="I30" s="1">
        <v>1600</v>
      </c>
      <c r="J30" s="1">
        <v>21.9</v>
      </c>
      <c r="K30" s="1">
        <v>25</v>
      </c>
      <c r="L30" s="1">
        <v>2400</v>
      </c>
      <c r="M30" s="36">
        <v>-0.171487</v>
      </c>
      <c r="N30" s="1"/>
      <c r="O30" s="7">
        <f t="shared" si="0"/>
        <v>5.57911180540058E-2</v>
      </c>
      <c r="P30" s="7">
        <f t="shared" ca="1" si="1"/>
        <v>-1.0606676436122775E-4</v>
      </c>
      <c r="Q30" s="7" t="e">
        <f t="shared" ca="1" si="2"/>
        <v>#NAME?</v>
      </c>
      <c r="R30" s="33" t="e">
        <f t="shared" ca="1" si="3"/>
        <v>#NAME?</v>
      </c>
      <c r="S30" s="33" t="e">
        <f t="shared" ca="1" si="4"/>
        <v>#NAME?</v>
      </c>
      <c r="T30" s="7" t="e">
        <f t="shared" ca="1" si="5"/>
        <v>#NAME?</v>
      </c>
      <c r="U30" s="33">
        <f t="shared" si="6"/>
        <v>358480</v>
      </c>
    </row>
    <row r="31" spans="1:21" x14ac:dyDescent="0.25">
      <c r="A31" s="1"/>
      <c r="B31" s="25">
        <v>43461</v>
      </c>
      <c r="C31" s="10" t="s">
        <v>286</v>
      </c>
      <c r="D31" s="1">
        <v>244.65</v>
      </c>
      <c r="E31" s="30">
        <v>2000</v>
      </c>
      <c r="F31" s="1">
        <v>245</v>
      </c>
      <c r="G31" s="1">
        <v>13.95</v>
      </c>
      <c r="H31" s="1">
        <v>8000</v>
      </c>
      <c r="I31" s="1">
        <v>40000</v>
      </c>
      <c r="J31" s="1">
        <v>8</v>
      </c>
      <c r="K31" s="1">
        <v>14.05</v>
      </c>
      <c r="L31" s="1">
        <v>16000</v>
      </c>
      <c r="M31" s="36">
        <v>-0.12681400000000001</v>
      </c>
      <c r="N31" s="1"/>
      <c r="O31" s="7">
        <f t="shared" si="0"/>
        <v>5.7020232985898214E-2</v>
      </c>
      <c r="P31" s="7">
        <f t="shared" ca="1" si="1"/>
        <v>-1.0840348476406504E-4</v>
      </c>
      <c r="Q31" s="7" t="e">
        <f t="shared" ca="1" si="2"/>
        <v>#NAME?</v>
      </c>
      <c r="R31" s="33" t="e">
        <f t="shared" ca="1" si="3"/>
        <v>#NAME?</v>
      </c>
      <c r="S31" s="33" t="e">
        <f t="shared" ca="1" si="4"/>
        <v>#NAME?</v>
      </c>
      <c r="T31" s="7" t="e">
        <f t="shared" ca="1" si="5"/>
        <v>#NAME?</v>
      </c>
      <c r="U31" s="33">
        <f t="shared" si="6"/>
        <v>489300</v>
      </c>
    </row>
    <row r="32" spans="1:21" x14ac:dyDescent="0.25">
      <c r="A32" s="1"/>
      <c r="B32" s="25">
        <v>43461</v>
      </c>
      <c r="C32" s="10" t="s">
        <v>288</v>
      </c>
      <c r="D32" s="1">
        <v>240</v>
      </c>
      <c r="E32" s="30">
        <v>1250</v>
      </c>
      <c r="F32" s="1">
        <v>240</v>
      </c>
      <c r="G32" s="1">
        <v>14</v>
      </c>
      <c r="H32" s="1">
        <v>2500</v>
      </c>
      <c r="I32" s="1">
        <v>1250</v>
      </c>
      <c r="J32" s="1">
        <v>8.15</v>
      </c>
      <c r="K32" s="1">
        <v>13</v>
      </c>
      <c r="L32" s="1">
        <v>7500</v>
      </c>
      <c r="M32" s="36">
        <v>-0.14369899999999999</v>
      </c>
      <c r="N32" s="1"/>
      <c r="O32" s="7">
        <f t="shared" si="0"/>
        <v>5.8333333333333334E-2</v>
      </c>
      <c r="P32" s="7">
        <f t="shared" ca="1" si="1"/>
        <v>-1.1089987325728771E-4</v>
      </c>
      <c r="Q32" s="7" t="e">
        <f t="shared" ca="1" si="2"/>
        <v>#NAME?</v>
      </c>
      <c r="R32" s="33" t="e">
        <f t="shared" ca="1" si="3"/>
        <v>#NAME?</v>
      </c>
      <c r="S32" s="33" t="e">
        <f t="shared" ca="1" si="4"/>
        <v>#NAME?</v>
      </c>
      <c r="T32" s="7" t="e">
        <f t="shared" ca="1" si="5"/>
        <v>#NAME?</v>
      </c>
      <c r="U32" s="33">
        <f t="shared" si="6"/>
        <v>300000</v>
      </c>
    </row>
    <row r="33" spans="1:21" x14ac:dyDescent="0.25">
      <c r="A33" s="1"/>
      <c r="B33" s="25">
        <v>43461</v>
      </c>
      <c r="C33" s="10" t="s">
        <v>86</v>
      </c>
      <c r="D33" s="1">
        <v>44.8</v>
      </c>
      <c r="E33" s="30">
        <v>11000</v>
      </c>
      <c r="F33" s="1">
        <v>45</v>
      </c>
      <c r="G33" s="1">
        <v>2.4</v>
      </c>
      <c r="H33" s="1">
        <v>330000</v>
      </c>
      <c r="I33" s="1">
        <v>33000</v>
      </c>
      <c r="J33" s="1">
        <v>2.4</v>
      </c>
      <c r="K33" s="1">
        <v>2.95</v>
      </c>
      <c r="L33" s="1">
        <v>11000</v>
      </c>
      <c r="M33" s="36">
        <v>-0.13623099999999999</v>
      </c>
      <c r="N33" s="1"/>
      <c r="O33" s="7">
        <f t="shared" si="0"/>
        <v>5.3571428571428575E-2</v>
      </c>
      <c r="P33" s="7">
        <f t="shared" ca="1" si="1"/>
        <v>-1.0184682237914178E-4</v>
      </c>
      <c r="Q33" s="7" t="e">
        <f t="shared" ca="1" si="2"/>
        <v>#NAME?</v>
      </c>
      <c r="R33" s="33" t="e">
        <f t="shared" ca="1" si="3"/>
        <v>#NAME?</v>
      </c>
      <c r="S33" s="33" t="e">
        <f t="shared" ca="1" si="4"/>
        <v>#NAME?</v>
      </c>
      <c r="T33" s="7" t="e">
        <f t="shared" ca="1" si="5"/>
        <v>#NAME?</v>
      </c>
      <c r="U33" s="33">
        <f t="shared" si="6"/>
        <v>492799.99999999994</v>
      </c>
    </row>
    <row r="34" spans="1:21" x14ac:dyDescent="0.25">
      <c r="A34" s="1"/>
      <c r="B34" s="25">
        <v>43461</v>
      </c>
      <c r="C34" s="10" t="s">
        <v>266</v>
      </c>
      <c r="D34" s="1">
        <v>324.95</v>
      </c>
      <c r="E34" s="30">
        <v>1800</v>
      </c>
      <c r="F34" s="1">
        <v>330</v>
      </c>
      <c r="G34" s="1">
        <v>13.4</v>
      </c>
      <c r="H34" s="1">
        <v>354600</v>
      </c>
      <c r="I34" s="1">
        <v>1800</v>
      </c>
      <c r="J34" s="1">
        <v>13</v>
      </c>
      <c r="K34" s="1">
        <v>13.4</v>
      </c>
      <c r="L34" s="1">
        <v>1800</v>
      </c>
      <c r="M34" s="36">
        <v>-0.10425899999999999</v>
      </c>
      <c r="N34" s="1"/>
      <c r="O34" s="7">
        <f t="shared" si="0"/>
        <v>4.1237113402061855E-2</v>
      </c>
      <c r="P34" s="7">
        <f t="shared" ca="1" si="1"/>
        <v>-7.8397553996315309E-5</v>
      </c>
      <c r="Q34" s="7" t="e">
        <f t="shared" ca="1" si="2"/>
        <v>#NAME?</v>
      </c>
      <c r="R34" s="33" t="e">
        <f t="shared" ca="1" si="3"/>
        <v>#NAME?</v>
      </c>
      <c r="S34" s="33" t="e">
        <f t="shared" ca="1" si="4"/>
        <v>#NAME?</v>
      </c>
      <c r="T34" s="7" t="e">
        <f t="shared" ca="1" si="5"/>
        <v>#NAME?</v>
      </c>
      <c r="U34" s="33">
        <f t="shared" si="6"/>
        <v>584910</v>
      </c>
    </row>
    <row r="35" spans="1:21" x14ac:dyDescent="0.25">
      <c r="A35" s="1"/>
      <c r="B35" s="25">
        <v>43461</v>
      </c>
      <c r="C35" s="10" t="s">
        <v>126</v>
      </c>
      <c r="D35" s="1">
        <v>1194.6500000000001</v>
      </c>
      <c r="E35" s="30">
        <v>500</v>
      </c>
      <c r="F35" s="1">
        <v>1220</v>
      </c>
      <c r="G35" s="1">
        <v>42</v>
      </c>
      <c r="H35" s="1">
        <v>1500</v>
      </c>
      <c r="I35" s="1">
        <v>5000</v>
      </c>
      <c r="J35" s="1">
        <v>33.5</v>
      </c>
      <c r="K35" s="1">
        <v>41.2</v>
      </c>
      <c r="L35" s="1">
        <v>500</v>
      </c>
      <c r="M35" s="36">
        <v>-6.5530999999999992E-2</v>
      </c>
      <c r="N35" s="1"/>
      <c r="O35" s="7">
        <f t="shared" si="0"/>
        <v>3.5156740467919473E-2</v>
      </c>
      <c r="P35" s="7">
        <f t="shared" ca="1" si="1"/>
        <v>-6.6837909634827894E-5</v>
      </c>
      <c r="Q35" s="7" t="e">
        <f t="shared" ca="1" si="2"/>
        <v>#NAME?</v>
      </c>
      <c r="R35" s="33" t="e">
        <f t="shared" ca="1" si="3"/>
        <v>#NAME?</v>
      </c>
      <c r="S35" s="33" t="e">
        <f t="shared" ca="1" si="4"/>
        <v>#NAME?</v>
      </c>
      <c r="T35" s="7" t="e">
        <f t="shared" ca="1" si="5"/>
        <v>#NAME?</v>
      </c>
      <c r="U35" s="33">
        <f t="shared" si="6"/>
        <v>597325</v>
      </c>
    </row>
    <row r="36" spans="1:21" x14ac:dyDescent="0.25">
      <c r="A36" s="1"/>
      <c r="B36" s="25">
        <v>43461</v>
      </c>
      <c r="C36" s="10" t="s">
        <v>1327</v>
      </c>
      <c r="D36" s="1">
        <v>27.65</v>
      </c>
      <c r="E36" s="30">
        <v>13000</v>
      </c>
      <c r="F36" s="1">
        <v>28</v>
      </c>
      <c r="G36" s="1">
        <v>1.55</v>
      </c>
      <c r="H36" s="1">
        <v>221000</v>
      </c>
      <c r="I36" s="1">
        <v>65000</v>
      </c>
      <c r="J36" s="1">
        <v>1.35</v>
      </c>
      <c r="K36" s="1">
        <v>1.55</v>
      </c>
      <c r="L36" s="1">
        <v>13000</v>
      </c>
      <c r="M36" s="36">
        <v>-0.12981099999999998</v>
      </c>
      <c r="N36" s="1"/>
      <c r="O36" s="7">
        <f t="shared" ref="O36:O67" si="7">G36/D36</f>
        <v>5.6057866184448468E-2</v>
      </c>
      <c r="P36" s="7">
        <f t="shared" ref="P36:P67" ca="1" si="8">O36/(B36-TODAY())</f>
        <v>-1.0657389008450279E-4</v>
      </c>
      <c r="Q36" s="7" t="e">
        <f t="shared" ref="Q36:Q67" ca="1" si="9">R36/D36-1</f>
        <v>#NAME?</v>
      </c>
      <c r="R36" s="33" t="e">
        <f t="shared" ref="R36:R67" ca="1" si="10">mrigxl_stockquote(C36)</f>
        <v>#NAME?</v>
      </c>
      <c r="S36" s="33" t="e">
        <f t="shared" ref="S36:S67" ca="1" si="11">(MIN(F36,R36)-D36+G36)*E36</f>
        <v>#NAME?</v>
      </c>
      <c r="T36" s="7" t="e">
        <f t="shared" ref="T36:T67" ca="1" si="12">S36/U36</f>
        <v>#NAME?</v>
      </c>
      <c r="U36" s="33">
        <f t="shared" ref="U36:U67" si="13">E36*D36</f>
        <v>359450</v>
      </c>
    </row>
    <row r="37" spans="1:21" x14ac:dyDescent="0.25">
      <c r="A37" s="1"/>
      <c r="B37" s="25">
        <v>43461</v>
      </c>
      <c r="C37" s="10" t="s">
        <v>1037</v>
      </c>
      <c r="D37" s="1">
        <v>157.1</v>
      </c>
      <c r="E37" s="30">
        <v>2400</v>
      </c>
      <c r="F37" s="1">
        <v>160</v>
      </c>
      <c r="G37" s="1">
        <v>5.9</v>
      </c>
      <c r="H37" s="1">
        <v>232800</v>
      </c>
      <c r="I37" s="1">
        <v>2400</v>
      </c>
      <c r="J37" s="1">
        <v>5.9</v>
      </c>
      <c r="K37" s="1">
        <v>6.1</v>
      </c>
      <c r="L37" s="1">
        <v>4800</v>
      </c>
      <c r="M37" s="36">
        <v>-0.11587500000000001</v>
      </c>
      <c r="N37" s="1"/>
      <c r="O37" s="7">
        <f t="shared" si="7"/>
        <v>3.7555697008274991E-2</v>
      </c>
      <c r="P37" s="7">
        <f t="shared" ca="1" si="8"/>
        <v>-7.1398663513830776E-5</v>
      </c>
      <c r="Q37" s="7" t="e">
        <f t="shared" ca="1" si="9"/>
        <v>#NAME?</v>
      </c>
      <c r="R37" s="33" t="e">
        <f t="shared" ca="1" si="10"/>
        <v>#NAME?</v>
      </c>
      <c r="S37" s="33" t="e">
        <f t="shared" ca="1" si="11"/>
        <v>#NAME?</v>
      </c>
      <c r="T37" s="7" t="e">
        <f t="shared" ca="1" si="12"/>
        <v>#NAME?</v>
      </c>
      <c r="U37" s="33">
        <f t="shared" si="13"/>
        <v>377040</v>
      </c>
    </row>
    <row r="38" spans="1:21" x14ac:dyDescent="0.25">
      <c r="A38" s="1"/>
      <c r="B38" s="25">
        <v>43461</v>
      </c>
      <c r="C38" s="10" t="s">
        <v>749</v>
      </c>
      <c r="D38" s="1">
        <v>143.94999999999999</v>
      </c>
      <c r="E38" s="30">
        <v>2500</v>
      </c>
      <c r="F38" s="1">
        <v>145</v>
      </c>
      <c r="G38" s="1">
        <v>7</v>
      </c>
      <c r="H38" s="1">
        <v>162500</v>
      </c>
      <c r="I38" s="1">
        <v>2500</v>
      </c>
      <c r="J38" s="1">
        <v>6.6</v>
      </c>
      <c r="K38" s="1">
        <v>7.55</v>
      </c>
      <c r="L38" s="1">
        <v>12500</v>
      </c>
      <c r="M38" s="36">
        <v>-0.14410999999999999</v>
      </c>
      <c r="N38" s="1"/>
      <c r="O38" s="7">
        <f t="shared" si="7"/>
        <v>4.8627995831886074E-2</v>
      </c>
      <c r="P38" s="7">
        <f t="shared" ca="1" si="8"/>
        <v>-9.2448661277349956E-5</v>
      </c>
      <c r="Q38" s="7" t="e">
        <f t="shared" ca="1" si="9"/>
        <v>#NAME?</v>
      </c>
      <c r="R38" s="33" t="e">
        <f t="shared" ca="1" si="10"/>
        <v>#NAME?</v>
      </c>
      <c r="S38" s="33" t="e">
        <f t="shared" ca="1" si="11"/>
        <v>#NAME?</v>
      </c>
      <c r="T38" s="7" t="e">
        <f t="shared" ca="1" si="12"/>
        <v>#NAME?</v>
      </c>
      <c r="U38" s="33">
        <f t="shared" si="13"/>
        <v>359875</v>
      </c>
    </row>
    <row r="39" spans="1:21" x14ac:dyDescent="0.25">
      <c r="A39" s="1"/>
      <c r="B39" s="25">
        <v>43461</v>
      </c>
      <c r="C39" s="10" t="s">
        <v>313</v>
      </c>
      <c r="D39" s="1">
        <v>850.05</v>
      </c>
      <c r="E39" s="30">
        <v>550</v>
      </c>
      <c r="F39" s="1">
        <v>860</v>
      </c>
      <c r="G39" s="1">
        <v>36.700000000000003</v>
      </c>
      <c r="H39" s="1">
        <v>1650</v>
      </c>
      <c r="I39" s="1">
        <v>1650</v>
      </c>
      <c r="J39" s="1">
        <v>31.6</v>
      </c>
      <c r="K39" s="1">
        <v>36.65</v>
      </c>
      <c r="L39" s="1">
        <v>10450</v>
      </c>
      <c r="M39" s="36">
        <v>-0.134881</v>
      </c>
      <c r="N39" s="1"/>
      <c r="O39" s="7">
        <f t="shared" si="7"/>
        <v>4.3173930945238519E-2</v>
      </c>
      <c r="P39" s="7">
        <f t="shared" ca="1" si="8"/>
        <v>-8.2079716625928749E-5</v>
      </c>
      <c r="Q39" s="7" t="e">
        <f t="shared" ca="1" si="9"/>
        <v>#NAME?</v>
      </c>
      <c r="R39" s="33" t="e">
        <f t="shared" ca="1" si="10"/>
        <v>#NAME?</v>
      </c>
      <c r="S39" s="33" t="e">
        <f t="shared" ca="1" si="11"/>
        <v>#NAME?</v>
      </c>
      <c r="T39" s="7" t="e">
        <f t="shared" ca="1" si="12"/>
        <v>#NAME?</v>
      </c>
      <c r="U39" s="33">
        <f t="shared" si="13"/>
        <v>467527.5</v>
      </c>
    </row>
    <row r="40" spans="1:21" x14ac:dyDescent="0.25">
      <c r="A40" s="1"/>
      <c r="B40" s="25">
        <v>43461</v>
      </c>
      <c r="C40" s="10" t="s">
        <v>449</v>
      </c>
      <c r="D40" s="1">
        <v>112.5</v>
      </c>
      <c r="E40" s="30">
        <v>3500</v>
      </c>
      <c r="F40" s="1">
        <v>115</v>
      </c>
      <c r="G40" s="1">
        <v>3.6</v>
      </c>
      <c r="H40" s="1">
        <v>59500</v>
      </c>
      <c r="I40" s="1">
        <v>3500</v>
      </c>
      <c r="J40" s="1">
        <v>3.15</v>
      </c>
      <c r="K40" s="1">
        <v>3.75</v>
      </c>
      <c r="L40" s="1">
        <v>28000</v>
      </c>
      <c r="M40" s="36">
        <v>-9.1372000000000009E-2</v>
      </c>
      <c r="N40" s="1"/>
      <c r="O40" s="7">
        <f t="shared" si="7"/>
        <v>3.2000000000000001E-2</v>
      </c>
      <c r="P40" s="7">
        <f t="shared" ca="1" si="8"/>
        <v>-6.0836501901140689E-5</v>
      </c>
      <c r="Q40" s="7" t="e">
        <f t="shared" ca="1" si="9"/>
        <v>#NAME?</v>
      </c>
      <c r="R40" s="33" t="e">
        <f t="shared" ca="1" si="10"/>
        <v>#NAME?</v>
      </c>
      <c r="S40" s="33" t="e">
        <f t="shared" ca="1" si="11"/>
        <v>#NAME?</v>
      </c>
      <c r="T40" s="7" t="e">
        <f t="shared" ca="1" si="12"/>
        <v>#NAME?</v>
      </c>
      <c r="U40" s="33">
        <f t="shared" si="13"/>
        <v>393750</v>
      </c>
    </row>
    <row r="41" spans="1:21" x14ac:dyDescent="0.25">
      <c r="A41" s="1"/>
      <c r="B41" s="25">
        <v>43461</v>
      </c>
      <c r="C41" s="10" t="s">
        <v>642</v>
      </c>
      <c r="D41" s="1">
        <v>226</v>
      </c>
      <c r="E41" s="30">
        <v>1575</v>
      </c>
      <c r="F41" s="1">
        <v>225</v>
      </c>
      <c r="G41" s="1">
        <v>13</v>
      </c>
      <c r="H41" s="1">
        <v>132300</v>
      </c>
      <c r="I41" s="1">
        <v>9450</v>
      </c>
      <c r="J41" s="1">
        <v>12.8</v>
      </c>
      <c r="K41" s="1">
        <v>13.3</v>
      </c>
      <c r="L41" s="1">
        <v>1575</v>
      </c>
      <c r="M41" s="36">
        <v>-0.11794</v>
      </c>
      <c r="N41" s="1"/>
      <c r="O41" s="7">
        <f t="shared" si="7"/>
        <v>5.7522123893805309E-2</v>
      </c>
      <c r="P41" s="7">
        <f t="shared" ca="1" si="8"/>
        <v>-1.0935764998822302E-4</v>
      </c>
      <c r="Q41" s="7" t="e">
        <f t="shared" ca="1" si="9"/>
        <v>#NAME?</v>
      </c>
      <c r="R41" s="33" t="e">
        <f t="shared" ca="1" si="10"/>
        <v>#NAME?</v>
      </c>
      <c r="S41" s="33" t="e">
        <f t="shared" ca="1" si="11"/>
        <v>#NAME?</v>
      </c>
      <c r="T41" s="7" t="e">
        <f t="shared" ca="1" si="12"/>
        <v>#NAME?</v>
      </c>
      <c r="U41" s="33">
        <f t="shared" si="13"/>
        <v>355950</v>
      </c>
    </row>
    <row r="42" spans="1:21" x14ac:dyDescent="0.25">
      <c r="A42" s="1"/>
      <c r="B42" s="25">
        <v>43496</v>
      </c>
      <c r="C42" s="10" t="s">
        <v>671</v>
      </c>
      <c r="D42" s="1">
        <v>348</v>
      </c>
      <c r="E42" s="30">
        <v>2750</v>
      </c>
      <c r="F42" s="1">
        <v>350</v>
      </c>
      <c r="G42" s="1">
        <v>16.45</v>
      </c>
      <c r="H42" s="1">
        <v>8250</v>
      </c>
      <c r="I42" s="1">
        <v>11000</v>
      </c>
      <c r="J42" s="1">
        <v>16.45</v>
      </c>
      <c r="K42" s="1">
        <v>17.3</v>
      </c>
      <c r="L42" s="1">
        <v>2750</v>
      </c>
      <c r="M42" s="36">
        <v>-8.3988999999999994E-2</v>
      </c>
      <c r="N42" s="1"/>
      <c r="O42" s="7">
        <f t="shared" si="7"/>
        <v>4.7270114942528731E-2</v>
      </c>
      <c r="P42" s="7">
        <f t="shared" ca="1" si="8"/>
        <v>-9.6273146522461771E-5</v>
      </c>
      <c r="Q42" s="7" t="e">
        <f t="shared" ca="1" si="9"/>
        <v>#NAME?</v>
      </c>
      <c r="R42" s="33" t="e">
        <f t="shared" ca="1" si="10"/>
        <v>#NAME?</v>
      </c>
      <c r="S42" s="33" t="e">
        <f t="shared" ca="1" si="11"/>
        <v>#NAME?</v>
      </c>
      <c r="T42" s="7" t="e">
        <f t="shared" ca="1" si="12"/>
        <v>#NAME?</v>
      </c>
      <c r="U42" s="33">
        <f t="shared" si="13"/>
        <v>957000</v>
      </c>
    </row>
    <row r="43" spans="1:21" x14ac:dyDescent="0.25">
      <c r="A43" s="1"/>
      <c r="B43" s="25">
        <v>43461</v>
      </c>
      <c r="C43" s="10" t="s">
        <v>21</v>
      </c>
      <c r="D43" s="1">
        <v>89.9</v>
      </c>
      <c r="E43" s="30">
        <v>6000</v>
      </c>
      <c r="F43" s="1">
        <v>90</v>
      </c>
      <c r="G43" s="1">
        <v>4.55</v>
      </c>
      <c r="H43" s="1">
        <v>546000</v>
      </c>
      <c r="I43" s="1">
        <v>6000</v>
      </c>
      <c r="J43" s="1">
        <v>4.45</v>
      </c>
      <c r="K43" s="1">
        <v>4.9000000000000004</v>
      </c>
      <c r="L43" s="1">
        <v>42000</v>
      </c>
      <c r="M43" s="36">
        <v>-0.10377599999999999</v>
      </c>
      <c r="N43" s="1"/>
      <c r="O43" s="7">
        <f t="shared" si="7"/>
        <v>5.0611790878754163E-2</v>
      </c>
      <c r="P43" s="7">
        <f t="shared" ca="1" si="8"/>
        <v>-9.6220134750483202E-5</v>
      </c>
      <c r="Q43" s="7" t="e">
        <f t="shared" ca="1" si="9"/>
        <v>#NAME?</v>
      </c>
      <c r="R43" s="33" t="e">
        <f t="shared" ca="1" si="10"/>
        <v>#NAME?</v>
      </c>
      <c r="S43" s="33" t="e">
        <f t="shared" ca="1" si="11"/>
        <v>#NAME?</v>
      </c>
      <c r="T43" s="7" t="e">
        <f t="shared" ca="1" si="12"/>
        <v>#NAME?</v>
      </c>
      <c r="U43" s="33">
        <f t="shared" si="13"/>
        <v>539400</v>
      </c>
    </row>
    <row r="44" spans="1:21" x14ac:dyDescent="0.25">
      <c r="A44" s="1"/>
      <c r="B44" s="25">
        <v>43461</v>
      </c>
      <c r="C44" s="10" t="s">
        <v>1554</v>
      </c>
      <c r="D44" s="1">
        <v>32.15</v>
      </c>
      <c r="E44" s="30">
        <v>9000</v>
      </c>
      <c r="F44" s="1">
        <v>32</v>
      </c>
      <c r="G44" s="1">
        <v>1.8</v>
      </c>
      <c r="H44" s="1">
        <v>18000</v>
      </c>
      <c r="I44" s="1">
        <v>9000</v>
      </c>
      <c r="J44" s="1">
        <v>1.35</v>
      </c>
      <c r="K44" s="1">
        <v>1.95</v>
      </c>
      <c r="L44" s="1">
        <v>36000</v>
      </c>
      <c r="M44" s="36">
        <v>-0.14246800000000001</v>
      </c>
      <c r="N44" s="1"/>
      <c r="O44" s="7">
        <f t="shared" si="7"/>
        <v>5.5987558320373255E-2</v>
      </c>
      <c r="P44" s="7">
        <f t="shared" ca="1" si="8"/>
        <v>-1.0644022494367538E-4</v>
      </c>
      <c r="Q44" s="7" t="e">
        <f t="shared" ca="1" si="9"/>
        <v>#NAME?</v>
      </c>
      <c r="R44" s="33" t="e">
        <f t="shared" ca="1" si="10"/>
        <v>#NAME?</v>
      </c>
      <c r="S44" s="33" t="e">
        <f t="shared" ca="1" si="11"/>
        <v>#NAME?</v>
      </c>
      <c r="T44" s="7" t="e">
        <f t="shared" ca="1" si="12"/>
        <v>#NAME?</v>
      </c>
      <c r="U44" s="33">
        <f t="shared" si="13"/>
        <v>289350</v>
      </c>
    </row>
    <row r="45" spans="1:21" x14ac:dyDescent="0.25">
      <c r="A45" s="1"/>
      <c r="B45" s="25">
        <v>43461</v>
      </c>
      <c r="C45" s="10" t="s">
        <v>238</v>
      </c>
      <c r="D45" s="1">
        <v>304.05</v>
      </c>
      <c r="E45" s="30">
        <v>1700</v>
      </c>
      <c r="F45" s="1">
        <v>310</v>
      </c>
      <c r="G45" s="1">
        <v>9.6999999999999993</v>
      </c>
      <c r="H45" s="1">
        <v>129200</v>
      </c>
      <c r="I45" s="1">
        <v>5100</v>
      </c>
      <c r="J45" s="1">
        <v>9.4499999999999993</v>
      </c>
      <c r="K45" s="1">
        <v>9.9499999999999993</v>
      </c>
      <c r="L45" s="1">
        <v>1700</v>
      </c>
      <c r="M45" s="36">
        <v>-0.11089300000000001</v>
      </c>
      <c r="N45" s="1"/>
      <c r="O45" s="7">
        <f t="shared" si="7"/>
        <v>3.1902647590856766E-2</v>
      </c>
      <c r="P45" s="7">
        <f t="shared" ca="1" si="8"/>
        <v>-6.0651421275393089E-5</v>
      </c>
      <c r="Q45" s="7" t="e">
        <f t="shared" ca="1" si="9"/>
        <v>#NAME?</v>
      </c>
      <c r="R45" s="33" t="e">
        <f t="shared" ca="1" si="10"/>
        <v>#NAME?</v>
      </c>
      <c r="S45" s="33" t="e">
        <f t="shared" ca="1" si="11"/>
        <v>#NAME?</v>
      </c>
      <c r="T45" s="7" t="e">
        <f t="shared" ca="1" si="12"/>
        <v>#NAME?</v>
      </c>
      <c r="U45" s="33">
        <f t="shared" si="13"/>
        <v>516885</v>
      </c>
    </row>
    <row r="46" spans="1:21" x14ac:dyDescent="0.25">
      <c r="A46" s="1"/>
      <c r="B46" s="25">
        <v>43461</v>
      </c>
      <c r="C46" s="10" t="s">
        <v>820</v>
      </c>
      <c r="D46" s="1">
        <v>440</v>
      </c>
      <c r="E46" s="30">
        <v>1000</v>
      </c>
      <c r="F46" s="1">
        <v>440</v>
      </c>
      <c r="G46" s="1">
        <v>22.25</v>
      </c>
      <c r="H46" s="1">
        <v>4000</v>
      </c>
      <c r="I46" s="1">
        <v>1000</v>
      </c>
      <c r="J46" s="1">
        <v>13.25</v>
      </c>
      <c r="K46" s="1">
        <v>19.2</v>
      </c>
      <c r="L46" s="1">
        <v>1000</v>
      </c>
      <c r="M46" s="36">
        <v>-0.12731900000000002</v>
      </c>
      <c r="N46" s="1"/>
      <c r="O46" s="7">
        <f t="shared" si="7"/>
        <v>5.0568181818181818E-2</v>
      </c>
      <c r="P46" s="7">
        <f t="shared" ca="1" si="8"/>
        <v>-9.613722779122019E-5</v>
      </c>
      <c r="Q46" s="7" t="e">
        <f t="shared" ca="1" si="9"/>
        <v>#NAME?</v>
      </c>
      <c r="R46" s="33" t="e">
        <f t="shared" ca="1" si="10"/>
        <v>#NAME?</v>
      </c>
      <c r="S46" s="33" t="e">
        <f t="shared" ca="1" si="11"/>
        <v>#NAME?</v>
      </c>
      <c r="T46" s="7" t="e">
        <f t="shared" ca="1" si="12"/>
        <v>#NAME?</v>
      </c>
      <c r="U46" s="33">
        <f t="shared" si="13"/>
        <v>440000</v>
      </c>
    </row>
    <row r="47" spans="1:21" x14ac:dyDescent="0.25">
      <c r="A47" s="1"/>
      <c r="B47" s="25">
        <v>43461</v>
      </c>
      <c r="C47" s="10" t="s">
        <v>687</v>
      </c>
      <c r="D47" s="1">
        <v>37.700000000000003</v>
      </c>
      <c r="E47" s="30">
        <v>13200</v>
      </c>
      <c r="F47" s="1">
        <v>38</v>
      </c>
      <c r="G47" s="1">
        <v>1.6</v>
      </c>
      <c r="H47" s="1">
        <v>118800</v>
      </c>
      <c r="I47" s="1">
        <v>52800</v>
      </c>
      <c r="J47" s="1">
        <v>1.55</v>
      </c>
      <c r="K47" s="1">
        <v>1.7</v>
      </c>
      <c r="L47" s="1">
        <v>13200</v>
      </c>
      <c r="M47" s="36">
        <v>-0.12365899999999999</v>
      </c>
      <c r="N47" s="1"/>
      <c r="O47" s="7">
        <f t="shared" si="7"/>
        <v>4.2440318302387266E-2</v>
      </c>
      <c r="P47" s="7">
        <f t="shared" ca="1" si="8"/>
        <v>-8.0685015784006213E-5</v>
      </c>
      <c r="Q47" s="7" t="e">
        <f t="shared" ca="1" si="9"/>
        <v>#NAME?</v>
      </c>
      <c r="R47" s="33" t="e">
        <f t="shared" ca="1" si="10"/>
        <v>#NAME?</v>
      </c>
      <c r="S47" s="33" t="e">
        <f t="shared" ca="1" si="11"/>
        <v>#NAME?</v>
      </c>
      <c r="T47" s="7" t="e">
        <f t="shared" ca="1" si="12"/>
        <v>#NAME?</v>
      </c>
      <c r="U47" s="33">
        <f t="shared" si="13"/>
        <v>497640.00000000006</v>
      </c>
    </row>
    <row r="48" spans="1:21" x14ac:dyDescent="0.25">
      <c r="A48" s="1"/>
      <c r="B48" s="25">
        <v>43461</v>
      </c>
      <c r="C48" s="10" t="s">
        <v>86</v>
      </c>
      <c r="D48" s="1">
        <v>44.8</v>
      </c>
      <c r="E48" s="30">
        <v>11000</v>
      </c>
      <c r="F48" s="1">
        <v>44</v>
      </c>
      <c r="G48" s="1">
        <v>3.05</v>
      </c>
      <c r="H48" s="1">
        <v>22000</v>
      </c>
      <c r="I48" s="1">
        <v>44000</v>
      </c>
      <c r="J48" s="1">
        <v>2.9</v>
      </c>
      <c r="K48" s="1">
        <v>3.35</v>
      </c>
      <c r="L48" s="1">
        <v>44000</v>
      </c>
      <c r="M48" s="36">
        <v>-0.13623099999999999</v>
      </c>
      <c r="N48" s="1"/>
      <c r="O48" s="7">
        <f t="shared" si="7"/>
        <v>6.8080357142857137E-2</v>
      </c>
      <c r="P48" s="7">
        <f t="shared" ca="1" si="8"/>
        <v>-1.2943033677349265E-4</v>
      </c>
      <c r="Q48" s="7" t="e">
        <f t="shared" ca="1" si="9"/>
        <v>#NAME?</v>
      </c>
      <c r="R48" s="33" t="e">
        <f t="shared" ca="1" si="10"/>
        <v>#NAME?</v>
      </c>
      <c r="S48" s="33" t="e">
        <f t="shared" ca="1" si="11"/>
        <v>#NAME?</v>
      </c>
      <c r="T48" s="7" t="e">
        <f t="shared" ca="1" si="12"/>
        <v>#NAME?</v>
      </c>
      <c r="U48" s="33">
        <f t="shared" si="13"/>
        <v>492799.99999999994</v>
      </c>
    </row>
    <row r="49" spans="1:21" x14ac:dyDescent="0.25">
      <c r="A49" s="1"/>
      <c r="B49" s="25">
        <v>43461</v>
      </c>
      <c r="C49" s="10" t="s">
        <v>1288</v>
      </c>
      <c r="D49" s="1">
        <v>103.1</v>
      </c>
      <c r="E49" s="30">
        <v>6000</v>
      </c>
      <c r="F49" s="1">
        <v>102.5</v>
      </c>
      <c r="G49" s="1">
        <v>5.75</v>
      </c>
      <c r="H49" s="1">
        <v>66000</v>
      </c>
      <c r="I49" s="1">
        <v>30000</v>
      </c>
      <c r="J49" s="1">
        <v>4.5</v>
      </c>
      <c r="K49" s="1">
        <v>6.1</v>
      </c>
      <c r="L49" s="1">
        <v>30000</v>
      </c>
      <c r="M49" s="36">
        <v>-0.10454000000000001</v>
      </c>
      <c r="N49" s="1"/>
      <c r="O49" s="7">
        <f t="shared" si="7"/>
        <v>5.5771096023278371E-2</v>
      </c>
      <c r="P49" s="7">
        <f t="shared" ca="1" si="8"/>
        <v>-1.0602869966402733E-4</v>
      </c>
      <c r="Q49" s="7" t="e">
        <f t="shared" ca="1" si="9"/>
        <v>#NAME?</v>
      </c>
      <c r="R49" s="33" t="e">
        <f t="shared" ca="1" si="10"/>
        <v>#NAME?</v>
      </c>
      <c r="S49" s="33" t="e">
        <f t="shared" ca="1" si="11"/>
        <v>#NAME?</v>
      </c>
      <c r="T49" s="7" t="e">
        <f t="shared" ca="1" si="12"/>
        <v>#NAME?</v>
      </c>
      <c r="U49" s="33">
        <f t="shared" si="13"/>
        <v>618600</v>
      </c>
    </row>
    <row r="50" spans="1:21" x14ac:dyDescent="0.25">
      <c r="A50" s="1"/>
      <c r="B50" s="25">
        <v>43461</v>
      </c>
      <c r="C50" s="10" t="s">
        <v>1283</v>
      </c>
      <c r="D50" s="1">
        <v>771</v>
      </c>
      <c r="E50" s="30">
        <v>800</v>
      </c>
      <c r="F50" s="1">
        <v>780</v>
      </c>
      <c r="G50" s="1">
        <v>29.4</v>
      </c>
      <c r="H50" s="1">
        <v>8000</v>
      </c>
      <c r="I50" s="1">
        <v>3200</v>
      </c>
      <c r="J50" s="1">
        <v>26.05</v>
      </c>
      <c r="K50" s="1">
        <v>29.9</v>
      </c>
      <c r="L50" s="1">
        <v>800</v>
      </c>
      <c r="M50" s="36">
        <v>-0.12607399999999999</v>
      </c>
      <c r="N50" s="1"/>
      <c r="O50" s="7">
        <f t="shared" si="7"/>
        <v>3.8132295719844354E-2</v>
      </c>
      <c r="P50" s="7">
        <f t="shared" ca="1" si="8"/>
        <v>-7.2494858782974056E-5</v>
      </c>
      <c r="Q50" s="7" t="e">
        <f t="shared" ca="1" si="9"/>
        <v>#NAME?</v>
      </c>
      <c r="R50" s="33" t="e">
        <f t="shared" ca="1" si="10"/>
        <v>#NAME?</v>
      </c>
      <c r="S50" s="33" t="e">
        <f t="shared" ca="1" si="11"/>
        <v>#NAME?</v>
      </c>
      <c r="T50" s="7" t="e">
        <f t="shared" ca="1" si="12"/>
        <v>#NAME?</v>
      </c>
      <c r="U50" s="33">
        <f t="shared" si="13"/>
        <v>616800</v>
      </c>
    </row>
    <row r="51" spans="1:21" x14ac:dyDescent="0.25">
      <c r="A51" s="1"/>
      <c r="B51" s="25">
        <v>43461</v>
      </c>
      <c r="C51" s="10" t="s">
        <v>9</v>
      </c>
      <c r="D51" s="1">
        <v>273.55</v>
      </c>
      <c r="E51" s="30">
        <v>1500</v>
      </c>
      <c r="F51" s="1">
        <v>275</v>
      </c>
      <c r="G51" s="1">
        <v>11.95</v>
      </c>
      <c r="H51" s="1">
        <v>4500</v>
      </c>
      <c r="I51" s="1">
        <v>1500</v>
      </c>
      <c r="J51" s="1">
        <v>10.5</v>
      </c>
      <c r="K51" s="1">
        <v>12.9</v>
      </c>
      <c r="L51" s="1">
        <v>15000</v>
      </c>
      <c r="M51" s="36">
        <v>-0.11564300000000001</v>
      </c>
      <c r="N51" s="1"/>
      <c r="O51" s="7">
        <f t="shared" si="7"/>
        <v>4.3684883933467367E-2</v>
      </c>
      <c r="P51" s="7">
        <f t="shared" ca="1" si="8"/>
        <v>-8.3051110139671798E-5</v>
      </c>
      <c r="Q51" s="7" t="e">
        <f t="shared" ca="1" si="9"/>
        <v>#NAME?</v>
      </c>
      <c r="R51" s="33" t="e">
        <f t="shared" ca="1" si="10"/>
        <v>#NAME?</v>
      </c>
      <c r="S51" s="33" t="e">
        <f t="shared" ca="1" si="11"/>
        <v>#NAME?</v>
      </c>
      <c r="T51" s="7" t="e">
        <f t="shared" ca="1" si="12"/>
        <v>#NAME?</v>
      </c>
      <c r="U51" s="33">
        <f t="shared" si="13"/>
        <v>410325</v>
      </c>
    </row>
    <row r="52" spans="1:21" x14ac:dyDescent="0.25">
      <c r="A52" s="1"/>
      <c r="B52" s="25">
        <v>43461</v>
      </c>
      <c r="C52" s="10" t="s">
        <v>204</v>
      </c>
      <c r="D52" s="1">
        <v>105.1</v>
      </c>
      <c r="E52" s="30">
        <v>4000</v>
      </c>
      <c r="F52" s="1">
        <v>105</v>
      </c>
      <c r="G52" s="1">
        <v>5.2</v>
      </c>
      <c r="H52" s="1">
        <v>596000</v>
      </c>
      <c r="I52" s="1">
        <v>8000</v>
      </c>
      <c r="J52" s="1">
        <v>5.15</v>
      </c>
      <c r="K52" s="1">
        <v>5.3</v>
      </c>
      <c r="L52" s="1">
        <v>4000</v>
      </c>
      <c r="M52" s="36">
        <v>-0.144706</v>
      </c>
      <c r="N52" s="1"/>
      <c r="O52" s="7">
        <f t="shared" si="7"/>
        <v>4.9476688867745013E-2</v>
      </c>
      <c r="P52" s="7">
        <f t="shared" ca="1" si="8"/>
        <v>-9.4062146136397357E-5</v>
      </c>
      <c r="Q52" s="7" t="e">
        <f t="shared" ca="1" si="9"/>
        <v>#NAME?</v>
      </c>
      <c r="R52" s="33" t="e">
        <f t="shared" ca="1" si="10"/>
        <v>#NAME?</v>
      </c>
      <c r="S52" s="33" t="e">
        <f t="shared" ca="1" si="11"/>
        <v>#NAME?</v>
      </c>
      <c r="T52" s="7" t="e">
        <f t="shared" ca="1" si="12"/>
        <v>#NAME?</v>
      </c>
      <c r="U52" s="33">
        <f t="shared" si="13"/>
        <v>420400</v>
      </c>
    </row>
    <row r="53" spans="1:21" x14ac:dyDescent="0.25">
      <c r="A53" s="1"/>
      <c r="B53" s="25">
        <v>43461</v>
      </c>
      <c r="C53" s="10" t="s">
        <v>912</v>
      </c>
      <c r="D53" s="1">
        <v>434.75</v>
      </c>
      <c r="E53" s="30">
        <v>1100</v>
      </c>
      <c r="F53" s="1">
        <v>440</v>
      </c>
      <c r="G53" s="1">
        <v>15.75</v>
      </c>
      <c r="H53" s="1">
        <v>91300</v>
      </c>
      <c r="I53" s="1">
        <v>1100</v>
      </c>
      <c r="J53" s="1">
        <v>15.05</v>
      </c>
      <c r="K53" s="1">
        <v>16.55</v>
      </c>
      <c r="L53" s="1">
        <v>6600</v>
      </c>
      <c r="M53" s="36">
        <v>-0.11378099999999999</v>
      </c>
      <c r="N53" s="1"/>
      <c r="O53" s="7">
        <f t="shared" si="7"/>
        <v>3.6227717078780912E-2</v>
      </c>
      <c r="P53" s="7">
        <f t="shared" ca="1" si="8"/>
        <v>-6.8873986841788804E-5</v>
      </c>
      <c r="Q53" s="7" t="e">
        <f t="shared" ca="1" si="9"/>
        <v>#NAME?</v>
      </c>
      <c r="R53" s="33" t="e">
        <f t="shared" ca="1" si="10"/>
        <v>#NAME?</v>
      </c>
      <c r="S53" s="33" t="e">
        <f t="shared" ca="1" si="11"/>
        <v>#NAME?</v>
      </c>
      <c r="T53" s="7" t="e">
        <f t="shared" ca="1" si="12"/>
        <v>#NAME?</v>
      </c>
      <c r="U53" s="33">
        <f t="shared" si="13"/>
        <v>478225</v>
      </c>
    </row>
    <row r="54" spans="1:21" x14ac:dyDescent="0.25">
      <c r="A54" s="1"/>
      <c r="B54" s="25">
        <v>43461</v>
      </c>
      <c r="C54" s="10" t="s">
        <v>878</v>
      </c>
      <c r="D54" s="1">
        <v>212.3</v>
      </c>
      <c r="E54" s="30">
        <v>2250</v>
      </c>
      <c r="F54" s="1">
        <v>215</v>
      </c>
      <c r="G54" s="1">
        <v>7.5</v>
      </c>
      <c r="H54" s="1">
        <v>9000</v>
      </c>
      <c r="I54" s="1">
        <v>27000</v>
      </c>
      <c r="J54" s="1">
        <v>6.35</v>
      </c>
      <c r="K54" s="1">
        <v>8.4</v>
      </c>
      <c r="L54" s="1">
        <v>27000</v>
      </c>
      <c r="M54" s="36">
        <v>-0.19646</v>
      </c>
      <c r="N54" s="1"/>
      <c r="O54" s="7">
        <f t="shared" si="7"/>
        <v>3.5327366933584549E-2</v>
      </c>
      <c r="P54" s="7">
        <f t="shared" ca="1" si="8"/>
        <v>-6.7162294550540973E-5</v>
      </c>
      <c r="Q54" s="7" t="e">
        <f t="shared" ca="1" si="9"/>
        <v>#NAME?</v>
      </c>
      <c r="R54" s="33" t="e">
        <f t="shared" ca="1" si="10"/>
        <v>#NAME?</v>
      </c>
      <c r="S54" s="33" t="e">
        <f t="shared" ca="1" si="11"/>
        <v>#NAME?</v>
      </c>
      <c r="T54" s="7" t="e">
        <f t="shared" ca="1" si="12"/>
        <v>#NAME?</v>
      </c>
      <c r="U54" s="33">
        <f t="shared" si="13"/>
        <v>477675</v>
      </c>
    </row>
    <row r="55" spans="1:21" x14ac:dyDescent="0.25">
      <c r="A55" s="1"/>
      <c r="B55" s="25">
        <v>43461</v>
      </c>
      <c r="C55" s="10" t="s">
        <v>1750</v>
      </c>
      <c r="D55" s="1">
        <v>502</v>
      </c>
      <c r="E55" s="30">
        <v>900</v>
      </c>
      <c r="F55" s="1">
        <v>520</v>
      </c>
      <c r="G55" s="1">
        <v>21.5</v>
      </c>
      <c r="H55" s="1">
        <v>15300</v>
      </c>
      <c r="I55" s="1">
        <v>900</v>
      </c>
      <c r="J55" s="1">
        <v>21</v>
      </c>
      <c r="K55" s="1">
        <v>22.35</v>
      </c>
      <c r="L55" s="1">
        <v>1800</v>
      </c>
      <c r="M55" s="36">
        <v>-0.13117899999999999</v>
      </c>
      <c r="N55" s="1"/>
      <c r="O55" s="7">
        <f t="shared" si="7"/>
        <v>4.282868525896414E-2</v>
      </c>
      <c r="P55" s="7">
        <f t="shared" ca="1" si="8"/>
        <v>-8.1423356005635246E-5</v>
      </c>
      <c r="Q55" s="7" t="e">
        <f t="shared" ca="1" si="9"/>
        <v>#NAME?</v>
      </c>
      <c r="R55" s="33" t="e">
        <f t="shared" ca="1" si="10"/>
        <v>#NAME?</v>
      </c>
      <c r="S55" s="33" t="e">
        <f t="shared" ca="1" si="11"/>
        <v>#NAME?</v>
      </c>
      <c r="T55" s="7" t="e">
        <f t="shared" ca="1" si="12"/>
        <v>#NAME?</v>
      </c>
      <c r="U55" s="33">
        <f t="shared" si="13"/>
        <v>451800</v>
      </c>
    </row>
    <row r="56" spans="1:21" x14ac:dyDescent="0.25">
      <c r="A56" s="1"/>
      <c r="B56" s="25">
        <v>43461</v>
      </c>
      <c r="C56" s="10" t="s">
        <v>247</v>
      </c>
      <c r="D56" s="1">
        <v>604</v>
      </c>
      <c r="E56" s="30">
        <v>900</v>
      </c>
      <c r="F56" s="1">
        <v>610</v>
      </c>
      <c r="G56" s="1">
        <v>22.85</v>
      </c>
      <c r="H56" s="1">
        <v>28800</v>
      </c>
      <c r="I56" s="1">
        <v>900</v>
      </c>
      <c r="J56" s="1">
        <v>21</v>
      </c>
      <c r="K56" s="1">
        <v>23</v>
      </c>
      <c r="L56" s="1">
        <v>900</v>
      </c>
      <c r="M56" s="36">
        <v>-4.8222000000000001E-2</v>
      </c>
      <c r="N56" s="1"/>
      <c r="O56" s="7">
        <f t="shared" si="7"/>
        <v>3.7831125827814574E-2</v>
      </c>
      <c r="P56" s="7">
        <f t="shared" ca="1" si="8"/>
        <v>-7.1922292448316682E-5</v>
      </c>
      <c r="Q56" s="7" t="e">
        <f t="shared" ca="1" si="9"/>
        <v>#NAME?</v>
      </c>
      <c r="R56" s="33" t="e">
        <f t="shared" ca="1" si="10"/>
        <v>#NAME?</v>
      </c>
      <c r="S56" s="33" t="e">
        <f t="shared" ca="1" si="11"/>
        <v>#NAME?</v>
      </c>
      <c r="T56" s="7" t="e">
        <f t="shared" ca="1" si="12"/>
        <v>#NAME?</v>
      </c>
      <c r="U56" s="33">
        <f t="shared" si="13"/>
        <v>543600</v>
      </c>
    </row>
    <row r="57" spans="1:21" x14ac:dyDescent="0.25">
      <c r="A57" s="1"/>
      <c r="B57" s="25">
        <v>43461</v>
      </c>
      <c r="C57" s="10" t="s">
        <v>1106</v>
      </c>
      <c r="D57" s="1">
        <v>1078</v>
      </c>
      <c r="E57" s="30">
        <v>750</v>
      </c>
      <c r="F57" s="1">
        <v>1080</v>
      </c>
      <c r="G57" s="1">
        <v>48.45</v>
      </c>
      <c r="H57" s="1">
        <v>2250</v>
      </c>
      <c r="I57" s="1">
        <v>6750</v>
      </c>
      <c r="J57" s="1">
        <v>43.3</v>
      </c>
      <c r="K57" s="1">
        <v>48.8</v>
      </c>
      <c r="L57" s="1">
        <v>1500</v>
      </c>
      <c r="M57" s="36">
        <v>-7.8855999999999996E-2</v>
      </c>
      <c r="N57" s="1"/>
      <c r="O57" s="7">
        <f t="shared" si="7"/>
        <v>4.4944341372912804E-2</v>
      </c>
      <c r="P57" s="7">
        <f t="shared" ca="1" si="8"/>
        <v>-8.5445515918085183E-5</v>
      </c>
      <c r="Q57" s="7" t="e">
        <f t="shared" ca="1" si="9"/>
        <v>#NAME?</v>
      </c>
      <c r="R57" s="33" t="e">
        <f t="shared" ca="1" si="10"/>
        <v>#NAME?</v>
      </c>
      <c r="S57" s="33" t="e">
        <f t="shared" ca="1" si="11"/>
        <v>#NAME?</v>
      </c>
      <c r="T57" s="7" t="e">
        <f t="shared" ca="1" si="12"/>
        <v>#NAME?</v>
      </c>
      <c r="U57" s="33">
        <f t="shared" si="13"/>
        <v>808500</v>
      </c>
    </row>
    <row r="58" spans="1:21" x14ac:dyDescent="0.25">
      <c r="A58" s="1"/>
      <c r="B58" s="25">
        <v>43461</v>
      </c>
      <c r="C58" s="10" t="s">
        <v>126</v>
      </c>
      <c r="D58" s="1">
        <v>1194.6500000000001</v>
      </c>
      <c r="E58" s="30">
        <v>500</v>
      </c>
      <c r="F58" s="1">
        <v>1200</v>
      </c>
      <c r="G58" s="1">
        <v>49.65</v>
      </c>
      <c r="H58" s="1">
        <v>2000</v>
      </c>
      <c r="I58" s="1">
        <v>8500</v>
      </c>
      <c r="J58" s="1">
        <v>42.2</v>
      </c>
      <c r="K58" s="1">
        <v>48</v>
      </c>
      <c r="L58" s="1">
        <v>500</v>
      </c>
      <c r="M58" s="36">
        <v>-6.5530999999999992E-2</v>
      </c>
      <c r="N58" s="1"/>
      <c r="O58" s="7">
        <f t="shared" si="7"/>
        <v>4.1560289624576231E-2</v>
      </c>
      <c r="P58" s="7">
        <f t="shared" ca="1" si="8"/>
        <v>-7.9011957461171538E-5</v>
      </c>
      <c r="Q58" s="7" t="e">
        <f t="shared" ca="1" si="9"/>
        <v>#NAME?</v>
      </c>
      <c r="R58" s="33" t="e">
        <f t="shared" ca="1" si="10"/>
        <v>#NAME?</v>
      </c>
      <c r="S58" s="33" t="e">
        <f t="shared" ca="1" si="11"/>
        <v>#NAME?</v>
      </c>
      <c r="T58" s="7" t="e">
        <f t="shared" ca="1" si="12"/>
        <v>#NAME?</v>
      </c>
      <c r="U58" s="33">
        <f t="shared" si="13"/>
        <v>597325</v>
      </c>
    </row>
    <row r="59" spans="1:21" x14ac:dyDescent="0.25">
      <c r="A59" s="1"/>
      <c r="B59" s="25">
        <v>43461</v>
      </c>
      <c r="C59" s="10" t="s">
        <v>14</v>
      </c>
      <c r="D59" s="1">
        <v>131</v>
      </c>
      <c r="E59" s="30">
        <v>3000</v>
      </c>
      <c r="F59" s="1">
        <v>132.5</v>
      </c>
      <c r="G59" s="1">
        <v>4.5</v>
      </c>
      <c r="H59" s="1">
        <v>168000</v>
      </c>
      <c r="I59" s="1">
        <v>3000</v>
      </c>
      <c r="J59" s="1">
        <v>4.45</v>
      </c>
      <c r="K59" s="1">
        <v>4.7</v>
      </c>
      <c r="L59" s="1">
        <v>3000</v>
      </c>
      <c r="M59" s="36">
        <v>-7.3000999999999996E-2</v>
      </c>
      <c r="N59" s="1"/>
      <c r="O59" s="7">
        <f t="shared" si="7"/>
        <v>3.4351145038167941E-2</v>
      </c>
      <c r="P59" s="7">
        <f t="shared" ca="1" si="8"/>
        <v>-6.5306359388151984E-5</v>
      </c>
      <c r="Q59" s="7" t="e">
        <f t="shared" ca="1" si="9"/>
        <v>#NAME?</v>
      </c>
      <c r="R59" s="33" t="e">
        <f t="shared" ca="1" si="10"/>
        <v>#NAME?</v>
      </c>
      <c r="S59" s="33" t="e">
        <f t="shared" ca="1" si="11"/>
        <v>#NAME?</v>
      </c>
      <c r="T59" s="7" t="e">
        <f t="shared" ca="1" si="12"/>
        <v>#NAME?</v>
      </c>
      <c r="U59" s="33">
        <f t="shared" si="13"/>
        <v>393000</v>
      </c>
    </row>
    <row r="60" spans="1:21" x14ac:dyDescent="0.25">
      <c r="A60" s="1"/>
      <c r="B60" s="25">
        <v>43461</v>
      </c>
      <c r="C60" s="10" t="s">
        <v>478</v>
      </c>
      <c r="D60" s="1">
        <v>84.35</v>
      </c>
      <c r="E60" s="30">
        <v>5500</v>
      </c>
      <c r="F60" s="1">
        <v>85</v>
      </c>
      <c r="G60" s="1">
        <v>3.2</v>
      </c>
      <c r="H60" s="1">
        <v>1314500</v>
      </c>
      <c r="I60" s="1">
        <v>16500</v>
      </c>
      <c r="J60" s="1">
        <v>3.15</v>
      </c>
      <c r="K60" s="1">
        <v>3.2</v>
      </c>
      <c r="L60" s="1">
        <v>5500</v>
      </c>
      <c r="M60" s="36">
        <v>-0.10274800000000001</v>
      </c>
      <c r="N60" s="1"/>
      <c r="O60" s="7">
        <f t="shared" si="7"/>
        <v>3.7937166567871966E-2</v>
      </c>
      <c r="P60" s="7">
        <f t="shared" ca="1" si="8"/>
        <v>-7.2123890813444806E-5</v>
      </c>
      <c r="Q60" s="7" t="e">
        <f t="shared" ca="1" si="9"/>
        <v>#NAME?</v>
      </c>
      <c r="R60" s="33" t="e">
        <f t="shared" ca="1" si="10"/>
        <v>#NAME?</v>
      </c>
      <c r="S60" s="33" t="e">
        <f t="shared" ca="1" si="11"/>
        <v>#NAME?</v>
      </c>
      <c r="T60" s="7" t="e">
        <f t="shared" ca="1" si="12"/>
        <v>#NAME?</v>
      </c>
      <c r="U60" s="33">
        <f t="shared" si="13"/>
        <v>463924.99999999994</v>
      </c>
    </row>
    <row r="61" spans="1:21" x14ac:dyDescent="0.25">
      <c r="A61" s="1"/>
      <c r="B61" s="25">
        <v>43461</v>
      </c>
      <c r="C61" s="10" t="s">
        <v>1649</v>
      </c>
      <c r="D61" s="1">
        <v>532</v>
      </c>
      <c r="E61" s="30">
        <v>1000</v>
      </c>
      <c r="F61" s="1">
        <v>540</v>
      </c>
      <c r="G61" s="1">
        <v>16</v>
      </c>
      <c r="H61" s="1">
        <v>19000</v>
      </c>
      <c r="I61" s="1">
        <v>2000</v>
      </c>
      <c r="J61" s="1">
        <v>14.4</v>
      </c>
      <c r="K61" s="1">
        <v>17.8</v>
      </c>
      <c r="L61" s="1">
        <v>6000</v>
      </c>
      <c r="M61" s="36">
        <v>-7.9929E-2</v>
      </c>
      <c r="N61" s="1"/>
      <c r="O61" s="7">
        <f t="shared" si="7"/>
        <v>3.007518796992481E-2</v>
      </c>
      <c r="P61" s="7">
        <f t="shared" ca="1" si="8"/>
        <v>-5.717716344092169E-5</v>
      </c>
      <c r="Q61" s="7" t="e">
        <f t="shared" ca="1" si="9"/>
        <v>#NAME?</v>
      </c>
      <c r="R61" s="33" t="e">
        <f t="shared" ca="1" si="10"/>
        <v>#NAME?</v>
      </c>
      <c r="S61" s="33" t="e">
        <f t="shared" ca="1" si="11"/>
        <v>#NAME?</v>
      </c>
      <c r="T61" s="7" t="e">
        <f t="shared" ca="1" si="12"/>
        <v>#NAME?</v>
      </c>
      <c r="U61" s="33">
        <f t="shared" si="13"/>
        <v>532000</v>
      </c>
    </row>
    <row r="62" spans="1:21" x14ac:dyDescent="0.25">
      <c r="A62" s="1"/>
      <c r="B62" s="25">
        <v>43461</v>
      </c>
      <c r="C62" s="10" t="s">
        <v>539</v>
      </c>
      <c r="D62" s="1">
        <v>625.54999999999995</v>
      </c>
      <c r="E62" s="30">
        <v>1000</v>
      </c>
      <c r="F62" s="1">
        <v>630</v>
      </c>
      <c r="G62" s="1">
        <v>23.55</v>
      </c>
      <c r="H62" s="1">
        <v>28000</v>
      </c>
      <c r="I62" s="1">
        <v>1000</v>
      </c>
      <c r="J62" s="1">
        <v>22.6</v>
      </c>
      <c r="K62" s="1">
        <v>24.8</v>
      </c>
      <c r="L62" s="1">
        <v>15000</v>
      </c>
      <c r="M62" s="36">
        <v>-7.3280999999999999E-2</v>
      </c>
      <c r="N62" s="1"/>
      <c r="O62" s="7">
        <f t="shared" si="7"/>
        <v>3.7646870753736718E-2</v>
      </c>
      <c r="P62" s="7">
        <f t="shared" ca="1" si="8"/>
        <v>-7.1571997630678164E-5</v>
      </c>
      <c r="Q62" s="7" t="e">
        <f t="shared" ca="1" si="9"/>
        <v>#NAME?</v>
      </c>
      <c r="R62" s="33" t="e">
        <f t="shared" ca="1" si="10"/>
        <v>#NAME?</v>
      </c>
      <c r="S62" s="33" t="e">
        <f t="shared" ca="1" si="11"/>
        <v>#NAME?</v>
      </c>
      <c r="T62" s="7" t="e">
        <f t="shared" ca="1" si="12"/>
        <v>#NAME?</v>
      </c>
      <c r="U62" s="33">
        <f t="shared" si="13"/>
        <v>625550</v>
      </c>
    </row>
    <row r="63" spans="1:21" x14ac:dyDescent="0.25">
      <c r="A63" s="1"/>
      <c r="B63" s="25">
        <v>43461</v>
      </c>
      <c r="C63" s="10" t="s">
        <v>313</v>
      </c>
      <c r="D63" s="1">
        <v>850.05</v>
      </c>
      <c r="E63" s="30">
        <v>550</v>
      </c>
      <c r="F63" s="1">
        <v>840</v>
      </c>
      <c r="G63" s="1">
        <v>48</v>
      </c>
      <c r="H63" s="1">
        <v>1100</v>
      </c>
      <c r="I63" s="1">
        <v>1650</v>
      </c>
      <c r="J63" s="1">
        <v>42.55</v>
      </c>
      <c r="K63" s="1">
        <v>45.4</v>
      </c>
      <c r="L63" s="1">
        <v>2200</v>
      </c>
      <c r="M63" s="36">
        <v>-0.134881</v>
      </c>
      <c r="N63" s="1"/>
      <c r="O63" s="7">
        <f t="shared" si="7"/>
        <v>5.6467266631374628E-2</v>
      </c>
      <c r="P63" s="7">
        <f t="shared" ca="1" si="8"/>
        <v>-1.0735221793037001E-4</v>
      </c>
      <c r="Q63" s="7" t="e">
        <f t="shared" ca="1" si="9"/>
        <v>#NAME?</v>
      </c>
      <c r="R63" s="33" t="e">
        <f t="shared" ca="1" si="10"/>
        <v>#NAME?</v>
      </c>
      <c r="S63" s="33" t="e">
        <f t="shared" ca="1" si="11"/>
        <v>#NAME?</v>
      </c>
      <c r="T63" s="7" t="e">
        <f t="shared" ca="1" si="12"/>
        <v>#NAME?</v>
      </c>
      <c r="U63" s="33">
        <f t="shared" si="13"/>
        <v>467527.5</v>
      </c>
    </row>
    <row r="64" spans="1:21" x14ac:dyDescent="0.25">
      <c r="A64" s="1"/>
      <c r="B64" s="25">
        <v>43461</v>
      </c>
      <c r="C64" s="10" t="s">
        <v>103</v>
      </c>
      <c r="D64" s="1">
        <v>207.15</v>
      </c>
      <c r="E64" s="30">
        <v>2500</v>
      </c>
      <c r="F64" s="1">
        <v>210</v>
      </c>
      <c r="G64" s="1">
        <v>6.3</v>
      </c>
      <c r="H64" s="1">
        <v>25000</v>
      </c>
      <c r="I64" s="1">
        <v>5000</v>
      </c>
      <c r="J64" s="1">
        <v>6.1</v>
      </c>
      <c r="K64" s="1">
        <v>6.4</v>
      </c>
      <c r="L64" s="1">
        <v>5000</v>
      </c>
      <c r="M64" s="36">
        <v>-8.1573000000000007E-2</v>
      </c>
      <c r="N64" s="1"/>
      <c r="O64" s="7">
        <f t="shared" si="7"/>
        <v>3.0412744388124545E-2</v>
      </c>
      <c r="P64" s="7">
        <f t="shared" ca="1" si="8"/>
        <v>-5.7818905680845141E-5</v>
      </c>
      <c r="Q64" s="7" t="e">
        <f t="shared" ca="1" si="9"/>
        <v>#NAME?</v>
      </c>
      <c r="R64" s="33" t="e">
        <f t="shared" ca="1" si="10"/>
        <v>#NAME?</v>
      </c>
      <c r="S64" s="33" t="e">
        <f t="shared" ca="1" si="11"/>
        <v>#NAME?</v>
      </c>
      <c r="T64" s="7" t="e">
        <f t="shared" ca="1" si="12"/>
        <v>#NAME?</v>
      </c>
      <c r="U64" s="33">
        <f t="shared" si="13"/>
        <v>517875</v>
      </c>
    </row>
    <row r="65" spans="1:21" x14ac:dyDescent="0.25">
      <c r="A65" s="1"/>
      <c r="B65" s="25">
        <v>43461</v>
      </c>
      <c r="C65" s="10" t="s">
        <v>1106</v>
      </c>
      <c r="D65" s="1">
        <v>1078</v>
      </c>
      <c r="E65" s="30">
        <v>750</v>
      </c>
      <c r="F65" s="1">
        <v>1060</v>
      </c>
      <c r="G65" s="1">
        <v>65.45</v>
      </c>
      <c r="H65" s="1">
        <v>5250</v>
      </c>
      <c r="I65" s="1">
        <v>750</v>
      </c>
      <c r="J65" s="1">
        <v>31.1</v>
      </c>
      <c r="K65" s="1">
        <v>62.2</v>
      </c>
      <c r="L65" s="1">
        <v>12000</v>
      </c>
      <c r="M65" s="36">
        <v>-7.8855999999999996E-2</v>
      </c>
      <c r="N65" s="1"/>
      <c r="O65" s="7">
        <f t="shared" si="7"/>
        <v>6.0714285714285714E-2</v>
      </c>
      <c r="P65" s="7">
        <f t="shared" ca="1" si="8"/>
        <v>-1.1542639869636068E-4</v>
      </c>
      <c r="Q65" s="7" t="e">
        <f t="shared" ca="1" si="9"/>
        <v>#NAME?</v>
      </c>
      <c r="R65" s="33" t="e">
        <f t="shared" ca="1" si="10"/>
        <v>#NAME?</v>
      </c>
      <c r="S65" s="33" t="e">
        <f t="shared" ca="1" si="11"/>
        <v>#NAME?</v>
      </c>
      <c r="T65" s="7" t="e">
        <f t="shared" ca="1" si="12"/>
        <v>#NAME?</v>
      </c>
      <c r="U65" s="33">
        <f t="shared" si="13"/>
        <v>808500</v>
      </c>
    </row>
    <row r="66" spans="1:21" x14ac:dyDescent="0.25">
      <c r="A66" s="1"/>
      <c r="B66" s="25">
        <v>43461</v>
      </c>
      <c r="C66" s="10" t="s">
        <v>1210</v>
      </c>
      <c r="D66" s="1">
        <v>66</v>
      </c>
      <c r="E66" s="30">
        <v>5500</v>
      </c>
      <c r="F66" s="1">
        <v>65</v>
      </c>
      <c r="G66" s="1">
        <v>3.9</v>
      </c>
      <c r="H66" s="1">
        <v>352000</v>
      </c>
      <c r="I66" s="1">
        <v>11000</v>
      </c>
      <c r="J66" s="1">
        <v>3.8</v>
      </c>
      <c r="K66" s="1">
        <v>4.05</v>
      </c>
      <c r="L66" s="1">
        <v>5500</v>
      </c>
      <c r="M66" s="36">
        <v>-0.184474</v>
      </c>
      <c r="N66" s="1"/>
      <c r="O66" s="7">
        <f t="shared" si="7"/>
        <v>5.909090909090909E-2</v>
      </c>
      <c r="P66" s="7">
        <f t="shared" ca="1" si="8"/>
        <v>-1.1234013135153819E-4</v>
      </c>
      <c r="Q66" s="7" t="e">
        <f t="shared" ca="1" si="9"/>
        <v>#NAME?</v>
      </c>
      <c r="R66" s="33" t="e">
        <f t="shared" ca="1" si="10"/>
        <v>#NAME?</v>
      </c>
      <c r="S66" s="33" t="e">
        <f t="shared" ca="1" si="11"/>
        <v>#NAME?</v>
      </c>
      <c r="T66" s="7" t="e">
        <f t="shared" ca="1" si="12"/>
        <v>#NAME?</v>
      </c>
      <c r="U66" s="33">
        <f t="shared" si="13"/>
        <v>363000</v>
      </c>
    </row>
    <row r="67" spans="1:21" x14ac:dyDescent="0.25">
      <c r="A67" s="1"/>
      <c r="B67" s="25">
        <v>43461</v>
      </c>
      <c r="C67" s="10" t="s">
        <v>44</v>
      </c>
      <c r="D67" s="1">
        <v>1417.95</v>
      </c>
      <c r="E67" s="30">
        <v>400</v>
      </c>
      <c r="F67" s="1">
        <v>1400</v>
      </c>
      <c r="G67" s="1">
        <v>80</v>
      </c>
      <c r="H67" s="1">
        <v>3600</v>
      </c>
      <c r="I67" s="1">
        <v>400</v>
      </c>
      <c r="J67" s="1">
        <v>10</v>
      </c>
      <c r="K67" s="1">
        <v>90.95</v>
      </c>
      <c r="L67" s="1">
        <v>400</v>
      </c>
      <c r="M67" s="36">
        <v>-8.2331000000000001E-2</v>
      </c>
      <c r="N67" s="1"/>
      <c r="O67" s="7">
        <f t="shared" si="7"/>
        <v>5.6419478825064352E-2</v>
      </c>
      <c r="P67" s="7">
        <f t="shared" ca="1" si="8"/>
        <v>-1.0726136658757482E-4</v>
      </c>
      <c r="Q67" s="7" t="e">
        <f t="shared" ca="1" si="9"/>
        <v>#NAME?</v>
      </c>
      <c r="R67" s="33" t="e">
        <f t="shared" ca="1" si="10"/>
        <v>#NAME?</v>
      </c>
      <c r="S67" s="33" t="e">
        <f t="shared" ca="1" si="11"/>
        <v>#NAME?</v>
      </c>
      <c r="T67" s="7" t="e">
        <f t="shared" ca="1" si="12"/>
        <v>#NAME?</v>
      </c>
      <c r="U67" s="33">
        <f t="shared" si="13"/>
        <v>567180</v>
      </c>
    </row>
    <row r="68" spans="1:21" x14ac:dyDescent="0.25">
      <c r="A68" s="1"/>
      <c r="B68" s="25">
        <v>43461</v>
      </c>
      <c r="C68" s="10" t="s">
        <v>1654</v>
      </c>
      <c r="D68" s="1">
        <v>1229</v>
      </c>
      <c r="E68" s="30">
        <v>700</v>
      </c>
      <c r="F68" s="1">
        <v>1240</v>
      </c>
      <c r="G68" s="1">
        <v>42.7</v>
      </c>
      <c r="H68" s="1">
        <v>16100</v>
      </c>
      <c r="I68" s="1">
        <v>700</v>
      </c>
      <c r="J68" s="1">
        <v>42.7</v>
      </c>
      <c r="K68" s="1">
        <v>45.65</v>
      </c>
      <c r="L68" s="1">
        <v>700</v>
      </c>
      <c r="M68" s="36">
        <v>-8.8280999999999998E-2</v>
      </c>
      <c r="N68" s="1"/>
      <c r="O68" s="7">
        <f t="shared" ref="O68:O99" si="14">G68/D68</f>
        <v>3.4743694060211557E-2</v>
      </c>
      <c r="P68" s="7">
        <f t="shared" ref="P68:P99" ca="1" si="15">O68/(B68-TODAY())</f>
        <v>-6.6052650304584715E-5</v>
      </c>
      <c r="Q68" s="7" t="e">
        <f t="shared" ref="Q68:Q99" ca="1" si="16">R68/D68-1</f>
        <v>#NAME?</v>
      </c>
      <c r="R68" s="33" t="e">
        <f t="shared" ref="R68:R99" ca="1" si="17">mrigxl_stockquote(C68)</f>
        <v>#NAME?</v>
      </c>
      <c r="S68" s="33" t="e">
        <f t="shared" ref="S68:S99" ca="1" si="18">(MIN(F68,R68)-D68+G68)*E68</f>
        <v>#NAME?</v>
      </c>
      <c r="T68" s="7" t="e">
        <f t="shared" ref="T68:T99" ca="1" si="19">S68/U68</f>
        <v>#NAME?</v>
      </c>
      <c r="U68" s="33">
        <f t="shared" ref="U68:U99" si="20">E68*D68</f>
        <v>860300</v>
      </c>
    </row>
    <row r="69" spans="1:21" x14ac:dyDescent="0.25">
      <c r="A69" s="1"/>
      <c r="B69" s="25">
        <v>43461</v>
      </c>
      <c r="C69" s="10" t="s">
        <v>1327</v>
      </c>
      <c r="D69" s="1">
        <v>27.65</v>
      </c>
      <c r="E69" s="30">
        <v>13000</v>
      </c>
      <c r="F69" s="1">
        <v>29</v>
      </c>
      <c r="G69" s="1">
        <v>1.2</v>
      </c>
      <c r="H69" s="1">
        <v>130000</v>
      </c>
      <c r="I69" s="1">
        <v>13000</v>
      </c>
      <c r="J69" s="1">
        <v>1.1499999999999999</v>
      </c>
      <c r="K69" s="1">
        <v>1.2</v>
      </c>
      <c r="L69" s="1">
        <v>26000</v>
      </c>
      <c r="M69" s="36">
        <v>-0.12981099999999998</v>
      </c>
      <c r="N69" s="1"/>
      <c r="O69" s="7">
        <f t="shared" si="14"/>
        <v>4.3399638336347197E-2</v>
      </c>
      <c r="P69" s="7">
        <f t="shared" ca="1" si="15"/>
        <v>-8.2508818129937634E-5</v>
      </c>
      <c r="Q69" s="7" t="e">
        <f t="shared" ca="1" si="16"/>
        <v>#NAME?</v>
      </c>
      <c r="R69" s="33" t="e">
        <f t="shared" ca="1" si="17"/>
        <v>#NAME?</v>
      </c>
      <c r="S69" s="33" t="e">
        <f t="shared" ca="1" si="18"/>
        <v>#NAME?</v>
      </c>
      <c r="T69" s="7" t="e">
        <f t="shared" ca="1" si="19"/>
        <v>#NAME?</v>
      </c>
      <c r="U69" s="33">
        <f t="shared" si="20"/>
        <v>359450</v>
      </c>
    </row>
    <row r="70" spans="1:21" x14ac:dyDescent="0.25">
      <c r="A70" s="1"/>
      <c r="B70" s="25">
        <v>43461</v>
      </c>
      <c r="C70" s="10" t="s">
        <v>696</v>
      </c>
      <c r="D70" s="1">
        <v>252.7</v>
      </c>
      <c r="E70" s="30">
        <v>2750</v>
      </c>
      <c r="F70" s="1">
        <v>255</v>
      </c>
      <c r="G70" s="1">
        <v>8.6</v>
      </c>
      <c r="H70" s="1">
        <v>16500</v>
      </c>
      <c r="I70" s="1">
        <v>5500</v>
      </c>
      <c r="J70" s="1">
        <v>8.5500000000000007</v>
      </c>
      <c r="K70" s="1">
        <v>9.5</v>
      </c>
      <c r="L70" s="1">
        <v>2750</v>
      </c>
      <c r="M70" s="36">
        <v>-7.5734999999999997E-2</v>
      </c>
      <c r="N70" s="1"/>
      <c r="O70" s="7">
        <f t="shared" si="14"/>
        <v>3.4032449544914918E-2</v>
      </c>
      <c r="P70" s="7">
        <f t="shared" ca="1" si="15"/>
        <v>-6.470047441999034E-5</v>
      </c>
      <c r="Q70" s="7" t="e">
        <f t="shared" ca="1" si="16"/>
        <v>#NAME?</v>
      </c>
      <c r="R70" s="33" t="e">
        <f t="shared" ca="1" si="17"/>
        <v>#NAME?</v>
      </c>
      <c r="S70" s="33" t="e">
        <f t="shared" ca="1" si="18"/>
        <v>#NAME?</v>
      </c>
      <c r="T70" s="7" t="e">
        <f t="shared" ca="1" si="19"/>
        <v>#NAME?</v>
      </c>
      <c r="U70" s="33">
        <f t="shared" si="20"/>
        <v>694925</v>
      </c>
    </row>
    <row r="71" spans="1:21" x14ac:dyDescent="0.25">
      <c r="A71" s="1"/>
      <c r="B71" s="25">
        <v>43461</v>
      </c>
      <c r="C71" s="10" t="s">
        <v>1037</v>
      </c>
      <c r="D71" s="1">
        <v>157.1</v>
      </c>
      <c r="E71" s="30">
        <v>2400</v>
      </c>
      <c r="F71" s="1">
        <v>155</v>
      </c>
      <c r="G71" s="1">
        <v>8.8000000000000007</v>
      </c>
      <c r="H71" s="1">
        <v>36000</v>
      </c>
      <c r="I71" s="1">
        <v>2400</v>
      </c>
      <c r="J71" s="1">
        <v>7.9</v>
      </c>
      <c r="K71" s="1">
        <v>9.1</v>
      </c>
      <c r="L71" s="1">
        <v>2400</v>
      </c>
      <c r="M71" s="36">
        <v>-0.11587500000000001</v>
      </c>
      <c r="N71" s="1"/>
      <c r="O71" s="7">
        <f t="shared" si="14"/>
        <v>5.6015276893698285E-2</v>
      </c>
      <c r="P71" s="7">
        <f t="shared" ca="1" si="15"/>
        <v>-1.0649292185113743E-4</v>
      </c>
      <c r="Q71" s="7" t="e">
        <f t="shared" ca="1" si="16"/>
        <v>#NAME?</v>
      </c>
      <c r="R71" s="33" t="e">
        <f t="shared" ca="1" si="17"/>
        <v>#NAME?</v>
      </c>
      <c r="S71" s="33" t="e">
        <f t="shared" ca="1" si="18"/>
        <v>#NAME?</v>
      </c>
      <c r="T71" s="7" t="e">
        <f t="shared" ca="1" si="19"/>
        <v>#NAME?</v>
      </c>
      <c r="U71" s="33">
        <f t="shared" si="20"/>
        <v>377040</v>
      </c>
    </row>
    <row r="72" spans="1:21" x14ac:dyDescent="0.25">
      <c r="A72" s="1"/>
      <c r="B72" s="25">
        <v>43461</v>
      </c>
      <c r="C72" s="10" t="s">
        <v>449</v>
      </c>
      <c r="D72" s="1">
        <v>112.5</v>
      </c>
      <c r="E72" s="30">
        <v>3500</v>
      </c>
      <c r="F72" s="1">
        <v>112.5</v>
      </c>
      <c r="G72" s="1">
        <v>4.75</v>
      </c>
      <c r="H72" s="1">
        <v>14000</v>
      </c>
      <c r="I72" s="1">
        <v>3500</v>
      </c>
      <c r="J72" s="1">
        <v>4.25</v>
      </c>
      <c r="K72" s="1">
        <v>5.05</v>
      </c>
      <c r="L72" s="1">
        <v>42000</v>
      </c>
      <c r="M72" s="36">
        <v>-9.1372000000000009E-2</v>
      </c>
      <c r="N72" s="1"/>
      <c r="O72" s="7">
        <f t="shared" si="14"/>
        <v>4.2222222222222223E-2</v>
      </c>
      <c r="P72" s="7">
        <f t="shared" ca="1" si="15"/>
        <v>-8.0270384452893961E-5</v>
      </c>
      <c r="Q72" s="7" t="e">
        <f t="shared" ca="1" si="16"/>
        <v>#NAME?</v>
      </c>
      <c r="R72" s="33" t="e">
        <f t="shared" ca="1" si="17"/>
        <v>#NAME?</v>
      </c>
      <c r="S72" s="33" t="e">
        <f t="shared" ca="1" si="18"/>
        <v>#NAME?</v>
      </c>
      <c r="T72" s="7" t="e">
        <f t="shared" ca="1" si="19"/>
        <v>#NAME?</v>
      </c>
      <c r="U72" s="33">
        <f t="shared" si="20"/>
        <v>393750</v>
      </c>
    </row>
    <row r="73" spans="1:21" x14ac:dyDescent="0.25">
      <c r="A73" s="1"/>
      <c r="B73" s="25">
        <v>43461</v>
      </c>
      <c r="C73" s="10" t="s">
        <v>1726</v>
      </c>
      <c r="D73" s="1">
        <v>534.35</v>
      </c>
      <c r="E73" s="30">
        <v>1000</v>
      </c>
      <c r="F73" s="1">
        <v>540</v>
      </c>
      <c r="G73" s="1">
        <v>16.899999999999999</v>
      </c>
      <c r="H73" s="1">
        <v>35000</v>
      </c>
      <c r="I73" s="1">
        <v>4000</v>
      </c>
      <c r="J73" s="1">
        <v>16.350000000000001</v>
      </c>
      <c r="K73" s="1">
        <v>17.3</v>
      </c>
      <c r="L73" s="1">
        <v>9000</v>
      </c>
      <c r="M73" s="36">
        <v>-0.10562300000000001</v>
      </c>
      <c r="N73" s="1"/>
      <c r="O73" s="7">
        <f t="shared" si="14"/>
        <v>3.1627210629737057E-2</v>
      </c>
      <c r="P73" s="7">
        <f t="shared" ca="1" si="15"/>
        <v>-6.0127776862617979E-5</v>
      </c>
      <c r="Q73" s="7" t="e">
        <f t="shared" ca="1" si="16"/>
        <v>#NAME?</v>
      </c>
      <c r="R73" s="33" t="e">
        <f t="shared" ca="1" si="17"/>
        <v>#NAME?</v>
      </c>
      <c r="S73" s="33" t="e">
        <f t="shared" ca="1" si="18"/>
        <v>#NAME?</v>
      </c>
      <c r="T73" s="7" t="e">
        <f t="shared" ca="1" si="19"/>
        <v>#NAME?</v>
      </c>
      <c r="U73" s="33">
        <f t="shared" si="20"/>
        <v>534350</v>
      </c>
    </row>
    <row r="74" spans="1:21" x14ac:dyDescent="0.25">
      <c r="A74" s="1"/>
      <c r="B74" s="25">
        <v>43461</v>
      </c>
      <c r="C74" s="10" t="s">
        <v>1503</v>
      </c>
      <c r="D74" s="1">
        <v>1105</v>
      </c>
      <c r="E74" s="30">
        <v>600</v>
      </c>
      <c r="F74" s="1">
        <v>1100</v>
      </c>
      <c r="G74" s="1">
        <v>50.75</v>
      </c>
      <c r="H74" s="1">
        <v>13800</v>
      </c>
      <c r="I74" s="1">
        <v>1800</v>
      </c>
      <c r="J74" s="1">
        <v>48.05</v>
      </c>
      <c r="K74" s="1">
        <v>52.95</v>
      </c>
      <c r="L74" s="1">
        <v>600</v>
      </c>
      <c r="M74" s="36">
        <v>-0.12207899999999999</v>
      </c>
      <c r="N74" s="1"/>
      <c r="O74" s="7">
        <f t="shared" si="14"/>
        <v>4.5927601809954754E-2</v>
      </c>
      <c r="P74" s="7">
        <f t="shared" ca="1" si="15"/>
        <v>-8.7314832338317028E-5</v>
      </c>
      <c r="Q74" s="7" t="e">
        <f t="shared" ca="1" si="16"/>
        <v>#NAME?</v>
      </c>
      <c r="R74" s="33" t="e">
        <f t="shared" ca="1" si="17"/>
        <v>#NAME?</v>
      </c>
      <c r="S74" s="33" t="e">
        <f t="shared" ca="1" si="18"/>
        <v>#NAME?</v>
      </c>
      <c r="T74" s="7" t="e">
        <f t="shared" ca="1" si="19"/>
        <v>#NAME?</v>
      </c>
      <c r="U74" s="33">
        <f t="shared" si="20"/>
        <v>663000</v>
      </c>
    </row>
    <row r="75" spans="1:21" x14ac:dyDescent="0.25">
      <c r="A75" s="1"/>
      <c r="B75" s="25">
        <v>43461</v>
      </c>
      <c r="C75" s="10" t="s">
        <v>8</v>
      </c>
      <c r="D75" s="1">
        <v>104.2</v>
      </c>
      <c r="E75" s="30">
        <v>4500</v>
      </c>
      <c r="F75" s="1">
        <v>105</v>
      </c>
      <c r="G75" s="1">
        <v>3.4</v>
      </c>
      <c r="H75" s="1">
        <v>117000</v>
      </c>
      <c r="I75" s="1">
        <v>4500</v>
      </c>
      <c r="J75" s="1">
        <v>3.55</v>
      </c>
      <c r="K75" s="1">
        <v>5.95</v>
      </c>
      <c r="L75" s="1">
        <v>4500</v>
      </c>
      <c r="M75" s="36">
        <v>-0.12953100000000001</v>
      </c>
      <c r="N75" s="1"/>
      <c r="O75" s="7">
        <f t="shared" si="14"/>
        <v>3.2629558541266791E-2</v>
      </c>
      <c r="P75" s="7">
        <f t="shared" ca="1" si="15"/>
        <v>-6.2033381257161198E-5</v>
      </c>
      <c r="Q75" s="7" t="e">
        <f t="shared" ca="1" si="16"/>
        <v>#NAME?</v>
      </c>
      <c r="R75" s="33" t="e">
        <f t="shared" ca="1" si="17"/>
        <v>#NAME?</v>
      </c>
      <c r="S75" s="33" t="e">
        <f t="shared" ca="1" si="18"/>
        <v>#NAME?</v>
      </c>
      <c r="T75" s="7" t="e">
        <f t="shared" ca="1" si="19"/>
        <v>#NAME?</v>
      </c>
      <c r="U75" s="33">
        <f t="shared" si="20"/>
        <v>468900</v>
      </c>
    </row>
    <row r="76" spans="1:21" x14ac:dyDescent="0.25">
      <c r="A76" s="1"/>
      <c r="B76" s="25">
        <v>43461</v>
      </c>
      <c r="C76" s="10" t="s">
        <v>212</v>
      </c>
      <c r="D76" s="1">
        <v>1034.2</v>
      </c>
      <c r="E76" s="30">
        <v>550</v>
      </c>
      <c r="F76" s="1">
        <v>1040</v>
      </c>
      <c r="G76" s="1">
        <v>35</v>
      </c>
      <c r="H76" s="1">
        <v>28600</v>
      </c>
      <c r="I76" s="1">
        <v>4400</v>
      </c>
      <c r="J76" s="1">
        <v>35</v>
      </c>
      <c r="K76" s="1">
        <v>38.15</v>
      </c>
      <c r="L76" s="1">
        <v>6600</v>
      </c>
      <c r="M76" s="36">
        <v>-6.0396000000000005E-2</v>
      </c>
      <c r="N76" s="1"/>
      <c r="O76" s="7">
        <f t="shared" si="14"/>
        <v>3.3842583639528134E-2</v>
      </c>
      <c r="P76" s="7">
        <f t="shared" ca="1" si="15"/>
        <v>-6.4339512622677063E-5</v>
      </c>
      <c r="Q76" s="7" t="e">
        <f t="shared" ca="1" si="16"/>
        <v>#NAME?</v>
      </c>
      <c r="R76" s="33" t="e">
        <f t="shared" ca="1" si="17"/>
        <v>#NAME?</v>
      </c>
      <c r="S76" s="33" t="e">
        <f t="shared" ca="1" si="18"/>
        <v>#NAME?</v>
      </c>
      <c r="T76" s="7" t="e">
        <f t="shared" ca="1" si="19"/>
        <v>#NAME?</v>
      </c>
      <c r="U76" s="33">
        <f t="shared" si="20"/>
        <v>568810</v>
      </c>
    </row>
    <row r="77" spans="1:21" x14ac:dyDescent="0.25">
      <c r="A77" s="1"/>
      <c r="B77" s="25">
        <v>43461</v>
      </c>
      <c r="C77" s="10" t="s">
        <v>127</v>
      </c>
      <c r="D77" s="1">
        <v>224.9</v>
      </c>
      <c r="E77" s="30">
        <v>3000</v>
      </c>
      <c r="F77" s="1">
        <v>225</v>
      </c>
      <c r="G77" s="1">
        <v>8.65</v>
      </c>
      <c r="H77" s="1">
        <v>81000</v>
      </c>
      <c r="I77" s="1">
        <v>36000</v>
      </c>
      <c r="J77" s="1">
        <v>7.7</v>
      </c>
      <c r="K77" s="1">
        <v>8.8000000000000007</v>
      </c>
      <c r="L77" s="1">
        <v>3000</v>
      </c>
      <c r="M77" s="36">
        <v>-9.6797999999999995E-2</v>
      </c>
      <c r="N77" s="1"/>
      <c r="O77" s="7">
        <f t="shared" si="14"/>
        <v>3.8461538461538464E-2</v>
      </c>
      <c r="P77" s="7">
        <f t="shared" ca="1" si="15"/>
        <v>-7.3120795554255629E-5</v>
      </c>
      <c r="Q77" s="7" t="e">
        <f t="shared" ca="1" si="16"/>
        <v>#NAME?</v>
      </c>
      <c r="R77" s="33" t="e">
        <f t="shared" ca="1" si="17"/>
        <v>#NAME?</v>
      </c>
      <c r="S77" s="33" t="e">
        <f t="shared" ca="1" si="18"/>
        <v>#NAME?</v>
      </c>
      <c r="T77" s="7" t="e">
        <f t="shared" ca="1" si="19"/>
        <v>#NAME?</v>
      </c>
      <c r="U77" s="33">
        <f t="shared" si="20"/>
        <v>674700</v>
      </c>
    </row>
    <row r="78" spans="1:21" x14ac:dyDescent="0.25">
      <c r="A78" s="1"/>
      <c r="B78" s="25">
        <v>43461</v>
      </c>
      <c r="C78" s="10" t="s">
        <v>303</v>
      </c>
      <c r="D78" s="1">
        <v>1264.45</v>
      </c>
      <c r="E78" s="30">
        <v>350</v>
      </c>
      <c r="F78" s="1">
        <v>1260</v>
      </c>
      <c r="G78" s="1">
        <v>55.3</v>
      </c>
      <c r="H78" s="1">
        <v>5600</v>
      </c>
      <c r="I78" s="1">
        <v>350</v>
      </c>
      <c r="J78" s="1">
        <v>53.5</v>
      </c>
      <c r="K78" s="1">
        <v>60.8</v>
      </c>
      <c r="L78" s="1">
        <v>6300</v>
      </c>
      <c r="M78" s="36">
        <v>-0.13458800000000001</v>
      </c>
      <c r="N78" s="1"/>
      <c r="O78" s="7">
        <f t="shared" si="14"/>
        <v>4.373442998932342E-2</v>
      </c>
      <c r="P78" s="7">
        <f t="shared" ca="1" si="15"/>
        <v>-8.314530416221182E-5</v>
      </c>
      <c r="Q78" s="7" t="e">
        <f t="shared" ca="1" si="16"/>
        <v>#NAME?</v>
      </c>
      <c r="R78" s="33" t="e">
        <f t="shared" ca="1" si="17"/>
        <v>#NAME?</v>
      </c>
      <c r="S78" s="33" t="e">
        <f t="shared" ca="1" si="18"/>
        <v>#NAME?</v>
      </c>
      <c r="T78" s="7" t="e">
        <f t="shared" ca="1" si="19"/>
        <v>#NAME?</v>
      </c>
      <c r="U78" s="33">
        <f t="shared" si="20"/>
        <v>442557.5</v>
      </c>
    </row>
    <row r="79" spans="1:21" x14ac:dyDescent="0.25">
      <c r="A79" s="1"/>
      <c r="B79" s="25">
        <v>43461</v>
      </c>
      <c r="C79" s="10" t="s">
        <v>21</v>
      </c>
      <c r="D79" s="1">
        <v>89.9</v>
      </c>
      <c r="E79" s="30">
        <v>6000</v>
      </c>
      <c r="F79" s="1">
        <v>87.5</v>
      </c>
      <c r="G79" s="1">
        <v>5.85</v>
      </c>
      <c r="H79" s="1">
        <v>150000</v>
      </c>
      <c r="I79" s="1">
        <v>12000</v>
      </c>
      <c r="J79" s="1">
        <v>5.5</v>
      </c>
      <c r="K79" s="1">
        <v>6.2</v>
      </c>
      <c r="L79" s="1">
        <v>24000</v>
      </c>
      <c r="M79" s="36">
        <v>-0.10377599999999999</v>
      </c>
      <c r="N79" s="1"/>
      <c r="O79" s="7">
        <f t="shared" si="14"/>
        <v>6.5072302558398215E-2</v>
      </c>
      <c r="P79" s="7">
        <f t="shared" ca="1" si="15"/>
        <v>-1.2371160182204983E-4</v>
      </c>
      <c r="Q79" s="7" t="e">
        <f t="shared" ca="1" si="16"/>
        <v>#NAME?</v>
      </c>
      <c r="R79" s="33" t="e">
        <f t="shared" ca="1" si="17"/>
        <v>#NAME?</v>
      </c>
      <c r="S79" s="33" t="e">
        <f t="shared" ca="1" si="18"/>
        <v>#NAME?</v>
      </c>
      <c r="T79" s="7" t="e">
        <f t="shared" ca="1" si="19"/>
        <v>#NAME?</v>
      </c>
      <c r="U79" s="33">
        <f t="shared" si="20"/>
        <v>539400</v>
      </c>
    </row>
    <row r="80" spans="1:21" x14ac:dyDescent="0.25">
      <c r="A80" s="1"/>
      <c r="B80" s="25">
        <v>43461</v>
      </c>
      <c r="C80" s="10" t="s">
        <v>247</v>
      </c>
      <c r="D80" s="1">
        <v>604</v>
      </c>
      <c r="E80" s="30">
        <v>900</v>
      </c>
      <c r="F80" s="1">
        <v>600</v>
      </c>
      <c r="G80" s="1">
        <v>26.75</v>
      </c>
      <c r="H80" s="1">
        <v>23400</v>
      </c>
      <c r="I80" s="1">
        <v>2700</v>
      </c>
      <c r="J80" s="1">
        <v>25.5</v>
      </c>
      <c r="K80" s="1">
        <v>28.65</v>
      </c>
      <c r="L80" s="1">
        <v>4500</v>
      </c>
      <c r="M80" s="36">
        <v>-4.8222000000000001E-2</v>
      </c>
      <c r="N80" s="1"/>
      <c r="O80" s="7">
        <f t="shared" si="14"/>
        <v>4.4288079470198673E-2</v>
      </c>
      <c r="P80" s="7">
        <f t="shared" ca="1" si="15"/>
        <v>-8.4197869715206598E-5</v>
      </c>
      <c r="Q80" s="7" t="e">
        <f t="shared" ca="1" si="16"/>
        <v>#NAME?</v>
      </c>
      <c r="R80" s="33" t="e">
        <f t="shared" ca="1" si="17"/>
        <v>#NAME?</v>
      </c>
      <c r="S80" s="33" t="e">
        <f t="shared" ca="1" si="18"/>
        <v>#NAME?</v>
      </c>
      <c r="T80" s="7" t="e">
        <f t="shared" ca="1" si="19"/>
        <v>#NAME?</v>
      </c>
      <c r="U80" s="33">
        <f t="shared" si="20"/>
        <v>543600</v>
      </c>
    </row>
    <row r="81" spans="1:21" x14ac:dyDescent="0.25">
      <c r="A81" s="1"/>
      <c r="B81" s="25">
        <v>43461</v>
      </c>
      <c r="C81" s="10" t="s">
        <v>180</v>
      </c>
      <c r="D81" s="1">
        <v>598.95000000000005</v>
      </c>
      <c r="E81" s="30">
        <v>1200</v>
      </c>
      <c r="F81" s="1">
        <v>600</v>
      </c>
      <c r="G81" s="1">
        <v>21.5</v>
      </c>
      <c r="H81" s="1">
        <v>111600</v>
      </c>
      <c r="I81" s="1">
        <v>1200</v>
      </c>
      <c r="J81" s="1">
        <v>21.5</v>
      </c>
      <c r="K81" s="1">
        <v>22.9</v>
      </c>
      <c r="L81" s="1">
        <v>2400</v>
      </c>
      <c r="M81" s="36">
        <v>-6.604199999999999E-2</v>
      </c>
      <c r="N81" s="1"/>
      <c r="O81" s="7">
        <f t="shared" si="14"/>
        <v>3.5896151598630938E-2</v>
      </c>
      <c r="P81" s="7">
        <f t="shared" ca="1" si="15"/>
        <v>-6.8243634217929534E-5</v>
      </c>
      <c r="Q81" s="7" t="e">
        <f t="shared" ca="1" si="16"/>
        <v>#NAME?</v>
      </c>
      <c r="R81" s="33" t="e">
        <f t="shared" ca="1" si="17"/>
        <v>#NAME?</v>
      </c>
      <c r="S81" s="33" t="e">
        <f t="shared" ca="1" si="18"/>
        <v>#NAME?</v>
      </c>
      <c r="T81" s="7" t="e">
        <f t="shared" ca="1" si="19"/>
        <v>#NAME?</v>
      </c>
      <c r="U81" s="33">
        <f t="shared" si="20"/>
        <v>718740</v>
      </c>
    </row>
    <row r="82" spans="1:21" x14ac:dyDescent="0.25">
      <c r="A82" s="1"/>
      <c r="B82" s="25">
        <v>43461</v>
      </c>
      <c r="C82" s="10" t="s">
        <v>1283</v>
      </c>
      <c r="D82" s="1">
        <v>771</v>
      </c>
      <c r="E82" s="30">
        <v>800</v>
      </c>
      <c r="F82" s="1">
        <v>760</v>
      </c>
      <c r="G82" s="1">
        <v>39.85</v>
      </c>
      <c r="H82" s="1">
        <v>800</v>
      </c>
      <c r="I82" s="1">
        <v>800</v>
      </c>
      <c r="J82" s="1">
        <v>36.75</v>
      </c>
      <c r="K82" s="1">
        <v>41.1</v>
      </c>
      <c r="L82" s="1">
        <v>5600</v>
      </c>
      <c r="M82" s="36">
        <v>-0.12607399999999999</v>
      </c>
      <c r="N82" s="1"/>
      <c r="O82" s="7">
        <f t="shared" si="14"/>
        <v>5.1686121919584958E-2</v>
      </c>
      <c r="P82" s="7">
        <f t="shared" ca="1" si="15"/>
        <v>-9.8262589200731853E-5</v>
      </c>
      <c r="Q82" s="7" t="e">
        <f t="shared" ca="1" si="16"/>
        <v>#NAME?</v>
      </c>
      <c r="R82" s="33" t="e">
        <f t="shared" ca="1" si="17"/>
        <v>#NAME?</v>
      </c>
      <c r="S82" s="33" t="e">
        <f t="shared" ca="1" si="18"/>
        <v>#NAME?</v>
      </c>
      <c r="T82" s="7" t="e">
        <f t="shared" ca="1" si="19"/>
        <v>#NAME?</v>
      </c>
      <c r="U82" s="33">
        <f t="shared" si="20"/>
        <v>616800</v>
      </c>
    </row>
    <row r="83" spans="1:21" x14ac:dyDescent="0.25">
      <c r="A83" s="1"/>
      <c r="B83" s="25">
        <v>43461</v>
      </c>
      <c r="C83" s="10" t="s">
        <v>636</v>
      </c>
      <c r="D83" s="1">
        <v>217.85</v>
      </c>
      <c r="E83" s="30">
        <v>3500</v>
      </c>
      <c r="F83" s="1">
        <v>220</v>
      </c>
      <c r="G83" s="1">
        <v>8.1999999999999993</v>
      </c>
      <c r="H83" s="1">
        <v>525000</v>
      </c>
      <c r="I83" s="1">
        <v>7000</v>
      </c>
      <c r="J83" s="1">
        <v>7.85</v>
      </c>
      <c r="K83" s="1">
        <v>8.15</v>
      </c>
      <c r="L83" s="1">
        <v>3500</v>
      </c>
      <c r="M83" s="36">
        <v>-8.3014999999999992E-2</v>
      </c>
      <c r="N83" s="1"/>
      <c r="O83" s="7">
        <f t="shared" si="14"/>
        <v>3.7640578379619004E-2</v>
      </c>
      <c r="P83" s="7">
        <f t="shared" ca="1" si="15"/>
        <v>-7.1560034942241455E-5</v>
      </c>
      <c r="Q83" s="7" t="e">
        <f t="shared" ca="1" si="16"/>
        <v>#NAME?</v>
      </c>
      <c r="R83" s="33" t="e">
        <f t="shared" ca="1" si="17"/>
        <v>#NAME?</v>
      </c>
      <c r="S83" s="33" t="e">
        <f t="shared" ca="1" si="18"/>
        <v>#NAME?</v>
      </c>
      <c r="T83" s="7" t="e">
        <f t="shared" ca="1" si="19"/>
        <v>#NAME?</v>
      </c>
      <c r="U83" s="33">
        <f t="shared" si="20"/>
        <v>762475</v>
      </c>
    </row>
    <row r="84" spans="1:21" x14ac:dyDescent="0.25">
      <c r="A84" s="1"/>
      <c r="B84" s="25">
        <v>43461</v>
      </c>
      <c r="C84" s="10" t="s">
        <v>23</v>
      </c>
      <c r="D84" s="1">
        <v>695</v>
      </c>
      <c r="E84" s="30">
        <v>1200</v>
      </c>
      <c r="F84" s="1">
        <v>700</v>
      </c>
      <c r="G84" s="1">
        <v>23.3</v>
      </c>
      <c r="H84" s="1">
        <v>176400</v>
      </c>
      <c r="I84" s="1">
        <v>3600</v>
      </c>
      <c r="J84" s="1">
        <v>23.3</v>
      </c>
      <c r="K84" s="1">
        <v>23.85</v>
      </c>
      <c r="L84" s="1">
        <v>1200</v>
      </c>
      <c r="M84" s="36">
        <v>-5.7224999999999998E-2</v>
      </c>
      <c r="N84" s="1"/>
      <c r="O84" s="7">
        <f t="shared" si="14"/>
        <v>3.3525179856115112E-2</v>
      </c>
      <c r="P84" s="7">
        <f t="shared" ca="1" si="15"/>
        <v>-6.3736083376644701E-5</v>
      </c>
      <c r="Q84" s="7" t="e">
        <f t="shared" ca="1" si="16"/>
        <v>#NAME?</v>
      </c>
      <c r="R84" s="33" t="e">
        <f t="shared" ca="1" si="17"/>
        <v>#NAME?</v>
      </c>
      <c r="S84" s="33" t="e">
        <f t="shared" ca="1" si="18"/>
        <v>#NAME?</v>
      </c>
      <c r="T84" s="7" t="e">
        <f t="shared" ca="1" si="19"/>
        <v>#NAME?</v>
      </c>
      <c r="U84" s="33">
        <f t="shared" si="20"/>
        <v>834000</v>
      </c>
    </row>
    <row r="85" spans="1:21" x14ac:dyDescent="0.25">
      <c r="A85" s="1"/>
      <c r="B85" s="25">
        <v>43461</v>
      </c>
      <c r="C85" s="10" t="s">
        <v>18</v>
      </c>
      <c r="D85" s="1">
        <v>1457</v>
      </c>
      <c r="E85" s="30">
        <v>400</v>
      </c>
      <c r="F85" s="1">
        <v>1460</v>
      </c>
      <c r="G85" s="1">
        <v>54.3</v>
      </c>
      <c r="H85" s="1">
        <v>14400</v>
      </c>
      <c r="I85" s="1">
        <v>5600</v>
      </c>
      <c r="J85" s="1">
        <v>48.15</v>
      </c>
      <c r="K85" s="1">
        <v>52</v>
      </c>
      <c r="L85" s="1">
        <v>400</v>
      </c>
      <c r="M85" s="36">
        <v>-7.1846000000000007E-2</v>
      </c>
      <c r="N85" s="1"/>
      <c r="O85" s="7">
        <f t="shared" si="14"/>
        <v>3.726835964310226E-2</v>
      </c>
      <c r="P85" s="7">
        <f t="shared" ca="1" si="15"/>
        <v>-7.0852394758749539E-5</v>
      </c>
      <c r="Q85" s="7" t="e">
        <f t="shared" ca="1" si="16"/>
        <v>#NAME?</v>
      </c>
      <c r="R85" s="33" t="e">
        <f t="shared" ca="1" si="17"/>
        <v>#NAME?</v>
      </c>
      <c r="S85" s="33" t="e">
        <f t="shared" ca="1" si="18"/>
        <v>#NAME?</v>
      </c>
      <c r="T85" s="7" t="e">
        <f t="shared" ca="1" si="19"/>
        <v>#NAME?</v>
      </c>
      <c r="U85" s="33">
        <f t="shared" si="20"/>
        <v>582800</v>
      </c>
    </row>
    <row r="86" spans="1:21" x14ac:dyDescent="0.25">
      <c r="A86" s="1"/>
      <c r="B86" s="25">
        <v>43461</v>
      </c>
      <c r="C86" s="10" t="s">
        <v>1750</v>
      </c>
      <c r="D86" s="1">
        <v>502</v>
      </c>
      <c r="E86" s="30">
        <v>900</v>
      </c>
      <c r="F86" s="1">
        <v>540</v>
      </c>
      <c r="G86" s="1">
        <v>15.3</v>
      </c>
      <c r="H86" s="1">
        <v>124200</v>
      </c>
      <c r="I86" s="1">
        <v>900</v>
      </c>
      <c r="J86" s="1">
        <v>14.45</v>
      </c>
      <c r="K86" s="1">
        <v>15.5</v>
      </c>
      <c r="L86" s="1">
        <v>900</v>
      </c>
      <c r="M86" s="36">
        <v>-0.13117899999999999</v>
      </c>
      <c r="N86" s="1"/>
      <c r="O86" s="7">
        <f t="shared" si="14"/>
        <v>3.047808764940239E-2</v>
      </c>
      <c r="P86" s="7">
        <f t="shared" ca="1" si="15"/>
        <v>-5.794313241331253E-5</v>
      </c>
      <c r="Q86" s="7" t="e">
        <f t="shared" ca="1" si="16"/>
        <v>#NAME?</v>
      </c>
      <c r="R86" s="33" t="e">
        <f t="shared" ca="1" si="17"/>
        <v>#NAME?</v>
      </c>
      <c r="S86" s="33" t="e">
        <f t="shared" ca="1" si="18"/>
        <v>#NAME?</v>
      </c>
      <c r="T86" s="7" t="e">
        <f t="shared" ca="1" si="19"/>
        <v>#NAME?</v>
      </c>
      <c r="U86" s="33">
        <f t="shared" si="20"/>
        <v>451800</v>
      </c>
    </row>
    <row r="87" spans="1:21" x14ac:dyDescent="0.25">
      <c r="A87" s="1"/>
      <c r="B87" s="25">
        <v>43461</v>
      </c>
      <c r="C87" s="10" t="s">
        <v>1373</v>
      </c>
      <c r="D87" s="1">
        <v>275.60000000000002</v>
      </c>
      <c r="E87" s="30">
        <v>3000</v>
      </c>
      <c r="F87" s="1">
        <v>275</v>
      </c>
      <c r="G87" s="1">
        <v>10.199999999999999</v>
      </c>
      <c r="H87" s="1">
        <v>207000</v>
      </c>
      <c r="I87" s="1">
        <v>12000</v>
      </c>
      <c r="J87" s="1">
        <v>9.6999999999999993</v>
      </c>
      <c r="K87" s="1">
        <v>10.199999999999999</v>
      </c>
      <c r="L87" s="1">
        <v>6000</v>
      </c>
      <c r="M87" s="36">
        <v>-8.2655999999999993E-2</v>
      </c>
      <c r="N87" s="1"/>
      <c r="O87" s="7">
        <f t="shared" si="14"/>
        <v>3.7010159651669081E-2</v>
      </c>
      <c r="P87" s="7">
        <f t="shared" ca="1" si="15"/>
        <v>-7.0361520250321447E-5</v>
      </c>
      <c r="Q87" s="7" t="e">
        <f t="shared" ca="1" si="16"/>
        <v>#NAME?</v>
      </c>
      <c r="R87" s="33" t="e">
        <f t="shared" ca="1" si="17"/>
        <v>#NAME?</v>
      </c>
      <c r="S87" s="33" t="e">
        <f t="shared" ca="1" si="18"/>
        <v>#NAME?</v>
      </c>
      <c r="T87" s="7" t="e">
        <f t="shared" ca="1" si="19"/>
        <v>#NAME?</v>
      </c>
      <c r="U87" s="33">
        <f t="shared" si="20"/>
        <v>826800.00000000012</v>
      </c>
    </row>
    <row r="88" spans="1:21" x14ac:dyDescent="0.25">
      <c r="A88" s="1"/>
      <c r="B88" s="25">
        <v>43461</v>
      </c>
      <c r="C88" s="10" t="s">
        <v>470</v>
      </c>
      <c r="D88" s="1">
        <v>250</v>
      </c>
      <c r="E88" s="30">
        <v>2000</v>
      </c>
      <c r="F88" s="1">
        <v>250</v>
      </c>
      <c r="G88" s="1">
        <v>8.6</v>
      </c>
      <c r="H88" s="1">
        <v>26000</v>
      </c>
      <c r="I88" s="1">
        <v>2000</v>
      </c>
      <c r="J88" s="1">
        <v>8.3000000000000007</v>
      </c>
      <c r="K88" s="1">
        <v>8.75</v>
      </c>
      <c r="L88" s="1">
        <v>2000</v>
      </c>
      <c r="M88" s="36">
        <v>-6.1541999999999993E-2</v>
      </c>
      <c r="N88" s="1"/>
      <c r="O88" s="7">
        <f t="shared" si="14"/>
        <v>3.44E-2</v>
      </c>
      <c r="P88" s="7">
        <f t="shared" ca="1" si="15"/>
        <v>-6.5399239543726233E-5</v>
      </c>
      <c r="Q88" s="7" t="e">
        <f t="shared" ca="1" si="16"/>
        <v>#NAME?</v>
      </c>
      <c r="R88" s="33" t="e">
        <f t="shared" ca="1" si="17"/>
        <v>#NAME?</v>
      </c>
      <c r="S88" s="33" t="e">
        <f t="shared" ca="1" si="18"/>
        <v>#NAME?</v>
      </c>
      <c r="T88" s="7" t="e">
        <f t="shared" ca="1" si="19"/>
        <v>#NAME?</v>
      </c>
      <c r="U88" s="33">
        <f t="shared" si="20"/>
        <v>500000</v>
      </c>
    </row>
    <row r="89" spans="1:21" x14ac:dyDescent="0.25">
      <c r="A89" s="1"/>
      <c r="B89" s="25">
        <v>43461</v>
      </c>
      <c r="C89" s="10" t="s">
        <v>696</v>
      </c>
      <c r="D89" s="1">
        <v>252.7</v>
      </c>
      <c r="E89" s="30">
        <v>2750</v>
      </c>
      <c r="F89" s="1">
        <v>250</v>
      </c>
      <c r="G89" s="1">
        <v>11.25</v>
      </c>
      <c r="H89" s="1">
        <v>2750</v>
      </c>
      <c r="I89" s="1">
        <v>5500</v>
      </c>
      <c r="J89" s="1">
        <v>10.95</v>
      </c>
      <c r="K89" s="1">
        <v>12.35</v>
      </c>
      <c r="L89" s="1">
        <v>13750</v>
      </c>
      <c r="M89" s="36">
        <v>-7.5734999999999997E-2</v>
      </c>
      <c r="N89" s="1"/>
      <c r="O89" s="7">
        <f t="shared" si="14"/>
        <v>4.4519192718638703E-2</v>
      </c>
      <c r="P89" s="7">
        <f t="shared" ca="1" si="15"/>
        <v>-8.4637248514522244E-5</v>
      </c>
      <c r="Q89" s="7" t="e">
        <f t="shared" ca="1" si="16"/>
        <v>#NAME?</v>
      </c>
      <c r="R89" s="33" t="e">
        <f t="shared" ca="1" si="17"/>
        <v>#NAME?</v>
      </c>
      <c r="S89" s="33" t="e">
        <f t="shared" ca="1" si="18"/>
        <v>#NAME?</v>
      </c>
      <c r="T89" s="7" t="e">
        <f t="shared" ca="1" si="19"/>
        <v>#NAME?</v>
      </c>
      <c r="U89" s="33">
        <f t="shared" si="20"/>
        <v>694925</v>
      </c>
    </row>
    <row r="90" spans="1:21" x14ac:dyDescent="0.25">
      <c r="A90" s="1"/>
      <c r="B90" s="25">
        <v>43461</v>
      </c>
      <c r="C90" s="10" t="s">
        <v>1630</v>
      </c>
      <c r="D90" s="1">
        <v>260.75</v>
      </c>
      <c r="E90" s="30">
        <v>3000</v>
      </c>
      <c r="F90" s="1">
        <v>260</v>
      </c>
      <c r="G90" s="1">
        <v>11.8</v>
      </c>
      <c r="H90" s="1">
        <v>48000</v>
      </c>
      <c r="I90" s="1">
        <v>12000</v>
      </c>
      <c r="J90" s="1">
        <v>10.95</v>
      </c>
      <c r="K90" s="1">
        <v>11.75</v>
      </c>
      <c r="L90" s="1">
        <v>3000</v>
      </c>
      <c r="M90" s="36">
        <v>-7.3686000000000001E-2</v>
      </c>
      <c r="N90" s="1"/>
      <c r="O90" s="7">
        <f t="shared" si="14"/>
        <v>4.5254074784276128E-2</v>
      </c>
      <c r="P90" s="7">
        <f t="shared" ca="1" si="15"/>
        <v>-8.6034362707749289E-5</v>
      </c>
      <c r="Q90" s="7" t="e">
        <f t="shared" ca="1" si="16"/>
        <v>#NAME?</v>
      </c>
      <c r="R90" s="33" t="e">
        <f t="shared" ca="1" si="17"/>
        <v>#NAME?</v>
      </c>
      <c r="S90" s="33" t="e">
        <f t="shared" ca="1" si="18"/>
        <v>#NAME?</v>
      </c>
      <c r="T90" s="7" t="e">
        <f t="shared" ca="1" si="19"/>
        <v>#NAME?</v>
      </c>
      <c r="U90" s="33">
        <f t="shared" si="20"/>
        <v>782250</v>
      </c>
    </row>
    <row r="91" spans="1:21" x14ac:dyDescent="0.25">
      <c r="A91" s="1"/>
      <c r="B91" s="25">
        <v>43461</v>
      </c>
      <c r="C91" s="10" t="s">
        <v>1726</v>
      </c>
      <c r="D91" s="1">
        <v>534.35</v>
      </c>
      <c r="E91" s="30">
        <v>1000</v>
      </c>
      <c r="F91" s="1">
        <v>530</v>
      </c>
      <c r="G91" s="1">
        <v>21.65</v>
      </c>
      <c r="H91" s="1">
        <v>7000</v>
      </c>
      <c r="I91" s="1">
        <v>2000</v>
      </c>
      <c r="J91" s="1">
        <v>21</v>
      </c>
      <c r="K91" s="1">
        <v>23.75</v>
      </c>
      <c r="L91" s="1">
        <v>16000</v>
      </c>
      <c r="M91" s="36">
        <v>-0.10562300000000001</v>
      </c>
      <c r="N91" s="1"/>
      <c r="O91" s="7">
        <f t="shared" si="14"/>
        <v>4.0516515392532981E-2</v>
      </c>
      <c r="P91" s="7">
        <f t="shared" ca="1" si="15"/>
        <v>-7.7027595803294647E-5</v>
      </c>
      <c r="Q91" s="7" t="e">
        <f t="shared" ca="1" si="16"/>
        <v>#NAME?</v>
      </c>
      <c r="R91" s="33" t="e">
        <f t="shared" ca="1" si="17"/>
        <v>#NAME?</v>
      </c>
      <c r="S91" s="33" t="e">
        <f t="shared" ca="1" si="18"/>
        <v>#NAME?</v>
      </c>
      <c r="T91" s="7" t="e">
        <f t="shared" ca="1" si="19"/>
        <v>#NAME?</v>
      </c>
      <c r="U91" s="33">
        <f t="shared" si="20"/>
        <v>534350</v>
      </c>
    </row>
    <row r="92" spans="1:21" x14ac:dyDescent="0.25">
      <c r="A92" s="1"/>
      <c r="B92" s="25">
        <v>43461</v>
      </c>
      <c r="C92" s="10" t="s">
        <v>303</v>
      </c>
      <c r="D92" s="1">
        <v>1264.45</v>
      </c>
      <c r="E92" s="30">
        <v>350</v>
      </c>
      <c r="F92" s="1">
        <v>1280</v>
      </c>
      <c r="G92" s="1">
        <v>46.85</v>
      </c>
      <c r="H92" s="1">
        <v>20650</v>
      </c>
      <c r="I92" s="1">
        <v>350</v>
      </c>
      <c r="J92" s="1">
        <v>44.3</v>
      </c>
      <c r="K92" s="1">
        <v>47.1</v>
      </c>
      <c r="L92" s="1">
        <v>350</v>
      </c>
      <c r="M92" s="36">
        <v>-0.13458800000000001</v>
      </c>
      <c r="N92" s="1"/>
      <c r="O92" s="7">
        <f t="shared" si="14"/>
        <v>3.7051682549725178E-2</v>
      </c>
      <c r="P92" s="7">
        <f t="shared" ca="1" si="15"/>
        <v>-7.0440461121150524E-5</v>
      </c>
      <c r="Q92" s="7" t="e">
        <f t="shared" ca="1" si="16"/>
        <v>#NAME?</v>
      </c>
      <c r="R92" s="33" t="e">
        <f t="shared" ca="1" si="17"/>
        <v>#NAME?</v>
      </c>
      <c r="S92" s="33" t="e">
        <f t="shared" ca="1" si="18"/>
        <v>#NAME?</v>
      </c>
      <c r="T92" s="7" t="e">
        <f t="shared" ca="1" si="19"/>
        <v>#NAME?</v>
      </c>
      <c r="U92" s="33">
        <f t="shared" si="20"/>
        <v>442557.5</v>
      </c>
    </row>
    <row r="93" spans="1:21" x14ac:dyDescent="0.25">
      <c r="A93" s="1"/>
      <c r="B93" s="25">
        <v>43461</v>
      </c>
      <c r="C93" s="10" t="s">
        <v>1569</v>
      </c>
      <c r="D93" s="1">
        <v>668.95</v>
      </c>
      <c r="E93" s="30">
        <v>750</v>
      </c>
      <c r="F93" s="1">
        <v>670</v>
      </c>
      <c r="G93" s="1">
        <v>20.100000000000001</v>
      </c>
      <c r="H93" s="1">
        <v>6750</v>
      </c>
      <c r="I93" s="1">
        <v>7500</v>
      </c>
      <c r="J93" s="1">
        <v>16.3</v>
      </c>
      <c r="K93" s="1">
        <v>19.95</v>
      </c>
      <c r="L93" s="1">
        <v>750</v>
      </c>
      <c r="M93" s="36">
        <v>-5.7045000000000005E-2</v>
      </c>
      <c r="N93" s="1"/>
      <c r="O93" s="7">
        <f t="shared" si="14"/>
        <v>3.0047088721130131E-2</v>
      </c>
      <c r="P93" s="7">
        <f t="shared" ca="1" si="15"/>
        <v>-5.7123742815836749E-5</v>
      </c>
      <c r="Q93" s="7" t="e">
        <f t="shared" ca="1" si="16"/>
        <v>#NAME?</v>
      </c>
      <c r="R93" s="33" t="e">
        <f t="shared" ca="1" si="17"/>
        <v>#NAME?</v>
      </c>
      <c r="S93" s="33" t="e">
        <f t="shared" ca="1" si="18"/>
        <v>#NAME?</v>
      </c>
      <c r="T93" s="7" t="e">
        <f t="shared" ca="1" si="19"/>
        <v>#NAME?</v>
      </c>
      <c r="U93" s="33">
        <f t="shared" si="20"/>
        <v>501712.50000000006</v>
      </c>
    </row>
    <row r="94" spans="1:21" x14ac:dyDescent="0.25">
      <c r="A94" s="1"/>
      <c r="B94" s="25">
        <v>43461</v>
      </c>
      <c r="C94" s="10" t="s">
        <v>409</v>
      </c>
      <c r="D94" s="1">
        <v>2642</v>
      </c>
      <c r="E94" s="30">
        <v>250</v>
      </c>
      <c r="F94" s="1">
        <v>2600</v>
      </c>
      <c r="G94" s="1">
        <v>124.65</v>
      </c>
      <c r="H94" s="1">
        <v>9000</v>
      </c>
      <c r="I94" s="1">
        <v>750</v>
      </c>
      <c r="J94" s="1">
        <v>124.1</v>
      </c>
      <c r="K94" s="1">
        <v>130.80000000000001</v>
      </c>
      <c r="L94" s="1">
        <v>750</v>
      </c>
      <c r="M94" s="36">
        <v>-6.0323000000000002E-2</v>
      </c>
      <c r="N94" s="1"/>
      <c r="O94" s="7">
        <f t="shared" si="14"/>
        <v>4.7180166540499627E-2</v>
      </c>
      <c r="P94" s="7">
        <f t="shared" ca="1" si="15"/>
        <v>-8.9696134107413735E-5</v>
      </c>
      <c r="Q94" s="7" t="e">
        <f t="shared" ca="1" si="16"/>
        <v>#NAME?</v>
      </c>
      <c r="R94" s="33" t="e">
        <f t="shared" ca="1" si="17"/>
        <v>#NAME?</v>
      </c>
      <c r="S94" s="33" t="e">
        <f t="shared" ca="1" si="18"/>
        <v>#NAME?</v>
      </c>
      <c r="T94" s="7" t="e">
        <f t="shared" ca="1" si="19"/>
        <v>#NAME?</v>
      </c>
      <c r="U94" s="33">
        <f t="shared" si="20"/>
        <v>660500</v>
      </c>
    </row>
    <row r="95" spans="1:21" x14ac:dyDescent="0.25">
      <c r="A95" s="1"/>
      <c r="B95" s="25">
        <v>43461</v>
      </c>
      <c r="C95" s="10" t="s">
        <v>1569</v>
      </c>
      <c r="D95" s="1">
        <v>668.95</v>
      </c>
      <c r="E95" s="30">
        <v>750</v>
      </c>
      <c r="F95" s="1">
        <v>660</v>
      </c>
      <c r="G95" s="1">
        <v>28</v>
      </c>
      <c r="H95" s="1">
        <v>1500</v>
      </c>
      <c r="I95" s="1">
        <v>3750</v>
      </c>
      <c r="J95" s="1">
        <v>1.1000000000000001</v>
      </c>
      <c r="K95" s="1">
        <v>26.95</v>
      </c>
      <c r="L95" s="1">
        <v>750</v>
      </c>
      <c r="M95" s="36">
        <v>-5.7045000000000005E-2</v>
      </c>
      <c r="N95" s="1"/>
      <c r="O95" s="7">
        <f t="shared" si="14"/>
        <v>4.1856641004559381E-2</v>
      </c>
      <c r="P95" s="7">
        <f t="shared" ca="1" si="15"/>
        <v>-7.9575363126538749E-5</v>
      </c>
      <c r="Q95" s="7" t="e">
        <f t="shared" ca="1" si="16"/>
        <v>#NAME?</v>
      </c>
      <c r="R95" s="33" t="e">
        <f t="shared" ca="1" si="17"/>
        <v>#NAME?</v>
      </c>
      <c r="S95" s="33" t="e">
        <f t="shared" ca="1" si="18"/>
        <v>#NAME?</v>
      </c>
      <c r="T95" s="7" t="e">
        <f t="shared" ca="1" si="19"/>
        <v>#NAME?</v>
      </c>
      <c r="U95" s="33">
        <f t="shared" si="20"/>
        <v>501712.50000000006</v>
      </c>
    </row>
    <row r="96" spans="1:21" x14ac:dyDescent="0.25">
      <c r="A96" s="1"/>
      <c r="B96" s="25">
        <v>43461</v>
      </c>
      <c r="C96" s="10" t="s">
        <v>878</v>
      </c>
      <c r="D96" s="1">
        <v>212.3</v>
      </c>
      <c r="E96" s="30">
        <v>2250</v>
      </c>
      <c r="F96" s="1">
        <v>210</v>
      </c>
      <c r="G96" s="1">
        <v>8.25</v>
      </c>
      <c r="H96" s="1">
        <v>40500</v>
      </c>
      <c r="I96" s="1">
        <v>4500</v>
      </c>
      <c r="J96" s="1">
        <v>8.9499999999999993</v>
      </c>
      <c r="K96" s="1">
        <v>9.9499999999999993</v>
      </c>
      <c r="L96" s="1">
        <v>2250</v>
      </c>
      <c r="M96" s="36">
        <v>-0.19646</v>
      </c>
      <c r="N96" s="1"/>
      <c r="O96" s="7">
        <f t="shared" si="14"/>
        <v>3.8860103626943004E-2</v>
      </c>
      <c r="P96" s="7">
        <f t="shared" ca="1" si="15"/>
        <v>-7.3878524005595059E-5</v>
      </c>
      <c r="Q96" s="7" t="e">
        <f t="shared" ca="1" si="16"/>
        <v>#NAME?</v>
      </c>
      <c r="R96" s="33" t="e">
        <f t="shared" ca="1" si="17"/>
        <v>#NAME?</v>
      </c>
      <c r="S96" s="33" t="e">
        <f t="shared" ca="1" si="18"/>
        <v>#NAME?</v>
      </c>
      <c r="T96" s="7" t="e">
        <f t="shared" ca="1" si="19"/>
        <v>#NAME?</v>
      </c>
      <c r="U96" s="33">
        <f t="shared" si="20"/>
        <v>477675</v>
      </c>
    </row>
    <row r="97" spans="1:21" x14ac:dyDescent="0.25">
      <c r="A97" s="1"/>
      <c r="B97" s="25">
        <v>43461</v>
      </c>
      <c r="C97" s="10" t="s">
        <v>22</v>
      </c>
      <c r="D97" s="1">
        <v>330</v>
      </c>
      <c r="E97" s="30">
        <v>2400</v>
      </c>
      <c r="F97" s="1">
        <v>325</v>
      </c>
      <c r="G97" s="1">
        <v>14.2</v>
      </c>
      <c r="H97" s="1">
        <v>120000</v>
      </c>
      <c r="I97" s="1">
        <v>4800</v>
      </c>
      <c r="J97" s="1">
        <v>12.2</v>
      </c>
      <c r="K97" s="1">
        <v>13.4</v>
      </c>
      <c r="L97" s="1">
        <v>21600</v>
      </c>
      <c r="M97" s="36">
        <v>-5.1247000000000001E-2</v>
      </c>
      <c r="N97" s="1"/>
      <c r="O97" s="7">
        <f t="shared" si="14"/>
        <v>4.303030303030303E-2</v>
      </c>
      <c r="P97" s="7">
        <f t="shared" ca="1" si="15"/>
        <v>-8.1806659753427816E-5</v>
      </c>
      <c r="Q97" s="7" t="e">
        <f t="shared" ca="1" si="16"/>
        <v>#NAME?</v>
      </c>
      <c r="R97" s="33" t="e">
        <f t="shared" ca="1" si="17"/>
        <v>#NAME?</v>
      </c>
      <c r="S97" s="33" t="e">
        <f t="shared" ca="1" si="18"/>
        <v>#NAME?</v>
      </c>
      <c r="T97" s="7" t="e">
        <f t="shared" ca="1" si="19"/>
        <v>#NAME?</v>
      </c>
      <c r="U97" s="33">
        <f t="shared" si="20"/>
        <v>792000</v>
      </c>
    </row>
    <row r="98" spans="1:21" x14ac:dyDescent="0.25">
      <c r="A98" s="1"/>
      <c r="B98" s="25">
        <v>43461</v>
      </c>
      <c r="C98" s="10" t="s">
        <v>671</v>
      </c>
      <c r="D98" s="1">
        <v>348</v>
      </c>
      <c r="E98" s="30">
        <v>2750</v>
      </c>
      <c r="F98" s="1">
        <v>345</v>
      </c>
      <c r="G98" s="1">
        <v>12.25</v>
      </c>
      <c r="H98" s="1">
        <v>126500</v>
      </c>
      <c r="I98" s="1">
        <v>8250</v>
      </c>
      <c r="J98" s="1">
        <v>11.95</v>
      </c>
      <c r="K98" s="1">
        <v>12.25</v>
      </c>
      <c r="L98" s="1">
        <v>2750</v>
      </c>
      <c r="M98" s="36">
        <v>-8.3988999999999994E-2</v>
      </c>
      <c r="N98" s="1"/>
      <c r="O98" s="7">
        <f t="shared" si="14"/>
        <v>3.5201149425287355E-2</v>
      </c>
      <c r="P98" s="7">
        <f t="shared" ca="1" si="15"/>
        <v>-6.6922337310432238E-5</v>
      </c>
      <c r="Q98" s="7" t="e">
        <f t="shared" ca="1" si="16"/>
        <v>#NAME?</v>
      </c>
      <c r="R98" s="33" t="e">
        <f t="shared" ca="1" si="17"/>
        <v>#NAME?</v>
      </c>
      <c r="S98" s="33" t="e">
        <f t="shared" ca="1" si="18"/>
        <v>#NAME?</v>
      </c>
      <c r="T98" s="7" t="e">
        <f t="shared" ca="1" si="19"/>
        <v>#NAME?</v>
      </c>
      <c r="U98" s="33">
        <f t="shared" si="20"/>
        <v>957000</v>
      </c>
    </row>
    <row r="99" spans="1:21" x14ac:dyDescent="0.25">
      <c r="A99" s="1"/>
      <c r="B99" s="25">
        <v>43461</v>
      </c>
      <c r="C99" s="10" t="s">
        <v>1630</v>
      </c>
      <c r="D99" s="1">
        <v>260.75</v>
      </c>
      <c r="E99" s="30">
        <v>3000</v>
      </c>
      <c r="F99" s="1">
        <v>265</v>
      </c>
      <c r="G99" s="1">
        <v>9.8000000000000007</v>
      </c>
      <c r="H99" s="1">
        <v>9000</v>
      </c>
      <c r="I99" s="1">
        <v>24000</v>
      </c>
      <c r="J99" s="1">
        <v>8.5</v>
      </c>
      <c r="K99" s="1">
        <v>9.4499999999999993</v>
      </c>
      <c r="L99" s="1">
        <v>3000</v>
      </c>
      <c r="M99" s="36">
        <v>-7.3686000000000001E-2</v>
      </c>
      <c r="N99" s="1"/>
      <c r="O99" s="7">
        <f t="shared" si="14"/>
        <v>3.7583892617449668E-2</v>
      </c>
      <c r="P99" s="7">
        <f t="shared" ca="1" si="15"/>
        <v>-7.1452267333554497E-5</v>
      </c>
      <c r="Q99" s="7" t="e">
        <f t="shared" ca="1" si="16"/>
        <v>#NAME?</v>
      </c>
      <c r="R99" s="33" t="e">
        <f t="shared" ca="1" si="17"/>
        <v>#NAME?</v>
      </c>
      <c r="S99" s="33" t="e">
        <f t="shared" ca="1" si="18"/>
        <v>#NAME?</v>
      </c>
      <c r="T99" s="7" t="e">
        <f t="shared" ca="1" si="19"/>
        <v>#NAME?</v>
      </c>
      <c r="U99" s="33">
        <f t="shared" si="20"/>
        <v>782250</v>
      </c>
    </row>
    <row r="100" spans="1:21" x14ac:dyDescent="0.25">
      <c r="A100" s="1"/>
      <c r="B100" s="25">
        <v>43461</v>
      </c>
      <c r="C100" s="10" t="s">
        <v>23</v>
      </c>
      <c r="D100" s="1">
        <v>695</v>
      </c>
      <c r="E100" s="30">
        <v>1200</v>
      </c>
      <c r="F100" s="1">
        <v>680</v>
      </c>
      <c r="G100" s="1">
        <v>32.049999999999997</v>
      </c>
      <c r="H100" s="1">
        <v>10800</v>
      </c>
      <c r="I100" s="1">
        <v>7200</v>
      </c>
      <c r="J100" s="1">
        <v>33.75</v>
      </c>
      <c r="K100" s="1">
        <v>36.5</v>
      </c>
      <c r="L100" s="1">
        <v>15600</v>
      </c>
      <c r="M100" s="36">
        <v>-5.7224999999999998E-2</v>
      </c>
      <c r="N100" s="1"/>
      <c r="O100" s="7">
        <f t="shared" ref="O100:O121" si="21">G100/D100</f>
        <v>4.6115107913669059E-2</v>
      </c>
      <c r="P100" s="7">
        <f t="shared" ref="P100:P121" ca="1" si="22">O100/(B100-TODAY())</f>
        <v>-8.7671307820663607E-5</v>
      </c>
      <c r="Q100" s="7" t="e">
        <f t="shared" ref="Q100:Q121" ca="1" si="23">R100/D100-1</f>
        <v>#NAME?</v>
      </c>
      <c r="R100" s="33" t="e">
        <f t="shared" ref="R100:R121" ca="1" si="24">mrigxl_stockquote(C100)</f>
        <v>#NAME?</v>
      </c>
      <c r="S100" s="33" t="e">
        <f t="shared" ref="S100:S121" ca="1" si="25">(MIN(F100,R100)-D100+G100)*E100</f>
        <v>#NAME?</v>
      </c>
      <c r="T100" s="7" t="e">
        <f t="shared" ref="T100:T121" ca="1" si="26">S100/U100</f>
        <v>#NAME?</v>
      </c>
      <c r="U100" s="33">
        <f t="shared" ref="U100:U121" si="27">E100*D100</f>
        <v>834000</v>
      </c>
    </row>
    <row r="101" spans="1:21" x14ac:dyDescent="0.25">
      <c r="A101" s="1"/>
      <c r="B101" s="25">
        <v>43461</v>
      </c>
      <c r="C101" s="10" t="s">
        <v>154</v>
      </c>
      <c r="D101" s="1">
        <v>1293.5</v>
      </c>
      <c r="E101" s="30">
        <v>600</v>
      </c>
      <c r="F101" s="1">
        <v>1280</v>
      </c>
      <c r="G101" s="1">
        <v>43.65</v>
      </c>
      <c r="H101" s="1">
        <v>1800</v>
      </c>
      <c r="I101" s="1">
        <v>2400</v>
      </c>
      <c r="J101" s="1">
        <v>42.7</v>
      </c>
      <c r="K101" s="1">
        <v>49.15</v>
      </c>
      <c r="L101" s="1">
        <v>9000</v>
      </c>
      <c r="M101" s="36">
        <v>-6.1015999999999994E-2</v>
      </c>
      <c r="N101" s="1"/>
      <c r="O101" s="7">
        <f t="shared" si="21"/>
        <v>3.3745651333591031E-2</v>
      </c>
      <c r="P101" s="7">
        <f t="shared" ca="1" si="22"/>
        <v>-6.41552306722263E-5</v>
      </c>
      <c r="Q101" s="7" t="e">
        <f t="shared" ca="1" si="23"/>
        <v>#NAME?</v>
      </c>
      <c r="R101" s="33" t="e">
        <f t="shared" ca="1" si="24"/>
        <v>#NAME?</v>
      </c>
      <c r="S101" s="33" t="e">
        <f t="shared" ca="1" si="25"/>
        <v>#NAME?</v>
      </c>
      <c r="T101" s="7" t="e">
        <f t="shared" ca="1" si="26"/>
        <v>#NAME?</v>
      </c>
      <c r="U101" s="33">
        <f t="shared" si="27"/>
        <v>776100</v>
      </c>
    </row>
    <row r="102" spans="1:21" x14ac:dyDescent="0.25">
      <c r="A102" s="1"/>
      <c r="B102" s="25">
        <v>43461</v>
      </c>
      <c r="C102" s="10" t="s">
        <v>127</v>
      </c>
      <c r="D102" s="1">
        <v>224.9</v>
      </c>
      <c r="E102" s="30">
        <v>3000</v>
      </c>
      <c r="F102" s="1">
        <v>220</v>
      </c>
      <c r="G102" s="1">
        <v>10</v>
      </c>
      <c r="H102" s="1">
        <v>30000</v>
      </c>
      <c r="I102" s="1">
        <v>36000</v>
      </c>
      <c r="J102" s="1">
        <v>10.7</v>
      </c>
      <c r="K102" s="1">
        <v>11.6</v>
      </c>
      <c r="L102" s="1">
        <v>3000</v>
      </c>
      <c r="M102" s="36">
        <v>-9.6797999999999995E-2</v>
      </c>
      <c r="N102" s="1"/>
      <c r="O102" s="7">
        <f t="shared" si="21"/>
        <v>4.4464206313917294E-2</v>
      </c>
      <c r="P102" s="7">
        <f t="shared" ca="1" si="22"/>
        <v>-8.4532711623416915E-5</v>
      </c>
      <c r="Q102" s="7" t="e">
        <f t="shared" ca="1" si="23"/>
        <v>#NAME?</v>
      </c>
      <c r="R102" s="33" t="e">
        <f t="shared" ca="1" si="24"/>
        <v>#NAME?</v>
      </c>
      <c r="S102" s="33" t="e">
        <f t="shared" ca="1" si="25"/>
        <v>#NAME?</v>
      </c>
      <c r="T102" s="7" t="e">
        <f t="shared" ca="1" si="26"/>
        <v>#NAME?</v>
      </c>
      <c r="U102" s="33">
        <f t="shared" si="27"/>
        <v>674700</v>
      </c>
    </row>
    <row r="103" spans="1:21" x14ac:dyDescent="0.25">
      <c r="A103" s="1"/>
      <c r="B103" s="25">
        <v>43461</v>
      </c>
      <c r="C103" s="10" t="s">
        <v>928</v>
      </c>
      <c r="D103" s="1">
        <v>1375.15</v>
      </c>
      <c r="E103" s="30">
        <v>375</v>
      </c>
      <c r="F103" s="1">
        <v>1360</v>
      </c>
      <c r="G103" s="1">
        <v>45.7</v>
      </c>
      <c r="H103" s="1">
        <v>29250</v>
      </c>
      <c r="I103" s="1">
        <v>750</v>
      </c>
      <c r="J103" s="1">
        <v>39.049999999999997</v>
      </c>
      <c r="K103" s="1">
        <v>46.6</v>
      </c>
      <c r="L103" s="1">
        <v>3375</v>
      </c>
      <c r="M103" s="36">
        <v>-4.9773000000000005E-2</v>
      </c>
      <c r="N103" s="1"/>
      <c r="O103" s="7">
        <f t="shared" si="21"/>
        <v>3.3232738246736719E-2</v>
      </c>
      <c r="P103" s="7">
        <f t="shared" ca="1" si="22"/>
        <v>-6.3180110735240911E-5</v>
      </c>
      <c r="Q103" s="7" t="e">
        <f t="shared" ca="1" si="23"/>
        <v>#NAME?</v>
      </c>
      <c r="R103" s="33" t="e">
        <f t="shared" ca="1" si="24"/>
        <v>#NAME?</v>
      </c>
      <c r="S103" s="33" t="e">
        <f t="shared" ca="1" si="25"/>
        <v>#NAME?</v>
      </c>
      <c r="T103" s="7" t="e">
        <f t="shared" ca="1" si="26"/>
        <v>#NAME?</v>
      </c>
      <c r="U103" s="33">
        <f t="shared" si="27"/>
        <v>515681.25000000006</v>
      </c>
    </row>
    <row r="104" spans="1:21" x14ac:dyDescent="0.25">
      <c r="A104" s="1"/>
      <c r="B104" s="25">
        <v>43461</v>
      </c>
      <c r="C104" s="10" t="s">
        <v>409</v>
      </c>
      <c r="D104" s="1">
        <v>2642</v>
      </c>
      <c r="E104" s="30">
        <v>250</v>
      </c>
      <c r="F104" s="1">
        <v>2650</v>
      </c>
      <c r="G104" s="1">
        <v>98.55</v>
      </c>
      <c r="H104" s="1">
        <v>17250</v>
      </c>
      <c r="I104" s="1">
        <v>500</v>
      </c>
      <c r="J104" s="1">
        <v>99</v>
      </c>
      <c r="K104" s="1">
        <v>101.1</v>
      </c>
      <c r="L104" s="1">
        <v>250</v>
      </c>
      <c r="M104" s="36">
        <v>-6.0323000000000002E-2</v>
      </c>
      <c r="N104" s="1"/>
      <c r="O104" s="7">
        <f t="shared" si="21"/>
        <v>3.7301286903860711E-2</v>
      </c>
      <c r="P104" s="7">
        <f t="shared" ca="1" si="22"/>
        <v>-7.0914994113803638E-5</v>
      </c>
      <c r="Q104" s="7" t="e">
        <f t="shared" ca="1" si="23"/>
        <v>#NAME?</v>
      </c>
      <c r="R104" s="33" t="e">
        <f t="shared" ca="1" si="24"/>
        <v>#NAME?</v>
      </c>
      <c r="S104" s="33" t="e">
        <f t="shared" ca="1" si="25"/>
        <v>#NAME?</v>
      </c>
      <c r="T104" s="7" t="e">
        <f t="shared" ca="1" si="26"/>
        <v>#NAME?</v>
      </c>
      <c r="U104" s="33">
        <f t="shared" si="27"/>
        <v>660500</v>
      </c>
    </row>
    <row r="105" spans="1:21" x14ac:dyDescent="0.25">
      <c r="A105" s="1"/>
      <c r="B105" s="25">
        <v>43461</v>
      </c>
      <c r="C105" s="10" t="s">
        <v>1572</v>
      </c>
      <c r="D105" s="1">
        <v>1007.6</v>
      </c>
      <c r="E105" s="30">
        <v>400</v>
      </c>
      <c r="F105" s="1">
        <v>1020</v>
      </c>
      <c r="G105" s="1">
        <v>36</v>
      </c>
      <c r="H105" s="1">
        <v>16800</v>
      </c>
      <c r="I105" s="1">
        <v>2400</v>
      </c>
      <c r="J105" s="1">
        <v>30</v>
      </c>
      <c r="K105" s="1">
        <v>36</v>
      </c>
      <c r="L105" s="1">
        <v>1200</v>
      </c>
      <c r="M105" s="36">
        <v>-0.13769400000000001</v>
      </c>
      <c r="N105" s="1"/>
      <c r="O105" s="7">
        <f t="shared" si="21"/>
        <v>3.5728463676061931E-2</v>
      </c>
      <c r="P105" s="7">
        <f t="shared" ca="1" si="22"/>
        <v>-6.7924835886049297E-5</v>
      </c>
      <c r="Q105" s="7" t="e">
        <f t="shared" ca="1" si="23"/>
        <v>#NAME?</v>
      </c>
      <c r="R105" s="33" t="e">
        <f t="shared" ca="1" si="24"/>
        <v>#NAME?</v>
      </c>
      <c r="S105" s="33" t="e">
        <f t="shared" ca="1" si="25"/>
        <v>#NAME?</v>
      </c>
      <c r="T105" s="7" t="e">
        <f t="shared" ca="1" si="26"/>
        <v>#NAME?</v>
      </c>
      <c r="U105" s="33">
        <f t="shared" si="27"/>
        <v>403040</v>
      </c>
    </row>
    <row r="106" spans="1:21" x14ac:dyDescent="0.25">
      <c r="A106" s="1"/>
      <c r="B106" s="25">
        <v>43461</v>
      </c>
      <c r="C106" s="10" t="s">
        <v>22</v>
      </c>
      <c r="D106" s="1">
        <v>330</v>
      </c>
      <c r="E106" s="30">
        <v>2400</v>
      </c>
      <c r="F106" s="1">
        <v>330</v>
      </c>
      <c r="G106" s="1">
        <v>10.15</v>
      </c>
      <c r="H106" s="1">
        <v>264000</v>
      </c>
      <c r="I106" s="1">
        <v>21600</v>
      </c>
      <c r="J106" s="1">
        <v>9.35</v>
      </c>
      <c r="K106" s="1">
        <v>10.15</v>
      </c>
      <c r="L106" s="1">
        <v>7200</v>
      </c>
      <c r="M106" s="36">
        <v>-5.1247000000000001E-2</v>
      </c>
      <c r="N106" s="1"/>
      <c r="O106" s="7">
        <f t="shared" si="21"/>
        <v>3.0757575757575758E-2</v>
      </c>
      <c r="P106" s="7">
        <f t="shared" ca="1" si="22"/>
        <v>-5.8474478626569879E-5</v>
      </c>
      <c r="Q106" s="7" t="e">
        <f t="shared" ca="1" si="23"/>
        <v>#NAME?</v>
      </c>
      <c r="R106" s="33" t="e">
        <f t="shared" ca="1" si="24"/>
        <v>#NAME?</v>
      </c>
      <c r="S106" s="33" t="e">
        <f t="shared" ca="1" si="25"/>
        <v>#NAME?</v>
      </c>
      <c r="T106" s="7" t="e">
        <f t="shared" ca="1" si="26"/>
        <v>#NAME?</v>
      </c>
      <c r="U106" s="33">
        <f t="shared" si="27"/>
        <v>792000</v>
      </c>
    </row>
    <row r="107" spans="1:21" x14ac:dyDescent="0.25">
      <c r="A107" s="1"/>
      <c r="B107" s="25">
        <v>43496</v>
      </c>
      <c r="C107" s="10" t="s">
        <v>1298</v>
      </c>
      <c r="D107" s="1">
        <v>1119.05</v>
      </c>
      <c r="E107" s="30">
        <v>500</v>
      </c>
      <c r="F107" s="1">
        <v>1140</v>
      </c>
      <c r="G107" s="1">
        <v>46.8</v>
      </c>
      <c r="H107" s="1">
        <v>11500</v>
      </c>
      <c r="I107" s="1">
        <v>500</v>
      </c>
      <c r="J107" s="1">
        <v>42.8</v>
      </c>
      <c r="K107" s="1">
        <v>50.15</v>
      </c>
      <c r="L107" s="1">
        <v>7000</v>
      </c>
      <c r="M107" s="36">
        <v>-5.1855999999999992E-2</v>
      </c>
      <c r="N107" s="1"/>
      <c r="O107" s="7">
        <f t="shared" si="21"/>
        <v>4.1821187614494437E-2</v>
      </c>
      <c r="P107" s="7">
        <f t="shared" ca="1" si="22"/>
        <v>-8.5175534856404145E-5</v>
      </c>
      <c r="Q107" s="7" t="e">
        <f t="shared" ca="1" si="23"/>
        <v>#NAME?</v>
      </c>
      <c r="R107" s="33" t="e">
        <f t="shared" ca="1" si="24"/>
        <v>#NAME?</v>
      </c>
      <c r="S107" s="33" t="e">
        <f t="shared" ca="1" si="25"/>
        <v>#NAME?</v>
      </c>
      <c r="T107" s="7" t="e">
        <f t="shared" ca="1" si="26"/>
        <v>#NAME?</v>
      </c>
      <c r="U107" s="33">
        <f t="shared" si="27"/>
        <v>559525</v>
      </c>
    </row>
    <row r="108" spans="1:21" x14ac:dyDescent="0.25">
      <c r="A108" s="1"/>
      <c r="B108" s="25">
        <v>43461</v>
      </c>
      <c r="C108" s="10" t="s">
        <v>780</v>
      </c>
      <c r="D108" s="1">
        <v>278.05</v>
      </c>
      <c r="E108" s="30">
        <v>1200</v>
      </c>
      <c r="F108" s="1">
        <v>270</v>
      </c>
      <c r="G108" s="1">
        <v>29.5</v>
      </c>
      <c r="H108" s="1">
        <v>22800</v>
      </c>
      <c r="I108" s="1">
        <v>2400</v>
      </c>
      <c r="J108" s="1">
        <v>5</v>
      </c>
      <c r="K108" s="1">
        <v>30.4</v>
      </c>
      <c r="L108" s="1">
        <v>2400</v>
      </c>
      <c r="M108" s="36">
        <v>-0.219612</v>
      </c>
      <c r="N108" s="1"/>
      <c r="O108" s="7">
        <f t="shared" si="21"/>
        <v>0.10609602589462326</v>
      </c>
      <c r="P108" s="7">
        <f t="shared" ca="1" si="22"/>
        <v>-2.0170347128255372E-4</v>
      </c>
      <c r="Q108" s="7" t="e">
        <f t="shared" ca="1" si="23"/>
        <v>#NAME?</v>
      </c>
      <c r="R108" s="33" t="e">
        <f t="shared" ca="1" si="24"/>
        <v>#NAME?</v>
      </c>
      <c r="S108" s="33" t="e">
        <f t="shared" ca="1" si="25"/>
        <v>#NAME?</v>
      </c>
      <c r="T108" s="7" t="e">
        <f t="shared" ca="1" si="26"/>
        <v>#NAME?</v>
      </c>
      <c r="U108" s="33">
        <f t="shared" si="27"/>
        <v>333660</v>
      </c>
    </row>
    <row r="109" spans="1:21" x14ac:dyDescent="0.25">
      <c r="A109" s="1"/>
      <c r="B109" s="25">
        <v>43461</v>
      </c>
      <c r="C109" s="10" t="s">
        <v>1298</v>
      </c>
      <c r="D109" s="1">
        <v>1119.05</v>
      </c>
      <c r="E109" s="30">
        <v>500</v>
      </c>
      <c r="F109" s="1">
        <v>1120</v>
      </c>
      <c r="G109" s="1">
        <v>36</v>
      </c>
      <c r="H109" s="1">
        <v>96000</v>
      </c>
      <c r="I109" s="1">
        <v>2500</v>
      </c>
      <c r="J109" s="1">
        <v>35</v>
      </c>
      <c r="K109" s="1">
        <v>37.950000000000003</v>
      </c>
      <c r="L109" s="1">
        <v>6000</v>
      </c>
      <c r="M109" s="36">
        <v>-5.1855999999999992E-2</v>
      </c>
      <c r="N109" s="1"/>
      <c r="O109" s="7">
        <f t="shared" si="21"/>
        <v>3.2170144318841874E-2</v>
      </c>
      <c r="P109" s="7">
        <f t="shared" ca="1" si="22"/>
        <v>-6.115997018791231E-5</v>
      </c>
      <c r="Q109" s="7" t="e">
        <f t="shared" ca="1" si="23"/>
        <v>#NAME?</v>
      </c>
      <c r="R109" s="33" t="e">
        <f t="shared" ca="1" si="24"/>
        <v>#NAME?</v>
      </c>
      <c r="S109" s="33" t="e">
        <f t="shared" ca="1" si="25"/>
        <v>#NAME?</v>
      </c>
      <c r="T109" s="7" t="e">
        <f t="shared" ca="1" si="26"/>
        <v>#NAME?</v>
      </c>
      <c r="U109" s="33">
        <f t="shared" si="27"/>
        <v>559525</v>
      </c>
    </row>
    <row r="110" spans="1:21" x14ac:dyDescent="0.25">
      <c r="A110" s="1"/>
      <c r="B110" s="25">
        <v>43461</v>
      </c>
      <c r="C110" s="10" t="s">
        <v>1578</v>
      </c>
      <c r="D110" s="1">
        <v>79.05</v>
      </c>
      <c r="E110" s="30">
        <v>9000</v>
      </c>
      <c r="F110" s="1">
        <v>80</v>
      </c>
      <c r="G110" s="1">
        <v>2.5499999999999998</v>
      </c>
      <c r="H110" s="1">
        <v>900000</v>
      </c>
      <c r="I110" s="1">
        <v>9000</v>
      </c>
      <c r="J110" s="1">
        <v>2.35</v>
      </c>
      <c r="K110" s="1">
        <v>2.5499999999999998</v>
      </c>
      <c r="L110" s="1">
        <v>18000</v>
      </c>
      <c r="M110" s="36">
        <v>-8.3266999999999994E-2</v>
      </c>
      <c r="N110" s="1"/>
      <c r="O110" s="7">
        <f t="shared" si="21"/>
        <v>3.2258064516129031E-2</v>
      </c>
      <c r="P110" s="7">
        <f t="shared" ca="1" si="22"/>
        <v>-6.132711885195633E-5</v>
      </c>
      <c r="Q110" s="7" t="e">
        <f t="shared" ca="1" si="23"/>
        <v>#NAME?</v>
      </c>
      <c r="R110" s="33" t="e">
        <f t="shared" ca="1" si="24"/>
        <v>#NAME?</v>
      </c>
      <c r="S110" s="33" t="e">
        <f t="shared" ca="1" si="25"/>
        <v>#NAME?</v>
      </c>
      <c r="T110" s="7" t="e">
        <f t="shared" ca="1" si="26"/>
        <v>#NAME?</v>
      </c>
      <c r="U110" s="33">
        <f t="shared" si="27"/>
        <v>711450</v>
      </c>
    </row>
    <row r="111" spans="1:21" x14ac:dyDescent="0.25">
      <c r="A111" s="1"/>
      <c r="B111" s="25">
        <v>43461</v>
      </c>
      <c r="C111" s="10" t="s">
        <v>1588</v>
      </c>
      <c r="D111" s="1">
        <v>1990</v>
      </c>
      <c r="E111" s="30">
        <v>250</v>
      </c>
      <c r="F111" s="1">
        <v>1980</v>
      </c>
      <c r="G111" s="1">
        <v>69.05</v>
      </c>
      <c r="H111" s="1">
        <v>28000</v>
      </c>
      <c r="I111" s="1">
        <v>250</v>
      </c>
      <c r="J111" s="1">
        <v>65.900000000000006</v>
      </c>
      <c r="K111" s="1">
        <v>69.05</v>
      </c>
      <c r="L111" s="1">
        <v>1250</v>
      </c>
      <c r="M111" s="36">
        <v>-6.6729999999999998E-2</v>
      </c>
      <c r="N111" s="1"/>
      <c r="O111" s="7">
        <f t="shared" si="21"/>
        <v>3.4698492462311555E-2</v>
      </c>
      <c r="P111" s="7">
        <f t="shared" ca="1" si="22"/>
        <v>-6.5966715707816646E-5</v>
      </c>
      <c r="Q111" s="7" t="e">
        <f t="shared" ca="1" si="23"/>
        <v>#NAME?</v>
      </c>
      <c r="R111" s="33" t="e">
        <f t="shared" ca="1" si="24"/>
        <v>#NAME?</v>
      </c>
      <c r="S111" s="33" t="e">
        <f t="shared" ca="1" si="25"/>
        <v>#NAME?</v>
      </c>
      <c r="T111" s="7" t="e">
        <f t="shared" ca="1" si="26"/>
        <v>#NAME?</v>
      </c>
      <c r="U111" s="33">
        <f t="shared" si="27"/>
        <v>497500</v>
      </c>
    </row>
    <row r="112" spans="1:21" x14ac:dyDescent="0.25">
      <c r="A112" s="1"/>
      <c r="B112" s="25">
        <v>43461</v>
      </c>
      <c r="C112" s="10" t="s">
        <v>780</v>
      </c>
      <c r="D112" s="1">
        <v>278.05</v>
      </c>
      <c r="E112" s="30">
        <v>1200</v>
      </c>
      <c r="F112" s="1">
        <v>280</v>
      </c>
      <c r="G112" s="1">
        <v>24.15</v>
      </c>
      <c r="H112" s="1">
        <v>34800</v>
      </c>
      <c r="I112" s="1">
        <v>2400</v>
      </c>
      <c r="J112" s="1">
        <v>23.75</v>
      </c>
      <c r="K112" s="1">
        <v>25.05</v>
      </c>
      <c r="L112" s="1">
        <v>1200</v>
      </c>
      <c r="M112" s="36">
        <v>-0.219612</v>
      </c>
      <c r="N112" s="1"/>
      <c r="O112" s="7">
        <f t="shared" si="21"/>
        <v>8.6854882215428877E-2</v>
      </c>
      <c r="P112" s="7">
        <f t="shared" ca="1" si="22"/>
        <v>-1.6512335021944653E-4</v>
      </c>
      <c r="Q112" s="7" t="e">
        <f t="shared" ca="1" si="23"/>
        <v>#NAME?</v>
      </c>
      <c r="R112" s="33" t="e">
        <f t="shared" ca="1" si="24"/>
        <v>#NAME?</v>
      </c>
      <c r="S112" s="33" t="e">
        <f t="shared" ca="1" si="25"/>
        <v>#NAME?</v>
      </c>
      <c r="T112" s="7" t="e">
        <f t="shared" ca="1" si="26"/>
        <v>#NAME?</v>
      </c>
      <c r="U112" s="33">
        <f t="shared" si="27"/>
        <v>333660</v>
      </c>
    </row>
    <row r="113" spans="1:21" x14ac:dyDescent="0.25">
      <c r="A113" s="1"/>
      <c r="B113" s="25">
        <v>43461</v>
      </c>
      <c r="C113" s="10" t="s">
        <v>1287</v>
      </c>
      <c r="D113" s="1">
        <v>16.350000000000001</v>
      </c>
      <c r="E113" s="30">
        <v>28000</v>
      </c>
      <c r="F113" s="1">
        <v>16</v>
      </c>
      <c r="G113" s="1">
        <v>2</v>
      </c>
      <c r="H113" s="1">
        <v>2884000</v>
      </c>
      <c r="I113" s="1">
        <v>56000</v>
      </c>
      <c r="J113" s="1">
        <v>1.9</v>
      </c>
      <c r="K113" s="1">
        <v>2.1</v>
      </c>
      <c r="L113" s="1">
        <v>196000</v>
      </c>
      <c r="M113" s="36">
        <v>-0.26830999999999999</v>
      </c>
      <c r="N113" s="1"/>
      <c r="O113" s="7">
        <f t="shared" si="21"/>
        <v>0.12232415902140671</v>
      </c>
      <c r="P113" s="7">
        <f t="shared" ca="1" si="22"/>
        <v>-2.3255543540191389E-4</v>
      </c>
      <c r="Q113" s="7" t="e">
        <f t="shared" ca="1" si="23"/>
        <v>#NAME?</v>
      </c>
      <c r="R113" s="33" t="e">
        <f t="shared" ca="1" si="24"/>
        <v>#NAME?</v>
      </c>
      <c r="S113" s="33" t="e">
        <f t="shared" ca="1" si="25"/>
        <v>#NAME?</v>
      </c>
      <c r="T113" s="7" t="e">
        <f t="shared" ca="1" si="26"/>
        <v>#NAME?</v>
      </c>
      <c r="U113" s="33">
        <f t="shared" si="27"/>
        <v>457800.00000000006</v>
      </c>
    </row>
    <row r="114" spans="1:21" x14ac:dyDescent="0.25">
      <c r="A114" s="1"/>
      <c r="B114" s="25">
        <v>43461</v>
      </c>
      <c r="C114" s="10" t="s">
        <v>16</v>
      </c>
      <c r="D114" s="1">
        <v>750.3</v>
      </c>
      <c r="E114" s="30">
        <v>1000</v>
      </c>
      <c r="F114" s="1">
        <v>760</v>
      </c>
      <c r="G114" s="1">
        <v>29.3</v>
      </c>
      <c r="H114" s="1">
        <v>144000</v>
      </c>
      <c r="I114" s="1">
        <v>1000</v>
      </c>
      <c r="J114" s="1">
        <v>29</v>
      </c>
      <c r="K114" s="1">
        <v>29.65</v>
      </c>
      <c r="L114" s="1">
        <v>1000</v>
      </c>
      <c r="M114" s="36">
        <v>-7.1583000000000008E-2</v>
      </c>
      <c r="N114" s="1"/>
      <c r="O114" s="7">
        <f t="shared" si="21"/>
        <v>3.9051046248167402E-2</v>
      </c>
      <c r="P114" s="7">
        <f t="shared" ca="1" si="22"/>
        <v>-7.4241532791192779E-5</v>
      </c>
      <c r="Q114" s="7" t="e">
        <f t="shared" ca="1" si="23"/>
        <v>#NAME?</v>
      </c>
      <c r="R114" s="33" t="e">
        <f t="shared" ca="1" si="24"/>
        <v>#NAME?</v>
      </c>
      <c r="S114" s="33" t="e">
        <f t="shared" ca="1" si="25"/>
        <v>#NAME?</v>
      </c>
      <c r="T114" s="7" t="e">
        <f t="shared" ca="1" si="26"/>
        <v>#NAME?</v>
      </c>
      <c r="U114" s="33">
        <f t="shared" si="27"/>
        <v>750300</v>
      </c>
    </row>
    <row r="115" spans="1:21" x14ac:dyDescent="0.25">
      <c r="A115" s="1"/>
      <c r="B115" s="25">
        <v>43461</v>
      </c>
      <c r="C115" s="10" t="s">
        <v>995</v>
      </c>
      <c r="D115" s="1">
        <v>642.4</v>
      </c>
      <c r="E115" s="30">
        <v>1250</v>
      </c>
      <c r="F115" s="1">
        <v>640</v>
      </c>
      <c r="G115" s="1">
        <v>27.4</v>
      </c>
      <c r="H115" s="1">
        <v>13750</v>
      </c>
      <c r="I115" s="1">
        <v>2500</v>
      </c>
      <c r="J115" s="1">
        <v>24.75</v>
      </c>
      <c r="K115" s="1">
        <v>27.05</v>
      </c>
      <c r="L115" s="1">
        <v>12500</v>
      </c>
      <c r="M115" s="36">
        <v>-0.43035800000000002</v>
      </c>
      <c r="N115" s="1"/>
      <c r="O115" s="7">
        <f t="shared" si="21"/>
        <v>4.2652552926525526E-2</v>
      </c>
      <c r="P115" s="7">
        <f t="shared" ca="1" si="22"/>
        <v>-8.1088503662596052E-5</v>
      </c>
      <c r="Q115" s="7" t="e">
        <f t="shared" ca="1" si="23"/>
        <v>#NAME?</v>
      </c>
      <c r="R115" s="33" t="e">
        <f t="shared" ca="1" si="24"/>
        <v>#NAME?</v>
      </c>
      <c r="S115" s="33" t="e">
        <f t="shared" ca="1" si="25"/>
        <v>#NAME?</v>
      </c>
      <c r="T115" s="7" t="e">
        <f t="shared" ca="1" si="26"/>
        <v>#NAME?</v>
      </c>
      <c r="U115" s="33">
        <f t="shared" si="27"/>
        <v>803000</v>
      </c>
    </row>
    <row r="116" spans="1:21" x14ac:dyDescent="0.25">
      <c r="A116" s="1"/>
      <c r="B116" s="25">
        <v>43461</v>
      </c>
      <c r="C116" s="10" t="s">
        <v>553</v>
      </c>
      <c r="D116" s="1">
        <v>540.04999999999995</v>
      </c>
      <c r="E116" s="30">
        <v>1500</v>
      </c>
      <c r="F116" s="1">
        <v>540</v>
      </c>
      <c r="G116" s="1">
        <v>18</v>
      </c>
      <c r="H116" s="1">
        <v>9000</v>
      </c>
      <c r="I116" s="1">
        <v>21000</v>
      </c>
      <c r="J116" s="1">
        <v>16.899999999999999</v>
      </c>
      <c r="K116" s="1">
        <v>19.100000000000001</v>
      </c>
      <c r="L116" s="1">
        <v>1500</v>
      </c>
      <c r="M116" s="36">
        <v>-0.127161</v>
      </c>
      <c r="N116" s="1"/>
      <c r="O116" s="7">
        <f t="shared" si="21"/>
        <v>3.3330247199333397E-2</v>
      </c>
      <c r="P116" s="7">
        <f t="shared" ca="1" si="22"/>
        <v>-6.3365488972116731E-5</v>
      </c>
      <c r="Q116" s="7" t="e">
        <f t="shared" ca="1" si="23"/>
        <v>#NAME?</v>
      </c>
      <c r="R116" s="33" t="e">
        <f t="shared" ca="1" si="24"/>
        <v>#NAME?</v>
      </c>
      <c r="S116" s="33" t="e">
        <f t="shared" ca="1" si="25"/>
        <v>#NAME?</v>
      </c>
      <c r="T116" s="7" t="e">
        <f t="shared" ca="1" si="26"/>
        <v>#NAME?</v>
      </c>
      <c r="U116" s="33">
        <f t="shared" si="27"/>
        <v>810074.99999999988</v>
      </c>
    </row>
    <row r="117" spans="1:21" x14ac:dyDescent="0.25">
      <c r="A117" s="1"/>
      <c r="B117" s="25">
        <v>43461</v>
      </c>
      <c r="C117" s="10" t="s">
        <v>1758</v>
      </c>
      <c r="D117" s="1">
        <v>468.3</v>
      </c>
      <c r="E117" s="30">
        <v>1300</v>
      </c>
      <c r="F117" s="1">
        <v>460</v>
      </c>
      <c r="G117" s="1">
        <v>24.8</v>
      </c>
      <c r="H117" s="1">
        <v>28600</v>
      </c>
      <c r="I117" s="1">
        <v>1300</v>
      </c>
      <c r="J117" s="1">
        <v>21.75</v>
      </c>
      <c r="K117" s="1">
        <v>23.85</v>
      </c>
      <c r="L117" s="1">
        <v>3900</v>
      </c>
      <c r="M117" s="36">
        <v>-5.8873000000000002E-2</v>
      </c>
      <c r="N117" s="1"/>
      <c r="O117" s="7">
        <f t="shared" si="21"/>
        <v>5.2957505872304078E-2</v>
      </c>
      <c r="P117" s="7">
        <f t="shared" ca="1" si="22"/>
        <v>-1.0067966895875301E-4</v>
      </c>
      <c r="Q117" s="7" t="e">
        <f t="shared" ca="1" si="23"/>
        <v>#NAME?</v>
      </c>
      <c r="R117" s="33" t="e">
        <f t="shared" ca="1" si="24"/>
        <v>#NAME?</v>
      </c>
      <c r="S117" s="33" t="e">
        <f t="shared" ca="1" si="25"/>
        <v>#NAME?</v>
      </c>
      <c r="T117" s="7" t="e">
        <f t="shared" ca="1" si="26"/>
        <v>#NAME?</v>
      </c>
      <c r="U117" s="33">
        <f t="shared" si="27"/>
        <v>608790</v>
      </c>
    </row>
    <row r="118" spans="1:21" x14ac:dyDescent="0.25">
      <c r="A118" s="1"/>
      <c r="B118" s="25">
        <v>43461</v>
      </c>
      <c r="C118" s="10" t="s">
        <v>995</v>
      </c>
      <c r="D118" s="1">
        <v>642.4</v>
      </c>
      <c r="E118" s="30">
        <v>1250</v>
      </c>
      <c r="F118" s="1">
        <v>650</v>
      </c>
      <c r="G118" s="1">
        <v>22</v>
      </c>
      <c r="H118" s="1">
        <v>30000</v>
      </c>
      <c r="I118" s="1">
        <v>2500</v>
      </c>
      <c r="J118" s="1">
        <v>20.100000000000001</v>
      </c>
      <c r="K118" s="1">
        <v>22.3</v>
      </c>
      <c r="L118" s="1">
        <v>17500</v>
      </c>
      <c r="M118" s="36">
        <v>-0.43035800000000002</v>
      </c>
      <c r="N118" s="1"/>
      <c r="O118" s="7">
        <f t="shared" si="21"/>
        <v>3.4246575342465752E-2</v>
      </c>
      <c r="P118" s="7">
        <f t="shared" ca="1" si="22"/>
        <v>-6.5107557685296108E-5</v>
      </c>
      <c r="Q118" s="7" t="e">
        <f t="shared" ca="1" si="23"/>
        <v>#NAME?</v>
      </c>
      <c r="R118" s="33" t="e">
        <f t="shared" ca="1" si="24"/>
        <v>#NAME?</v>
      </c>
      <c r="S118" s="33" t="e">
        <f t="shared" ca="1" si="25"/>
        <v>#NAME?</v>
      </c>
      <c r="T118" s="7" t="e">
        <f t="shared" ca="1" si="26"/>
        <v>#NAME?</v>
      </c>
      <c r="U118" s="33">
        <f t="shared" si="27"/>
        <v>803000</v>
      </c>
    </row>
    <row r="119" spans="1:21" x14ac:dyDescent="0.25">
      <c r="A119" s="1"/>
      <c r="B119" s="25">
        <v>43461</v>
      </c>
      <c r="C119" s="10" t="s">
        <v>1758</v>
      </c>
      <c r="D119" s="1">
        <v>468.3</v>
      </c>
      <c r="E119" s="30">
        <v>1300</v>
      </c>
      <c r="F119" s="1">
        <v>470</v>
      </c>
      <c r="G119" s="1">
        <v>17.350000000000001</v>
      </c>
      <c r="H119" s="1">
        <v>93600</v>
      </c>
      <c r="I119" s="1">
        <v>1300</v>
      </c>
      <c r="J119" s="1">
        <v>17</v>
      </c>
      <c r="K119" s="1">
        <v>17.55</v>
      </c>
      <c r="L119" s="1">
        <v>2600</v>
      </c>
      <c r="M119" s="36">
        <v>-5.8873000000000002E-2</v>
      </c>
      <c r="N119" s="1"/>
      <c r="O119" s="7">
        <f t="shared" si="21"/>
        <v>3.7048900277599835E-2</v>
      </c>
      <c r="P119" s="7">
        <f t="shared" ca="1" si="22"/>
        <v>-7.0435171630417939E-5</v>
      </c>
      <c r="Q119" s="7" t="e">
        <f t="shared" ca="1" si="23"/>
        <v>#NAME?</v>
      </c>
      <c r="R119" s="33" t="e">
        <f t="shared" ca="1" si="24"/>
        <v>#NAME?</v>
      </c>
      <c r="S119" s="33" t="e">
        <f t="shared" ca="1" si="25"/>
        <v>#NAME?</v>
      </c>
      <c r="T119" s="7" t="e">
        <f t="shared" ca="1" si="26"/>
        <v>#NAME?</v>
      </c>
      <c r="U119" s="33">
        <f t="shared" si="27"/>
        <v>608790</v>
      </c>
    </row>
    <row r="120" spans="1:21" x14ac:dyDescent="0.25">
      <c r="A120" s="1"/>
      <c r="B120" s="25">
        <v>43461</v>
      </c>
      <c r="C120" s="10" t="s">
        <v>1287</v>
      </c>
      <c r="D120" s="1">
        <v>16.350000000000001</v>
      </c>
      <c r="E120" s="30">
        <v>28000</v>
      </c>
      <c r="F120" s="1">
        <v>17</v>
      </c>
      <c r="G120" s="1">
        <v>1.55</v>
      </c>
      <c r="H120" s="1">
        <v>6720000</v>
      </c>
      <c r="I120" s="1">
        <v>56000</v>
      </c>
      <c r="J120" s="1">
        <v>1.55</v>
      </c>
      <c r="K120" s="1">
        <v>1.65</v>
      </c>
      <c r="L120" s="1">
        <v>84000</v>
      </c>
      <c r="M120" s="36">
        <v>-0.26830999999999999</v>
      </c>
      <c r="N120" s="1"/>
      <c r="O120" s="7">
        <f t="shared" si="21"/>
        <v>9.480122324159021E-2</v>
      </c>
      <c r="P120" s="7">
        <f t="shared" ca="1" si="22"/>
        <v>-1.8023046243648329E-4</v>
      </c>
      <c r="Q120" s="7" t="e">
        <f t="shared" ca="1" si="23"/>
        <v>#NAME?</v>
      </c>
      <c r="R120" s="33" t="e">
        <f t="shared" ca="1" si="24"/>
        <v>#NAME?</v>
      </c>
      <c r="S120" s="33" t="e">
        <f t="shared" ca="1" si="25"/>
        <v>#NAME?</v>
      </c>
      <c r="T120" s="7" t="e">
        <f t="shared" ca="1" si="26"/>
        <v>#NAME?</v>
      </c>
      <c r="U120" s="33">
        <f t="shared" si="27"/>
        <v>457800.00000000006</v>
      </c>
    </row>
    <row r="121" spans="1:21" x14ac:dyDescent="0.25">
      <c r="A121" s="1"/>
      <c r="B121" s="25">
        <v>43461</v>
      </c>
      <c r="C121" s="10" t="s">
        <v>612</v>
      </c>
      <c r="D121" s="1">
        <v>1012.35</v>
      </c>
      <c r="E121" s="30">
        <v>700</v>
      </c>
      <c r="F121" s="1">
        <v>1010</v>
      </c>
      <c r="G121" s="1">
        <v>35.299999999999997</v>
      </c>
      <c r="H121" s="1">
        <v>4200</v>
      </c>
      <c r="I121" s="1">
        <v>700</v>
      </c>
      <c r="J121" s="1">
        <v>33.299999999999997</v>
      </c>
      <c r="K121" s="1">
        <v>36.049999999999997</v>
      </c>
      <c r="L121" s="1">
        <v>2800</v>
      </c>
      <c r="M121" s="36">
        <v>-6.1822000000000002E-2</v>
      </c>
      <c r="N121" s="1"/>
      <c r="O121" s="7">
        <f t="shared" si="21"/>
        <v>3.4869363362473448E-2</v>
      </c>
      <c r="P121" s="7">
        <f t="shared" ca="1" si="22"/>
        <v>-6.6291565327896291E-5</v>
      </c>
      <c r="Q121" s="7" t="e">
        <f t="shared" ca="1" si="23"/>
        <v>#NAME?</v>
      </c>
      <c r="R121" s="33" t="e">
        <f t="shared" ca="1" si="24"/>
        <v>#NAME?</v>
      </c>
      <c r="S121" s="33" t="e">
        <f t="shared" ca="1" si="25"/>
        <v>#NAME?</v>
      </c>
      <c r="T121" s="7" t="e">
        <f t="shared" ca="1" si="26"/>
        <v>#NAME?</v>
      </c>
      <c r="U121" s="33">
        <f t="shared" si="27"/>
        <v>708645</v>
      </c>
    </row>
    <row r="122" spans="1:21" x14ac:dyDescent="0.25">
      <c r="A122" s="1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M691"/>
  <sheetViews>
    <sheetView topLeftCell="AB1" zoomScale="80" zoomScaleNormal="80" workbookViewId="0">
      <pane ySplit="3" topLeftCell="A4" activePane="bottomLeft" state="frozen"/>
      <selection pane="bottomLeft" activeCell="AH9" sqref="AH9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  <col min="37" max="37" width="12" bestFit="1" customWidth="1"/>
  </cols>
  <sheetData>
    <row r="1" spans="1:39" x14ac:dyDescent="0.25">
      <c r="A1" s="59"/>
      <c r="B1" s="68" t="s">
        <v>1852</v>
      </c>
      <c r="C1" s="68"/>
      <c r="D1" s="12"/>
      <c r="E1" s="12"/>
      <c r="F1" s="1" t="s">
        <v>1900</v>
      </c>
      <c r="G1" s="1" t="s">
        <v>1902</v>
      </c>
      <c r="H1" s="59" t="s">
        <v>1901</v>
      </c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  <c r="AG1" s="65" t="s">
        <v>1892</v>
      </c>
      <c r="AH1" s="65">
        <f ca="1">VLOOKUP(AG2,$A:$N,4,0)</f>
        <v>469.1</v>
      </c>
      <c r="AI1" s="65">
        <f ca="1">VLOOKUP(AG2,$A:$N,7,0)</f>
        <v>16</v>
      </c>
      <c r="AJ1" s="65">
        <f ca="1">VLOOKUP(AG2,$A:$N,9,0)</f>
        <v>10.35</v>
      </c>
      <c r="AK1" s="65">
        <f ca="1">VLOOKUP(AG2,$A:$N,5,0)</f>
        <v>1300</v>
      </c>
    </row>
    <row r="2" spans="1:39" x14ac:dyDescent="0.25">
      <c r="A2" s="31"/>
      <c r="B2" s="69"/>
      <c r="C2" s="69"/>
      <c r="D2" s="31"/>
      <c r="E2" s="31"/>
      <c r="F2" s="31" t="s">
        <v>1899</v>
      </c>
      <c r="G2" s="31" t="b">
        <v>1</v>
      </c>
      <c r="H2" s="31" t="b">
        <v>0</v>
      </c>
      <c r="I2" s="31"/>
      <c r="J2" s="31"/>
      <c r="K2" s="31"/>
      <c r="L2" s="31"/>
      <c r="M2" s="31"/>
      <c r="N2" s="31"/>
      <c r="O2" s="5"/>
      <c r="P2" s="4"/>
      <c r="Q2" s="1"/>
      <c r="R2" s="1"/>
      <c r="S2" s="1"/>
      <c r="T2" s="70" t="s">
        <v>1851</v>
      </c>
      <c r="U2" s="72"/>
      <c r="V2" s="70" t="s">
        <v>1849</v>
      </c>
      <c r="W2" s="71"/>
      <c r="X2" s="71"/>
      <c r="Y2" s="72"/>
      <c r="Z2" s="70" t="s">
        <v>1850</v>
      </c>
      <c r="AA2" s="71"/>
      <c r="AB2" s="71"/>
      <c r="AC2" s="72"/>
      <c r="AD2" s="1"/>
      <c r="AE2" s="1"/>
      <c r="AG2" s="66">
        <v>82</v>
      </c>
      <c r="AH2" s="65">
        <f ca="1">(AI2-AJ2)/50</f>
        <v>0.2</v>
      </c>
      <c r="AI2" s="65">
        <f ca="1">VLOOKUP(AG2,$A:$N,6,0)</f>
        <v>430</v>
      </c>
      <c r="AJ2" s="65">
        <f ca="1">VLOOKUP(AG2,$A:$N,8,0)</f>
        <v>420</v>
      </c>
      <c r="AK2" s="65"/>
      <c r="AM2" s="11"/>
    </row>
    <row r="3" spans="1:39" ht="47.25" customHeight="1" x14ac:dyDescent="0.25">
      <c r="A3" s="1"/>
      <c r="B3" s="61" t="s">
        <v>1803</v>
      </c>
      <c r="C3" s="61" t="s">
        <v>1838</v>
      </c>
      <c r="D3" s="61" t="s">
        <v>1839</v>
      </c>
      <c r="E3" s="61" t="s">
        <v>1840</v>
      </c>
      <c r="F3" s="61" t="s">
        <v>1893</v>
      </c>
      <c r="G3" s="61" t="s">
        <v>1894</v>
      </c>
      <c r="H3" s="61" t="s">
        <v>1837</v>
      </c>
      <c r="I3" s="61" t="s">
        <v>1819</v>
      </c>
      <c r="J3" s="61" t="s">
        <v>1822</v>
      </c>
      <c r="K3" s="61" t="s">
        <v>1815</v>
      </c>
      <c r="L3" s="61" t="s">
        <v>1816</v>
      </c>
      <c r="M3" s="61" t="s">
        <v>1817</v>
      </c>
      <c r="N3" s="61" t="s">
        <v>1818</v>
      </c>
      <c r="O3" s="5"/>
      <c r="P3" s="61" t="s">
        <v>1826</v>
      </c>
      <c r="Q3" s="61" t="s">
        <v>1827</v>
      </c>
      <c r="R3" s="61" t="s">
        <v>1854</v>
      </c>
      <c r="S3" s="61" t="s">
        <v>1855</v>
      </c>
      <c r="T3" s="62" t="s">
        <v>1824</v>
      </c>
      <c r="U3" s="63" t="s">
        <v>1829</v>
      </c>
      <c r="V3" s="62" t="s">
        <v>1831</v>
      </c>
      <c r="W3" s="61" t="s">
        <v>1825</v>
      </c>
      <c r="X3" s="61" t="s">
        <v>1830</v>
      </c>
      <c r="Y3" s="63" t="s">
        <v>1832</v>
      </c>
      <c r="Z3" s="62" t="s">
        <v>1847</v>
      </c>
      <c r="AA3" s="61" t="s">
        <v>1848</v>
      </c>
      <c r="AB3" s="61" t="s">
        <v>1832</v>
      </c>
      <c r="AC3" s="63" t="s">
        <v>1832</v>
      </c>
      <c r="AD3" s="1"/>
      <c r="AE3" s="1"/>
      <c r="AG3" s="65"/>
      <c r="AH3" s="66" t="s">
        <v>1888</v>
      </c>
      <c r="AI3" s="65" t="s">
        <v>1895</v>
      </c>
      <c r="AJ3" s="65" t="s">
        <v>1896</v>
      </c>
      <c r="AK3" s="65" t="s">
        <v>1891</v>
      </c>
    </row>
    <row r="4" spans="1:39" x14ac:dyDescent="0.25">
      <c r="A4" s="1">
        <v>1</v>
      </c>
      <c r="B4" s="25">
        <v>44007</v>
      </c>
      <c r="C4" s="10" t="s">
        <v>1080</v>
      </c>
      <c r="D4" s="1">
        <v>29.3</v>
      </c>
      <c r="E4" s="30">
        <v>9000</v>
      </c>
      <c r="F4" s="1">
        <v>28</v>
      </c>
      <c r="G4" s="1">
        <v>1.3</v>
      </c>
      <c r="H4" s="1">
        <v>19</v>
      </c>
      <c r="I4" s="1">
        <v>0.1</v>
      </c>
      <c r="J4" s="1">
        <v>198000</v>
      </c>
      <c r="K4" s="1">
        <v>144000</v>
      </c>
      <c r="L4" s="1">
        <v>0.05</v>
      </c>
      <c r="M4" s="1">
        <v>0.1</v>
      </c>
      <c r="N4" s="1">
        <v>9000</v>
      </c>
      <c r="O4" s="9"/>
      <c r="P4" s="7">
        <f t="shared" ref="P4:P67" ca="1" si="0">($G4-$I4)/($F4-$H4)</f>
        <v>0.13333333333333333</v>
      </c>
      <c r="Q4" s="7">
        <f t="shared" ref="Q4:Q32" ca="1" si="1">P4/($B4-TODAY())</f>
        <v>6.6666666666666662E-3</v>
      </c>
      <c r="R4" s="33">
        <f t="shared" ref="R4:R67" ca="1" si="2">$E4*($G4-$I4)</f>
        <v>10800</v>
      </c>
      <c r="S4" s="33">
        <f t="shared" ref="S4:S67" ca="1" si="3">-(($F4-$H4)*$E4-$R4)</f>
        <v>-70200</v>
      </c>
      <c r="T4" s="33">
        <f t="shared" ref="T4:T32" ca="1" si="4">R4</f>
        <v>10800</v>
      </c>
      <c r="U4" s="7">
        <f t="shared" ref="U4:U67" ca="1" si="5">ABS($T4/$S4)</f>
        <v>0.15384615384615385</v>
      </c>
      <c r="V4" s="7">
        <f t="shared" ref="V4:V67" ca="1" si="6">mrigxl_max_drawdown($C4,INT($B4-TODAY()))</f>
        <v>-0.85949313348102185</v>
      </c>
      <c r="W4" s="33">
        <f t="shared" ref="W4:W32" ca="1" si="7">-(MAX(($F4-MAX($D4*(1+V4),$H4)),0)*$E4-$R4)</f>
        <v>-70200</v>
      </c>
      <c r="X4" s="7">
        <f t="shared" ref="X4:X32" ca="1" si="8">W4/ABS($S4)</f>
        <v>-1</v>
      </c>
      <c r="Y4" s="7">
        <f t="shared" ref="Y4:Y32" ca="1" si="9">$U4+X4</f>
        <v>-0.84615384615384615</v>
      </c>
      <c r="Z4" s="7">
        <f t="shared" ref="Z4:Z67" ca="1" si="10">mrigxl_avg_drawdown($C4,INT($B4-TODAY()))</f>
        <v>-0.30816925109065951</v>
      </c>
      <c r="AA4" s="33">
        <f t="shared" ref="AA4:AA32" ca="1" si="11">-(MAX(($F4-MAX($D4*(1+Z4),$H4)),0)*$E4-$R4)</f>
        <v>-58764.231512606901</v>
      </c>
      <c r="AB4" s="7">
        <f t="shared" ref="AB4:AB32" ca="1" si="12">AA4/$R4</f>
        <v>-5.4411325474636021</v>
      </c>
      <c r="AC4" s="7">
        <f ca="1">AVERAGE($U4,AB4)</f>
        <v>-2.6436431968087239</v>
      </c>
      <c r="AD4" s="40"/>
      <c r="AE4" s="40"/>
      <c r="AF4" s="34"/>
      <c r="AH4" s="34"/>
    </row>
    <row r="5" spans="1:39" x14ac:dyDescent="0.25">
      <c r="A5" s="1">
        <v>2</v>
      </c>
      <c r="B5" s="25">
        <v>44007</v>
      </c>
      <c r="C5" s="10" t="s">
        <v>1080</v>
      </c>
      <c r="D5" s="1">
        <v>29.3</v>
      </c>
      <c r="E5" s="30">
        <v>9000</v>
      </c>
      <c r="F5" s="1">
        <v>28</v>
      </c>
      <c r="G5" s="1">
        <v>1.3</v>
      </c>
      <c r="H5" s="1">
        <v>20</v>
      </c>
      <c r="I5" s="1">
        <v>0.1</v>
      </c>
      <c r="J5" s="1">
        <v>1440000</v>
      </c>
      <c r="K5" s="1">
        <v>270000</v>
      </c>
      <c r="L5" s="1">
        <v>0.1</v>
      </c>
      <c r="M5" s="1">
        <v>0.15</v>
      </c>
      <c r="N5" s="1">
        <v>504000</v>
      </c>
      <c r="O5" s="9"/>
      <c r="P5" s="7">
        <f t="shared" ca="1" si="0"/>
        <v>0.15</v>
      </c>
      <c r="Q5" s="7">
        <f t="shared" ca="1" si="1"/>
        <v>7.4999999999999997E-3</v>
      </c>
      <c r="R5" s="33">
        <f t="shared" ca="1" si="2"/>
        <v>10800</v>
      </c>
      <c r="S5" s="33">
        <f t="shared" ca="1" si="3"/>
        <v>-61200</v>
      </c>
      <c r="T5" s="33">
        <f t="shared" ca="1" si="4"/>
        <v>10800</v>
      </c>
      <c r="U5" s="7">
        <f t="shared" ca="1" si="5"/>
        <v>0.17647058823529413</v>
      </c>
      <c r="V5" s="7">
        <f t="shared" ca="1" si="6"/>
        <v>-0.85949313348102185</v>
      </c>
      <c r="W5" s="33">
        <f t="shared" ca="1" si="7"/>
        <v>-61200</v>
      </c>
      <c r="X5" s="7">
        <f t="shared" ca="1" si="8"/>
        <v>-1</v>
      </c>
      <c r="Y5" s="7">
        <f t="shared" ca="1" si="9"/>
        <v>-0.82352941176470584</v>
      </c>
      <c r="Z5" s="7">
        <f t="shared" ca="1" si="10"/>
        <v>-0.30816925109065951</v>
      </c>
      <c r="AA5" s="33">
        <f t="shared" ca="1" si="11"/>
        <v>-58764.231512606901</v>
      </c>
      <c r="AB5" s="7">
        <f t="shared" ca="1" si="12"/>
        <v>-5.4411325474636021</v>
      </c>
      <c r="AC5" s="7">
        <f t="shared" ref="AC5:AC68" ca="1" si="13">AVERAGE($U5,AB5)</f>
        <v>-2.6323309796141539</v>
      </c>
      <c r="AD5" s="1"/>
      <c r="AE5" s="1"/>
    </row>
    <row r="6" spans="1:39" x14ac:dyDescent="0.25">
      <c r="A6" s="1">
        <v>3</v>
      </c>
      <c r="B6" s="25">
        <v>44007</v>
      </c>
      <c r="C6" s="10" t="s">
        <v>1080</v>
      </c>
      <c r="D6" s="1">
        <v>29.3</v>
      </c>
      <c r="E6" s="30">
        <v>9000</v>
      </c>
      <c r="F6" s="1">
        <v>28</v>
      </c>
      <c r="G6" s="1">
        <v>1.3</v>
      </c>
      <c r="H6" s="1">
        <v>21</v>
      </c>
      <c r="I6" s="1">
        <v>0.1</v>
      </c>
      <c r="J6" s="1">
        <v>207000</v>
      </c>
      <c r="K6" s="1">
        <v>81000</v>
      </c>
      <c r="L6" s="1">
        <v>0.1</v>
      </c>
      <c r="M6" s="1">
        <v>0.15</v>
      </c>
      <c r="N6" s="1">
        <v>18000</v>
      </c>
      <c r="O6" s="9"/>
      <c r="P6" s="7">
        <f t="shared" ca="1" si="0"/>
        <v>0.17142857142857143</v>
      </c>
      <c r="Q6" s="7">
        <f t="shared" ca="1" si="1"/>
        <v>8.5714285714285719E-3</v>
      </c>
      <c r="R6" s="33">
        <f t="shared" ca="1" si="2"/>
        <v>10800</v>
      </c>
      <c r="S6" s="33">
        <f t="shared" ca="1" si="3"/>
        <v>-52200</v>
      </c>
      <c r="T6" s="33">
        <f t="shared" ca="1" si="4"/>
        <v>10800</v>
      </c>
      <c r="U6" s="7">
        <f t="shared" ca="1" si="5"/>
        <v>0.20689655172413793</v>
      </c>
      <c r="V6" s="7">
        <f t="shared" ca="1" si="6"/>
        <v>-0.85949313348102185</v>
      </c>
      <c r="W6" s="33">
        <f t="shared" ca="1" si="7"/>
        <v>-52200</v>
      </c>
      <c r="X6" s="7">
        <f t="shared" ca="1" si="8"/>
        <v>-1</v>
      </c>
      <c r="Y6" s="7">
        <f t="shared" ca="1" si="9"/>
        <v>-0.7931034482758621</v>
      </c>
      <c r="Z6" s="7">
        <f t="shared" ca="1" si="10"/>
        <v>-0.30816925109065951</v>
      </c>
      <c r="AA6" s="33">
        <f t="shared" ca="1" si="11"/>
        <v>-52200</v>
      </c>
      <c r="AB6" s="7">
        <f t="shared" ca="1" si="12"/>
        <v>-4.833333333333333</v>
      </c>
      <c r="AC6" s="7">
        <f t="shared" ca="1" si="13"/>
        <v>-2.3132183908045976</v>
      </c>
      <c r="AD6" s="1"/>
      <c r="AE6" s="1"/>
    </row>
    <row r="7" spans="1:39" x14ac:dyDescent="0.25">
      <c r="A7" s="1">
        <v>4</v>
      </c>
      <c r="B7" s="25">
        <v>44007</v>
      </c>
      <c r="C7" s="10" t="s">
        <v>1080</v>
      </c>
      <c r="D7" s="1">
        <v>29.3</v>
      </c>
      <c r="E7" s="30">
        <v>9000</v>
      </c>
      <c r="F7" s="1">
        <v>28</v>
      </c>
      <c r="G7" s="1">
        <v>1.3</v>
      </c>
      <c r="H7" s="1">
        <v>22</v>
      </c>
      <c r="I7" s="1">
        <v>0.2</v>
      </c>
      <c r="J7" s="1">
        <v>684000</v>
      </c>
      <c r="K7" s="1">
        <v>63000</v>
      </c>
      <c r="L7" s="1">
        <v>0.15</v>
      </c>
      <c r="M7" s="1">
        <v>0.2</v>
      </c>
      <c r="N7" s="1">
        <v>81000</v>
      </c>
      <c r="O7" s="9"/>
      <c r="P7" s="7">
        <f t="shared" ca="1" si="0"/>
        <v>0.18333333333333335</v>
      </c>
      <c r="Q7" s="7">
        <f t="shared" ca="1" si="1"/>
        <v>9.1666666666666667E-3</v>
      </c>
      <c r="R7" s="33">
        <f t="shared" ca="1" si="2"/>
        <v>9900</v>
      </c>
      <c r="S7" s="33">
        <f t="shared" ca="1" si="3"/>
        <v>-44100</v>
      </c>
      <c r="T7" s="33">
        <f t="shared" ca="1" si="4"/>
        <v>9900</v>
      </c>
      <c r="U7" s="7">
        <f t="shared" ca="1" si="5"/>
        <v>0.22448979591836735</v>
      </c>
      <c r="V7" s="7">
        <f t="shared" ca="1" si="6"/>
        <v>-0.85949313348102185</v>
      </c>
      <c r="W7" s="33">
        <f t="shared" ca="1" si="7"/>
        <v>-44100</v>
      </c>
      <c r="X7" s="7">
        <f t="shared" ca="1" si="8"/>
        <v>-1</v>
      </c>
      <c r="Y7" s="7">
        <f t="shared" ca="1" si="9"/>
        <v>-0.77551020408163263</v>
      </c>
      <c r="Z7" s="7">
        <f t="shared" ca="1" si="10"/>
        <v>-0.30816925109065951</v>
      </c>
      <c r="AA7" s="33">
        <f t="shared" ca="1" si="11"/>
        <v>-44100</v>
      </c>
      <c r="AB7" s="7">
        <f t="shared" ca="1" si="12"/>
        <v>-4.4545454545454541</v>
      </c>
      <c r="AC7" s="7">
        <f t="shared" ca="1" si="13"/>
        <v>-2.1150278293135436</v>
      </c>
      <c r="AD7" s="1"/>
      <c r="AE7" s="1"/>
    </row>
    <row r="8" spans="1:39" x14ac:dyDescent="0.25">
      <c r="A8" s="1">
        <v>5</v>
      </c>
      <c r="B8" s="25">
        <v>44007</v>
      </c>
      <c r="C8" s="10" t="s">
        <v>1080</v>
      </c>
      <c r="D8" s="1">
        <v>29.3</v>
      </c>
      <c r="E8" s="30">
        <v>9000</v>
      </c>
      <c r="F8" s="1">
        <v>28</v>
      </c>
      <c r="G8" s="1">
        <v>1.3</v>
      </c>
      <c r="H8" s="1">
        <v>23</v>
      </c>
      <c r="I8" s="1">
        <v>0.2</v>
      </c>
      <c r="J8" s="1">
        <v>504000</v>
      </c>
      <c r="K8" s="1">
        <v>162000</v>
      </c>
      <c r="L8" s="1">
        <v>0.2</v>
      </c>
      <c r="M8" s="1">
        <v>0.25</v>
      </c>
      <c r="N8" s="1">
        <v>63000</v>
      </c>
      <c r="O8" s="9"/>
      <c r="P8" s="7">
        <f t="shared" ca="1" si="0"/>
        <v>0.22000000000000003</v>
      </c>
      <c r="Q8" s="7">
        <f t="shared" ca="1" si="1"/>
        <v>1.1000000000000001E-2</v>
      </c>
      <c r="R8" s="33">
        <f t="shared" ca="1" si="2"/>
        <v>9900</v>
      </c>
      <c r="S8" s="33">
        <f t="shared" ca="1" si="3"/>
        <v>-35100</v>
      </c>
      <c r="T8" s="33">
        <f t="shared" ca="1" si="4"/>
        <v>9900</v>
      </c>
      <c r="U8" s="7">
        <f t="shared" ca="1" si="5"/>
        <v>0.28205128205128205</v>
      </c>
      <c r="V8" s="7">
        <f t="shared" ca="1" si="6"/>
        <v>-0.85949313348102185</v>
      </c>
      <c r="W8" s="33">
        <f t="shared" ca="1" si="7"/>
        <v>-35100</v>
      </c>
      <c r="X8" s="7">
        <f t="shared" ca="1" si="8"/>
        <v>-1</v>
      </c>
      <c r="Y8" s="7">
        <f t="shared" ca="1" si="9"/>
        <v>-0.71794871794871795</v>
      </c>
      <c r="Z8" s="7">
        <f t="shared" ca="1" si="10"/>
        <v>-0.30816925109065951</v>
      </c>
      <c r="AA8" s="33">
        <f t="shared" ca="1" si="11"/>
        <v>-35100</v>
      </c>
      <c r="AB8" s="7">
        <f t="shared" ca="1" si="12"/>
        <v>-3.5454545454545454</v>
      </c>
      <c r="AC8" s="7">
        <f t="shared" ca="1" si="13"/>
        <v>-1.6317016317016317</v>
      </c>
      <c r="AD8" s="1"/>
      <c r="AE8" s="1"/>
      <c r="AH8" s="65">
        <f ca="1">$AJ$2-$AH$2*3</f>
        <v>419.4</v>
      </c>
      <c r="AI8" s="65">
        <f ca="1">-MAX($AI$2-AH8,0)+$AI$1</f>
        <v>5.3999999999999773</v>
      </c>
      <c r="AJ8" s="65">
        <f ca="1">MAX($AJ$2-AH8,0)-$AJ$1</f>
        <v>-9.7499999999999769</v>
      </c>
      <c r="AK8" s="67">
        <f t="shared" ref="AK8:AK64" ca="1" si="14">(AI8+AJ8)*$AK$1</f>
        <v>-5654.9999999999991</v>
      </c>
    </row>
    <row r="9" spans="1:39" x14ac:dyDescent="0.25">
      <c r="A9" s="1">
        <v>6</v>
      </c>
      <c r="B9" s="25">
        <v>44007</v>
      </c>
      <c r="C9" s="10" t="s">
        <v>1080</v>
      </c>
      <c r="D9" s="1">
        <v>29.3</v>
      </c>
      <c r="E9" s="30">
        <v>9000</v>
      </c>
      <c r="F9" s="1">
        <v>28</v>
      </c>
      <c r="G9" s="1">
        <v>1.3</v>
      </c>
      <c r="H9" s="1">
        <v>24</v>
      </c>
      <c r="I9" s="1">
        <v>0.35</v>
      </c>
      <c r="J9" s="1">
        <v>477000</v>
      </c>
      <c r="K9" s="1">
        <v>27000</v>
      </c>
      <c r="L9" s="1">
        <v>0.3</v>
      </c>
      <c r="M9" s="1">
        <v>0.35</v>
      </c>
      <c r="N9" s="1">
        <v>36000</v>
      </c>
      <c r="O9" s="9"/>
      <c r="P9" s="7">
        <f t="shared" ca="1" si="0"/>
        <v>0.23750000000000002</v>
      </c>
      <c r="Q9" s="7">
        <f t="shared" ca="1" si="1"/>
        <v>1.1875E-2</v>
      </c>
      <c r="R9" s="33">
        <f t="shared" ca="1" si="2"/>
        <v>8550</v>
      </c>
      <c r="S9" s="33">
        <f t="shared" ca="1" si="3"/>
        <v>-27450</v>
      </c>
      <c r="T9" s="33">
        <f t="shared" ca="1" si="4"/>
        <v>8550</v>
      </c>
      <c r="U9" s="7">
        <f t="shared" ca="1" si="5"/>
        <v>0.31147540983606559</v>
      </c>
      <c r="V9" s="7">
        <f t="shared" ca="1" si="6"/>
        <v>-0.85949313348102185</v>
      </c>
      <c r="W9" s="33">
        <f t="shared" ca="1" si="7"/>
        <v>-27450</v>
      </c>
      <c r="X9" s="7">
        <f t="shared" ca="1" si="8"/>
        <v>-1</v>
      </c>
      <c r="Y9" s="7">
        <f t="shared" ca="1" si="9"/>
        <v>-0.68852459016393441</v>
      </c>
      <c r="Z9" s="7">
        <f t="shared" ca="1" si="10"/>
        <v>-0.30816925109065951</v>
      </c>
      <c r="AA9" s="33">
        <f t="shared" ca="1" si="11"/>
        <v>-27450</v>
      </c>
      <c r="AB9" s="7">
        <f t="shared" ca="1" si="12"/>
        <v>-3.2105263157894739</v>
      </c>
      <c r="AC9" s="7">
        <f t="shared" ca="1" si="13"/>
        <v>-1.4495254529767041</v>
      </c>
      <c r="AD9" s="1"/>
      <c r="AE9" s="1"/>
      <c r="AH9" s="65">
        <f t="shared" ref="AH9:AH64" ca="1" si="15">AH8+$AH$2</f>
        <v>419.59999999999997</v>
      </c>
      <c r="AI9" s="65">
        <f t="shared" ref="AI9:AI64" ca="1" si="16">-MAX($AI$2-AH9,0)+$AI$1</f>
        <v>5.5999999999999659</v>
      </c>
      <c r="AJ9" s="65">
        <f t="shared" ref="AJ9:AJ64" ca="1" si="17">MAX($AJ$2-AH9,0)-$AJ$1</f>
        <v>-9.9499999999999655</v>
      </c>
      <c r="AK9" s="67">
        <f t="shared" ca="1" si="14"/>
        <v>-5654.9999999999991</v>
      </c>
    </row>
    <row r="10" spans="1:39" x14ac:dyDescent="0.25">
      <c r="A10" s="1">
        <v>7</v>
      </c>
      <c r="B10" s="25">
        <v>44007</v>
      </c>
      <c r="C10" s="10" t="s">
        <v>1080</v>
      </c>
      <c r="D10" s="1">
        <v>29.3</v>
      </c>
      <c r="E10" s="30">
        <v>9000</v>
      </c>
      <c r="F10" s="1">
        <v>28</v>
      </c>
      <c r="G10" s="1">
        <v>1.3</v>
      </c>
      <c r="H10" s="1">
        <v>25</v>
      </c>
      <c r="I10" s="1">
        <v>0.5</v>
      </c>
      <c r="J10" s="1">
        <v>999000</v>
      </c>
      <c r="K10" s="1">
        <v>63000</v>
      </c>
      <c r="L10" s="1">
        <v>0.45</v>
      </c>
      <c r="M10" s="1">
        <v>0.5</v>
      </c>
      <c r="N10" s="1">
        <v>45000</v>
      </c>
      <c r="O10" s="9"/>
      <c r="P10" s="7">
        <f t="shared" ca="1" si="0"/>
        <v>0.26666666666666666</v>
      </c>
      <c r="Q10" s="7">
        <f t="shared" ca="1" si="1"/>
        <v>1.3333333333333332E-2</v>
      </c>
      <c r="R10" s="33">
        <f t="shared" ca="1" si="2"/>
        <v>7200</v>
      </c>
      <c r="S10" s="33">
        <f t="shared" ca="1" si="3"/>
        <v>-19800</v>
      </c>
      <c r="T10" s="33">
        <f t="shared" ca="1" si="4"/>
        <v>7200</v>
      </c>
      <c r="U10" s="7">
        <f t="shared" ca="1" si="5"/>
        <v>0.36363636363636365</v>
      </c>
      <c r="V10" s="7">
        <f t="shared" ca="1" si="6"/>
        <v>-0.85949313348102185</v>
      </c>
      <c r="W10" s="33">
        <f t="shared" ca="1" si="7"/>
        <v>-19800</v>
      </c>
      <c r="X10" s="7">
        <f t="shared" ca="1" si="8"/>
        <v>-1</v>
      </c>
      <c r="Y10" s="7">
        <f t="shared" ca="1" si="9"/>
        <v>-0.63636363636363635</v>
      </c>
      <c r="Z10" s="7">
        <f t="shared" ca="1" si="10"/>
        <v>-0.30816925109065951</v>
      </c>
      <c r="AA10" s="33">
        <f t="shared" ca="1" si="11"/>
        <v>-19800</v>
      </c>
      <c r="AB10" s="7">
        <f t="shared" ca="1" si="12"/>
        <v>-2.75</v>
      </c>
      <c r="AC10" s="7">
        <f t="shared" ca="1" si="13"/>
        <v>-1.1931818181818181</v>
      </c>
      <c r="AD10" s="1"/>
      <c r="AE10" s="1"/>
      <c r="AH10" s="65">
        <f t="shared" ca="1" si="15"/>
        <v>419.79999999999995</v>
      </c>
      <c r="AI10" s="65">
        <f t="shared" ca="1" si="16"/>
        <v>5.7999999999999545</v>
      </c>
      <c r="AJ10" s="65">
        <f t="shared" ca="1" si="17"/>
        <v>-10.149999999999954</v>
      </c>
      <c r="AK10" s="67">
        <f t="shared" ca="1" si="14"/>
        <v>-5654.9999999999991</v>
      </c>
    </row>
    <row r="11" spans="1:39" x14ac:dyDescent="0.25">
      <c r="A11" s="1">
        <v>8</v>
      </c>
      <c r="B11" s="25">
        <v>44007</v>
      </c>
      <c r="C11" s="10" t="s">
        <v>1080</v>
      </c>
      <c r="D11" s="1">
        <v>29.3</v>
      </c>
      <c r="E11" s="30">
        <v>9000</v>
      </c>
      <c r="F11" s="1">
        <v>28</v>
      </c>
      <c r="G11" s="1">
        <v>1.3</v>
      </c>
      <c r="H11" s="1">
        <v>26</v>
      </c>
      <c r="I11" s="1">
        <v>0.65</v>
      </c>
      <c r="J11" s="1">
        <v>1233000</v>
      </c>
      <c r="K11" s="1">
        <v>36000</v>
      </c>
      <c r="L11" s="1">
        <v>0.65</v>
      </c>
      <c r="M11" s="1">
        <v>0.7</v>
      </c>
      <c r="N11" s="1">
        <v>9000</v>
      </c>
      <c r="O11" s="9"/>
      <c r="P11" s="7">
        <f t="shared" ca="1" si="0"/>
        <v>0.32500000000000001</v>
      </c>
      <c r="Q11" s="7">
        <f t="shared" ca="1" si="1"/>
        <v>1.6250000000000001E-2</v>
      </c>
      <c r="R11" s="33">
        <f t="shared" ca="1" si="2"/>
        <v>5850</v>
      </c>
      <c r="S11" s="33">
        <f t="shared" ca="1" si="3"/>
        <v>-12150</v>
      </c>
      <c r="T11" s="33">
        <f t="shared" ca="1" si="4"/>
        <v>5850</v>
      </c>
      <c r="U11" s="7">
        <f t="shared" ca="1" si="5"/>
        <v>0.48148148148148145</v>
      </c>
      <c r="V11" s="7">
        <f t="shared" ca="1" si="6"/>
        <v>-0.85949313348102185</v>
      </c>
      <c r="W11" s="33">
        <f t="shared" ca="1" si="7"/>
        <v>-12150</v>
      </c>
      <c r="X11" s="7">
        <f t="shared" ca="1" si="8"/>
        <v>-1</v>
      </c>
      <c r="Y11" s="7">
        <f t="shared" ca="1" si="9"/>
        <v>-0.5185185185185186</v>
      </c>
      <c r="Z11" s="7">
        <f t="shared" ca="1" si="10"/>
        <v>-0.30816925109065951</v>
      </c>
      <c r="AA11" s="33">
        <f t="shared" ca="1" si="11"/>
        <v>-12150</v>
      </c>
      <c r="AB11" s="7">
        <f t="shared" ca="1" si="12"/>
        <v>-2.0769230769230771</v>
      </c>
      <c r="AC11" s="7">
        <f t="shared" ca="1" si="13"/>
        <v>-0.79772079772079785</v>
      </c>
      <c r="AD11" s="1"/>
      <c r="AE11" s="1"/>
      <c r="AH11" s="65">
        <f t="shared" ca="1" si="15"/>
        <v>419.99999999999994</v>
      </c>
      <c r="AI11" s="65">
        <f t="shared" ca="1" si="16"/>
        <v>5.9999999999999432</v>
      </c>
      <c r="AJ11" s="65">
        <f t="shared" ca="1" si="17"/>
        <v>-10.349999999999943</v>
      </c>
      <c r="AK11" s="67">
        <f t="shared" ca="1" si="14"/>
        <v>-5654.9999999999991</v>
      </c>
    </row>
    <row r="12" spans="1:39" x14ac:dyDescent="0.25">
      <c r="A12" s="1">
        <v>9</v>
      </c>
      <c r="B12" s="25">
        <v>44007</v>
      </c>
      <c r="C12" s="10" t="s">
        <v>1080</v>
      </c>
      <c r="D12" s="1">
        <v>29.3</v>
      </c>
      <c r="E12" s="30">
        <v>9000</v>
      </c>
      <c r="F12" s="1">
        <v>28</v>
      </c>
      <c r="G12" s="42">
        <v>1.3</v>
      </c>
      <c r="H12" s="1">
        <v>27</v>
      </c>
      <c r="I12" s="1">
        <v>0.95</v>
      </c>
      <c r="J12" s="1">
        <v>1089000</v>
      </c>
      <c r="K12" s="1">
        <v>27000</v>
      </c>
      <c r="L12" s="1">
        <v>0.9</v>
      </c>
      <c r="M12" s="1">
        <v>1</v>
      </c>
      <c r="N12" s="1">
        <v>18000</v>
      </c>
      <c r="O12" s="9"/>
      <c r="P12" s="7">
        <f t="shared" ca="1" si="0"/>
        <v>0.35000000000000009</v>
      </c>
      <c r="Q12" s="7">
        <f t="shared" ca="1" si="1"/>
        <v>1.7500000000000005E-2</v>
      </c>
      <c r="R12" s="33">
        <f t="shared" ca="1" si="2"/>
        <v>3150.0000000000009</v>
      </c>
      <c r="S12" s="33">
        <f t="shared" ca="1" si="3"/>
        <v>-5849.9999999999991</v>
      </c>
      <c r="T12" s="33">
        <f t="shared" ca="1" si="4"/>
        <v>3150.0000000000009</v>
      </c>
      <c r="U12" s="7">
        <f t="shared" ca="1" si="5"/>
        <v>0.53846153846153866</v>
      </c>
      <c r="V12" s="7">
        <f t="shared" ca="1" si="6"/>
        <v>-0.85949313348102185</v>
      </c>
      <c r="W12" s="33">
        <f t="shared" ca="1" si="7"/>
        <v>-5849.9999999999991</v>
      </c>
      <c r="X12" s="7">
        <f t="shared" ca="1" si="8"/>
        <v>-1</v>
      </c>
      <c r="Y12" s="7">
        <f t="shared" ca="1" si="9"/>
        <v>-0.46153846153846134</v>
      </c>
      <c r="Z12" s="7">
        <f t="shared" ca="1" si="10"/>
        <v>-0.30816925109065951</v>
      </c>
      <c r="AA12" s="33">
        <f t="shared" ca="1" si="11"/>
        <v>-5849.9999999999991</v>
      </c>
      <c r="AB12" s="7">
        <f t="shared" ca="1" si="12"/>
        <v>-1.8571428571428563</v>
      </c>
      <c r="AC12" s="7">
        <f t="shared" ca="1" si="13"/>
        <v>-0.65934065934065877</v>
      </c>
      <c r="AD12" s="1"/>
      <c r="AE12" s="1"/>
      <c r="AH12" s="65">
        <f t="shared" ca="1" si="15"/>
        <v>420.19999999999993</v>
      </c>
      <c r="AI12" s="65">
        <f t="shared" ca="1" si="16"/>
        <v>6.1999999999999318</v>
      </c>
      <c r="AJ12" s="65">
        <f t="shared" ca="1" si="17"/>
        <v>-10.35</v>
      </c>
      <c r="AK12" s="67">
        <f t="shared" ca="1" si="14"/>
        <v>-5395.0000000000882</v>
      </c>
    </row>
    <row r="13" spans="1:39" x14ac:dyDescent="0.25">
      <c r="A13" s="1">
        <v>10</v>
      </c>
      <c r="B13" s="25">
        <v>44007</v>
      </c>
      <c r="C13" s="10" t="s">
        <v>127</v>
      </c>
      <c r="D13" s="1">
        <v>104.55</v>
      </c>
      <c r="E13" s="30">
        <v>3000</v>
      </c>
      <c r="F13" s="1">
        <v>90</v>
      </c>
      <c r="G13" s="1">
        <v>1.1000000000000001</v>
      </c>
      <c r="H13" s="1">
        <v>85</v>
      </c>
      <c r="I13" s="1">
        <v>0.5</v>
      </c>
      <c r="J13" s="1">
        <v>75000</v>
      </c>
      <c r="K13" s="1">
        <v>6000</v>
      </c>
      <c r="L13" s="1">
        <v>0.4</v>
      </c>
      <c r="M13" s="1">
        <v>1</v>
      </c>
      <c r="N13" s="1">
        <v>48000</v>
      </c>
      <c r="O13" s="9"/>
      <c r="P13" s="7">
        <f t="shared" ca="1" si="0"/>
        <v>0.12000000000000002</v>
      </c>
      <c r="Q13" s="7">
        <f t="shared" ca="1" si="1"/>
        <v>6.000000000000001E-3</v>
      </c>
      <c r="R13" s="33">
        <f t="shared" ca="1" si="2"/>
        <v>1800.0000000000002</v>
      </c>
      <c r="S13" s="33">
        <f t="shared" ca="1" si="3"/>
        <v>-13200</v>
      </c>
      <c r="T13" s="33">
        <f t="shared" ca="1" si="4"/>
        <v>1800.0000000000002</v>
      </c>
      <c r="U13" s="7">
        <f t="shared" ca="1" si="5"/>
        <v>0.13636363636363638</v>
      </c>
      <c r="V13" s="7">
        <f t="shared" ca="1" si="6"/>
        <v>-0.69885966832533675</v>
      </c>
      <c r="W13" s="33">
        <f t="shared" ca="1" si="7"/>
        <v>-13200</v>
      </c>
      <c r="X13" s="7">
        <f t="shared" ca="1" si="8"/>
        <v>-1</v>
      </c>
      <c r="Y13" s="7">
        <f t="shared" ca="1" si="9"/>
        <v>-0.86363636363636365</v>
      </c>
      <c r="Z13" s="7">
        <f t="shared" ca="1" si="10"/>
        <v>-0.15096261541803163</v>
      </c>
      <c r="AA13" s="33">
        <f t="shared" ca="1" si="11"/>
        <v>-1899.424325865635</v>
      </c>
      <c r="AB13" s="7">
        <f t="shared" ca="1" si="12"/>
        <v>-1.0552357365920193</v>
      </c>
      <c r="AC13" s="7">
        <f t="shared" ca="1" si="13"/>
        <v>-0.45943605011419147</v>
      </c>
      <c r="AD13" s="1"/>
      <c r="AE13" s="1"/>
      <c r="AH13" s="65">
        <f t="shared" ca="1" si="15"/>
        <v>420.39999999999992</v>
      </c>
      <c r="AI13" s="65">
        <f t="shared" ca="1" si="16"/>
        <v>6.3999999999999204</v>
      </c>
      <c r="AJ13" s="65">
        <f t="shared" ca="1" si="17"/>
        <v>-10.35</v>
      </c>
      <c r="AK13" s="67">
        <f t="shared" ca="1" si="14"/>
        <v>-5135.0000000001028</v>
      </c>
    </row>
    <row r="14" spans="1:39" x14ac:dyDescent="0.25">
      <c r="A14" s="1">
        <v>11</v>
      </c>
      <c r="B14" s="25">
        <v>44007</v>
      </c>
      <c r="C14" s="10" t="s">
        <v>1372</v>
      </c>
      <c r="D14" s="1">
        <v>802.95</v>
      </c>
      <c r="E14" s="30">
        <v>750</v>
      </c>
      <c r="F14" s="1">
        <v>720</v>
      </c>
      <c r="G14" s="1">
        <v>10</v>
      </c>
      <c r="H14" s="1">
        <v>700</v>
      </c>
      <c r="I14" s="1">
        <v>2.8</v>
      </c>
      <c r="J14" s="1">
        <v>97500</v>
      </c>
      <c r="K14" s="1">
        <v>750</v>
      </c>
      <c r="L14" s="1">
        <v>2.65</v>
      </c>
      <c r="M14" s="1">
        <v>3.1</v>
      </c>
      <c r="N14" s="1">
        <v>750</v>
      </c>
      <c r="O14" s="9"/>
      <c r="P14" s="7">
        <f t="shared" ca="1" si="0"/>
        <v>0.36</v>
      </c>
      <c r="Q14" s="7">
        <f t="shared" ca="1" si="1"/>
        <v>1.7999999999999999E-2</v>
      </c>
      <c r="R14" s="33">
        <f t="shared" ca="1" si="2"/>
        <v>5400</v>
      </c>
      <c r="S14" s="33">
        <f t="shared" ca="1" si="3"/>
        <v>-9600</v>
      </c>
      <c r="T14" s="33">
        <f t="shared" ca="1" si="4"/>
        <v>5400</v>
      </c>
      <c r="U14" s="7">
        <f t="shared" ca="1" si="5"/>
        <v>0.5625</v>
      </c>
      <c r="V14" s="7">
        <f t="shared" ca="1" si="6"/>
        <v>-0.55387658629626035</v>
      </c>
      <c r="W14" s="33">
        <f t="shared" ca="1" si="7"/>
        <v>-9600</v>
      </c>
      <c r="X14" s="7">
        <f t="shared" ca="1" si="8"/>
        <v>-1</v>
      </c>
      <c r="Y14" s="7">
        <f t="shared" ca="1" si="9"/>
        <v>-0.4375</v>
      </c>
      <c r="Z14" s="7">
        <f t="shared" ca="1" si="10"/>
        <v>-0.1101658759895429</v>
      </c>
      <c r="AA14" s="33">
        <f t="shared" ca="1" si="11"/>
        <v>1269.2324056474663</v>
      </c>
      <c r="AB14" s="7">
        <f t="shared" ca="1" si="12"/>
        <v>0.23504303808286414</v>
      </c>
      <c r="AC14" s="7">
        <f t="shared" ca="1" si="13"/>
        <v>0.39877151904143204</v>
      </c>
      <c r="AD14" s="1"/>
      <c r="AE14" s="1"/>
      <c r="AH14" s="65">
        <f t="shared" ca="1" si="15"/>
        <v>420.59999999999991</v>
      </c>
      <c r="AI14" s="65">
        <f t="shared" ca="1" si="16"/>
        <v>6.5999999999999091</v>
      </c>
      <c r="AJ14" s="65">
        <f t="shared" ca="1" si="17"/>
        <v>-10.35</v>
      </c>
      <c r="AK14" s="67">
        <f t="shared" ca="1" si="14"/>
        <v>-4875.0000000001173</v>
      </c>
    </row>
    <row r="15" spans="1:39" x14ac:dyDescent="0.25">
      <c r="A15" s="1">
        <v>12</v>
      </c>
      <c r="B15" s="25">
        <v>44007</v>
      </c>
      <c r="C15" s="10" t="s">
        <v>1344</v>
      </c>
      <c r="D15" s="1">
        <v>33.200000000000003</v>
      </c>
      <c r="E15" s="30">
        <v>15700</v>
      </c>
      <c r="F15" s="1">
        <v>30</v>
      </c>
      <c r="G15" s="1">
        <v>0.95</v>
      </c>
      <c r="H15" s="1">
        <v>22</v>
      </c>
      <c r="I15" s="1">
        <v>0.1</v>
      </c>
      <c r="J15" s="1">
        <v>125600</v>
      </c>
      <c r="K15" s="1">
        <v>172700</v>
      </c>
      <c r="L15" s="1">
        <v>0.05</v>
      </c>
      <c r="M15" s="1">
        <v>0.1</v>
      </c>
      <c r="N15" s="1">
        <v>15700</v>
      </c>
      <c r="O15" s="9"/>
      <c r="P15" s="7">
        <f t="shared" ca="1" si="0"/>
        <v>0.10625</v>
      </c>
      <c r="Q15" s="7">
        <f t="shared" ca="1" si="1"/>
        <v>5.3124999999999995E-3</v>
      </c>
      <c r="R15" s="33">
        <f t="shared" ca="1" si="2"/>
        <v>13345</v>
      </c>
      <c r="S15" s="33">
        <f t="shared" ca="1" si="3"/>
        <v>-112255</v>
      </c>
      <c r="T15" s="33">
        <f t="shared" ca="1" si="4"/>
        <v>13345</v>
      </c>
      <c r="U15" s="7">
        <f t="shared" ca="1" si="5"/>
        <v>0.11888111888111888</v>
      </c>
      <c r="V15" s="7">
        <f t="shared" ca="1" si="6"/>
        <v>-0.65932471465282116</v>
      </c>
      <c r="W15" s="33">
        <f t="shared" ca="1" si="7"/>
        <v>-112255</v>
      </c>
      <c r="X15" s="7">
        <f t="shared" ca="1" si="8"/>
        <v>-1</v>
      </c>
      <c r="Y15" s="7">
        <f t="shared" ca="1" si="9"/>
        <v>-0.88111888111888115</v>
      </c>
      <c r="Z15" s="7">
        <f t="shared" ca="1" si="10"/>
        <v>-0.18843794649548051</v>
      </c>
      <c r="AA15" s="33">
        <f t="shared" ca="1" si="11"/>
        <v>-34636.395231304217</v>
      </c>
      <c r="AB15" s="7">
        <f t="shared" ca="1" si="12"/>
        <v>-2.5954586160587647</v>
      </c>
      <c r="AC15" s="7">
        <f t="shared" ca="1" si="13"/>
        <v>-1.238288748588823</v>
      </c>
      <c r="AD15" s="1"/>
      <c r="AE15" s="1"/>
      <c r="AH15" s="65">
        <f t="shared" ca="1" si="15"/>
        <v>420.7999999999999</v>
      </c>
      <c r="AI15" s="65">
        <f t="shared" ca="1" si="16"/>
        <v>6.7999999999998977</v>
      </c>
      <c r="AJ15" s="65">
        <f t="shared" ca="1" si="17"/>
        <v>-10.35</v>
      </c>
      <c r="AK15" s="67">
        <f t="shared" ca="1" si="14"/>
        <v>-4615.0000000001328</v>
      </c>
    </row>
    <row r="16" spans="1:39" x14ac:dyDescent="0.25">
      <c r="A16" s="1">
        <v>13</v>
      </c>
      <c r="B16" s="25">
        <v>44007</v>
      </c>
      <c r="C16" s="10" t="s">
        <v>1344</v>
      </c>
      <c r="D16" s="1">
        <v>33.200000000000003</v>
      </c>
      <c r="E16" s="30">
        <v>15700</v>
      </c>
      <c r="F16" s="1">
        <v>30</v>
      </c>
      <c r="G16" s="1">
        <v>0.95</v>
      </c>
      <c r="H16" s="1">
        <v>24</v>
      </c>
      <c r="I16" s="1">
        <v>0.1</v>
      </c>
      <c r="J16" s="1">
        <v>455300</v>
      </c>
      <c r="K16" s="1">
        <v>125600</v>
      </c>
      <c r="L16" s="1">
        <v>0.1</v>
      </c>
      <c r="M16" s="1">
        <v>0.15</v>
      </c>
      <c r="N16" s="1">
        <v>266900</v>
      </c>
      <c r="O16" s="9"/>
      <c r="P16" s="7">
        <f t="shared" ca="1" si="0"/>
        <v>0.14166666666666666</v>
      </c>
      <c r="Q16" s="7">
        <f t="shared" ca="1" si="1"/>
        <v>7.083333333333333E-3</v>
      </c>
      <c r="R16" s="33">
        <f t="shared" ca="1" si="2"/>
        <v>13345</v>
      </c>
      <c r="S16" s="33">
        <f t="shared" ca="1" si="3"/>
        <v>-80855</v>
      </c>
      <c r="T16" s="33">
        <f t="shared" ca="1" si="4"/>
        <v>13345</v>
      </c>
      <c r="U16" s="7">
        <f t="shared" ca="1" si="5"/>
        <v>0.1650485436893204</v>
      </c>
      <c r="V16" s="7">
        <f t="shared" ca="1" si="6"/>
        <v>-0.65932471465282116</v>
      </c>
      <c r="W16" s="33">
        <f t="shared" ca="1" si="7"/>
        <v>-80855</v>
      </c>
      <c r="X16" s="7">
        <f t="shared" ca="1" si="8"/>
        <v>-1</v>
      </c>
      <c r="Y16" s="7">
        <f t="shared" ca="1" si="9"/>
        <v>-0.83495145631067957</v>
      </c>
      <c r="Z16" s="7">
        <f t="shared" ca="1" si="10"/>
        <v>-0.18843794649548051</v>
      </c>
      <c r="AA16" s="33">
        <f t="shared" ca="1" si="11"/>
        <v>-34636.395231304217</v>
      </c>
      <c r="AB16" s="7">
        <f t="shared" ca="1" si="12"/>
        <v>-2.5954586160587647</v>
      </c>
      <c r="AC16" s="7">
        <f t="shared" ca="1" si="13"/>
        <v>-1.2152050361847222</v>
      </c>
      <c r="AD16" s="1"/>
      <c r="AE16" s="1"/>
      <c r="AH16" s="65">
        <f t="shared" ca="1" si="15"/>
        <v>420.99999999999989</v>
      </c>
      <c r="AI16" s="65">
        <f t="shared" ca="1" si="16"/>
        <v>6.9999999999998863</v>
      </c>
      <c r="AJ16" s="65">
        <f t="shared" ca="1" si="17"/>
        <v>-10.35</v>
      </c>
      <c r="AK16" s="67">
        <f t="shared" ca="1" si="14"/>
        <v>-4355.0000000001473</v>
      </c>
    </row>
    <row r="17" spans="1:37" x14ac:dyDescent="0.25">
      <c r="A17" s="1">
        <v>14</v>
      </c>
      <c r="B17" s="25">
        <v>44007</v>
      </c>
      <c r="C17" s="10" t="s">
        <v>1344</v>
      </c>
      <c r="D17" s="1">
        <v>33.200000000000003</v>
      </c>
      <c r="E17" s="30">
        <v>15700</v>
      </c>
      <c r="F17" s="1">
        <v>30</v>
      </c>
      <c r="G17" s="1">
        <v>0.95</v>
      </c>
      <c r="H17" s="1">
        <v>25</v>
      </c>
      <c r="I17" s="1">
        <v>0.2</v>
      </c>
      <c r="J17" s="1">
        <v>1130400</v>
      </c>
      <c r="K17" s="1">
        <v>1067600</v>
      </c>
      <c r="L17" s="1">
        <v>0.15</v>
      </c>
      <c r="M17" s="1">
        <v>0.2</v>
      </c>
      <c r="N17" s="1">
        <v>141300</v>
      </c>
      <c r="O17" s="9"/>
      <c r="P17" s="7">
        <f t="shared" ca="1" si="0"/>
        <v>0.15</v>
      </c>
      <c r="Q17" s="7">
        <f t="shared" ca="1" si="1"/>
        <v>7.4999999999999997E-3</v>
      </c>
      <c r="R17" s="33">
        <f t="shared" ca="1" si="2"/>
        <v>11775</v>
      </c>
      <c r="S17" s="33">
        <f t="shared" ca="1" si="3"/>
        <v>-66725</v>
      </c>
      <c r="T17" s="33">
        <f t="shared" ca="1" si="4"/>
        <v>11775</v>
      </c>
      <c r="U17" s="7">
        <f t="shared" ca="1" si="5"/>
        <v>0.17647058823529413</v>
      </c>
      <c r="V17" s="7">
        <f t="shared" ca="1" si="6"/>
        <v>-0.65932471465282116</v>
      </c>
      <c r="W17" s="33">
        <f t="shared" ca="1" si="7"/>
        <v>-66725</v>
      </c>
      <c r="X17" s="7">
        <f t="shared" ca="1" si="8"/>
        <v>-1</v>
      </c>
      <c r="Y17" s="7">
        <f t="shared" ca="1" si="9"/>
        <v>-0.82352941176470584</v>
      </c>
      <c r="Z17" s="7">
        <f t="shared" ca="1" si="10"/>
        <v>-0.18843794649548051</v>
      </c>
      <c r="AA17" s="33">
        <f t="shared" ca="1" si="11"/>
        <v>-36206.395231304217</v>
      </c>
      <c r="AB17" s="7">
        <f t="shared" ca="1" si="12"/>
        <v>-3.0748530981999336</v>
      </c>
      <c r="AC17" s="7">
        <f t="shared" ca="1" si="13"/>
        <v>-1.4491912549823198</v>
      </c>
      <c r="AD17" s="1"/>
      <c r="AE17" s="1"/>
      <c r="AH17" s="65">
        <f t="shared" ca="1" si="15"/>
        <v>421.19999999999987</v>
      </c>
      <c r="AI17" s="65">
        <f t="shared" ca="1" si="16"/>
        <v>7.1999999999998749</v>
      </c>
      <c r="AJ17" s="65">
        <f t="shared" ca="1" si="17"/>
        <v>-10.35</v>
      </c>
      <c r="AK17" s="67">
        <f t="shared" ca="1" si="14"/>
        <v>-4095.0000000001619</v>
      </c>
    </row>
    <row r="18" spans="1:37" x14ac:dyDescent="0.25">
      <c r="A18" s="1">
        <v>15</v>
      </c>
      <c r="B18" s="25">
        <v>44007</v>
      </c>
      <c r="C18" s="10" t="s">
        <v>1344</v>
      </c>
      <c r="D18" s="1">
        <v>33.200000000000003</v>
      </c>
      <c r="E18" s="30">
        <v>15700</v>
      </c>
      <c r="F18" s="1">
        <v>30</v>
      </c>
      <c r="G18" s="1">
        <v>0.95</v>
      </c>
      <c r="H18" s="1">
        <v>26</v>
      </c>
      <c r="I18" s="1">
        <v>0.25</v>
      </c>
      <c r="J18" s="1">
        <v>565200</v>
      </c>
      <c r="K18" s="1">
        <v>62800</v>
      </c>
      <c r="L18" s="1">
        <v>0.2</v>
      </c>
      <c r="M18" s="1">
        <v>0.3</v>
      </c>
      <c r="N18" s="1">
        <v>157000</v>
      </c>
      <c r="O18" s="9"/>
      <c r="P18" s="7">
        <f t="shared" ca="1" si="0"/>
        <v>0.17499999999999999</v>
      </c>
      <c r="Q18" s="7">
        <f t="shared" ca="1" si="1"/>
        <v>8.7499999999999991E-3</v>
      </c>
      <c r="R18" s="33">
        <f t="shared" ca="1" si="2"/>
        <v>10990</v>
      </c>
      <c r="S18" s="33">
        <f t="shared" ca="1" si="3"/>
        <v>-51810</v>
      </c>
      <c r="T18" s="33">
        <f t="shared" ca="1" si="4"/>
        <v>10990</v>
      </c>
      <c r="U18" s="7">
        <f t="shared" ca="1" si="5"/>
        <v>0.21212121212121213</v>
      </c>
      <c r="V18" s="7">
        <f t="shared" ca="1" si="6"/>
        <v>-0.65932471465282116</v>
      </c>
      <c r="W18" s="33">
        <f t="shared" ca="1" si="7"/>
        <v>-51810</v>
      </c>
      <c r="X18" s="7">
        <f t="shared" ca="1" si="8"/>
        <v>-1</v>
      </c>
      <c r="Y18" s="7">
        <f t="shared" ca="1" si="9"/>
        <v>-0.78787878787878785</v>
      </c>
      <c r="Z18" s="7">
        <f t="shared" ca="1" si="10"/>
        <v>-0.18843794649548051</v>
      </c>
      <c r="AA18" s="33">
        <f t="shared" ca="1" si="11"/>
        <v>-36991.395231304217</v>
      </c>
      <c r="AB18" s="7">
        <f t="shared" ca="1" si="12"/>
        <v>-3.3659140337856432</v>
      </c>
      <c r="AC18" s="7">
        <f t="shared" ca="1" si="13"/>
        <v>-1.5768964108322157</v>
      </c>
      <c r="AD18" s="1"/>
      <c r="AE18" s="1"/>
      <c r="AH18" s="65">
        <f t="shared" ca="1" si="15"/>
        <v>421.39999999999986</v>
      </c>
      <c r="AI18" s="65">
        <f t="shared" ca="1" si="16"/>
        <v>7.3999999999998636</v>
      </c>
      <c r="AJ18" s="65">
        <f t="shared" ca="1" si="17"/>
        <v>-10.35</v>
      </c>
      <c r="AK18" s="67">
        <f t="shared" ca="1" si="14"/>
        <v>-3835.0000000001769</v>
      </c>
    </row>
    <row r="19" spans="1:37" ht="15" customHeight="1" x14ac:dyDescent="0.25">
      <c r="A19" s="1">
        <v>16</v>
      </c>
      <c r="B19" s="25">
        <v>44007</v>
      </c>
      <c r="C19" s="10" t="s">
        <v>1344</v>
      </c>
      <c r="D19" s="1">
        <v>33.200000000000003</v>
      </c>
      <c r="E19" s="30">
        <v>15700</v>
      </c>
      <c r="F19" s="1">
        <v>30</v>
      </c>
      <c r="G19" s="1">
        <v>0.95</v>
      </c>
      <c r="H19" s="1">
        <v>27</v>
      </c>
      <c r="I19" s="1">
        <v>0.35</v>
      </c>
      <c r="J19" s="1">
        <v>1617100</v>
      </c>
      <c r="K19" s="1">
        <v>392500</v>
      </c>
      <c r="L19" s="1">
        <v>0.3</v>
      </c>
      <c r="M19" s="1">
        <v>0.4</v>
      </c>
      <c r="N19" s="1">
        <v>188400</v>
      </c>
      <c r="O19" s="9"/>
      <c r="P19" s="7">
        <f t="shared" ca="1" si="0"/>
        <v>0.19999999999999998</v>
      </c>
      <c r="Q19" s="7">
        <f t="shared" ca="1" si="1"/>
        <v>9.9999999999999985E-3</v>
      </c>
      <c r="R19" s="33">
        <f t="shared" ca="1" si="2"/>
        <v>9420</v>
      </c>
      <c r="S19" s="33">
        <f t="shared" ca="1" si="3"/>
        <v>-37680</v>
      </c>
      <c r="T19" s="33">
        <f t="shared" ca="1" si="4"/>
        <v>9420</v>
      </c>
      <c r="U19" s="7">
        <f t="shared" ca="1" si="5"/>
        <v>0.25</v>
      </c>
      <c r="V19" s="7">
        <f t="shared" ca="1" si="6"/>
        <v>-0.65932471465282116</v>
      </c>
      <c r="W19" s="33">
        <f t="shared" ca="1" si="7"/>
        <v>-37680</v>
      </c>
      <c r="X19" s="7">
        <f t="shared" ca="1" si="8"/>
        <v>-1</v>
      </c>
      <c r="Y19" s="7">
        <f t="shared" ca="1" si="9"/>
        <v>-0.75</v>
      </c>
      <c r="Z19" s="7">
        <f t="shared" ca="1" si="10"/>
        <v>-0.18843794649548051</v>
      </c>
      <c r="AA19" s="33">
        <f t="shared" ca="1" si="11"/>
        <v>-37680</v>
      </c>
      <c r="AB19" s="7">
        <f t="shared" ca="1" si="12"/>
        <v>-4</v>
      </c>
      <c r="AC19" s="7">
        <f t="shared" ca="1" si="13"/>
        <v>-1.875</v>
      </c>
      <c r="AD19" s="1"/>
      <c r="AE19" s="1"/>
      <c r="AH19" s="65">
        <f t="shared" ca="1" si="15"/>
        <v>421.59999999999985</v>
      </c>
      <c r="AI19" s="65">
        <f t="shared" ca="1" si="16"/>
        <v>7.5999999999998522</v>
      </c>
      <c r="AJ19" s="65">
        <f t="shared" ca="1" si="17"/>
        <v>-10.35</v>
      </c>
      <c r="AK19" s="67">
        <f t="shared" ca="1" si="14"/>
        <v>-3575.0000000001914</v>
      </c>
    </row>
    <row r="20" spans="1:37" ht="15" customHeight="1" x14ac:dyDescent="0.25">
      <c r="A20" s="1">
        <v>17</v>
      </c>
      <c r="B20" s="25">
        <v>44007</v>
      </c>
      <c r="C20" s="10" t="s">
        <v>1344</v>
      </c>
      <c r="D20" s="1">
        <v>33.200000000000003</v>
      </c>
      <c r="E20" s="30">
        <v>15700</v>
      </c>
      <c r="F20" s="1">
        <v>30</v>
      </c>
      <c r="G20" s="1">
        <v>0.95</v>
      </c>
      <c r="H20" s="1">
        <v>28</v>
      </c>
      <c r="I20" s="1">
        <v>0.5</v>
      </c>
      <c r="J20" s="1">
        <v>1114700</v>
      </c>
      <c r="K20" s="1">
        <v>219800</v>
      </c>
      <c r="L20" s="1">
        <v>0.45</v>
      </c>
      <c r="M20" s="1">
        <v>0.55000000000000004</v>
      </c>
      <c r="N20" s="1">
        <v>235500</v>
      </c>
      <c r="O20" s="9"/>
      <c r="P20" s="7">
        <f t="shared" ca="1" si="0"/>
        <v>0.22499999999999998</v>
      </c>
      <c r="Q20" s="7">
        <f t="shared" ca="1" si="1"/>
        <v>1.125E-2</v>
      </c>
      <c r="R20" s="33">
        <f t="shared" ca="1" si="2"/>
        <v>7064.9999999999991</v>
      </c>
      <c r="S20" s="33">
        <f t="shared" ca="1" si="3"/>
        <v>-24335</v>
      </c>
      <c r="T20" s="33">
        <f t="shared" ca="1" si="4"/>
        <v>7064.9999999999991</v>
      </c>
      <c r="U20" s="7">
        <f t="shared" ca="1" si="5"/>
        <v>0.29032258064516125</v>
      </c>
      <c r="V20" s="7">
        <f t="shared" ca="1" si="6"/>
        <v>-0.65932471465282116</v>
      </c>
      <c r="W20" s="33">
        <f t="shared" ca="1" si="7"/>
        <v>-24335</v>
      </c>
      <c r="X20" s="7">
        <f t="shared" ca="1" si="8"/>
        <v>-1</v>
      </c>
      <c r="Y20" s="7">
        <f t="shared" ca="1" si="9"/>
        <v>-0.70967741935483875</v>
      </c>
      <c r="Z20" s="7">
        <f t="shared" ca="1" si="10"/>
        <v>-0.18843794649548051</v>
      </c>
      <c r="AA20" s="33">
        <f t="shared" ca="1" si="11"/>
        <v>-24335</v>
      </c>
      <c r="AB20" s="7">
        <f t="shared" ca="1" si="12"/>
        <v>-3.4444444444444451</v>
      </c>
      <c r="AC20" s="7">
        <f t="shared" ca="1" si="13"/>
        <v>-1.5770609318996418</v>
      </c>
      <c r="AD20" s="1"/>
      <c r="AE20" s="1"/>
      <c r="AH20" s="65">
        <f t="shared" ca="1" si="15"/>
        <v>421.79999999999984</v>
      </c>
      <c r="AI20" s="65">
        <f t="shared" ca="1" si="16"/>
        <v>7.7999999999998408</v>
      </c>
      <c r="AJ20" s="65">
        <f t="shared" ca="1" si="17"/>
        <v>-10.35</v>
      </c>
      <c r="AK20" s="67">
        <f t="shared" ca="1" si="14"/>
        <v>-3315.0000000002065</v>
      </c>
    </row>
    <row r="21" spans="1:37" x14ac:dyDescent="0.25">
      <c r="A21" s="1">
        <v>18</v>
      </c>
      <c r="B21" s="25">
        <v>44007</v>
      </c>
      <c r="C21" s="10" t="s">
        <v>1344</v>
      </c>
      <c r="D21" s="1">
        <v>33.200000000000003</v>
      </c>
      <c r="E21" s="30">
        <v>15700</v>
      </c>
      <c r="F21" s="1">
        <v>30</v>
      </c>
      <c r="G21" s="1">
        <v>0.95</v>
      </c>
      <c r="H21" s="1">
        <v>29</v>
      </c>
      <c r="I21" s="1">
        <v>0.7</v>
      </c>
      <c r="J21" s="1">
        <v>1256000</v>
      </c>
      <c r="K21" s="1">
        <v>141300</v>
      </c>
      <c r="L21" s="1">
        <v>0.65</v>
      </c>
      <c r="M21" s="1">
        <v>0.75</v>
      </c>
      <c r="N21" s="1">
        <v>94200</v>
      </c>
      <c r="O21" s="9"/>
      <c r="P21" s="7">
        <f t="shared" ca="1" si="0"/>
        <v>0.25</v>
      </c>
      <c r="Q21" s="7">
        <f t="shared" ca="1" si="1"/>
        <v>1.2500000000000001E-2</v>
      </c>
      <c r="R21" s="33">
        <f t="shared" ca="1" si="2"/>
        <v>3925</v>
      </c>
      <c r="S21" s="33">
        <f t="shared" ca="1" si="3"/>
        <v>-11775</v>
      </c>
      <c r="T21" s="33">
        <f t="shared" ca="1" si="4"/>
        <v>3925</v>
      </c>
      <c r="U21" s="7">
        <f t="shared" ca="1" si="5"/>
        <v>0.33333333333333331</v>
      </c>
      <c r="V21" s="7">
        <f t="shared" ca="1" si="6"/>
        <v>-0.65932471465282116</v>
      </c>
      <c r="W21" s="33">
        <f t="shared" ca="1" si="7"/>
        <v>-11775</v>
      </c>
      <c r="X21" s="7">
        <f t="shared" ca="1" si="8"/>
        <v>-1</v>
      </c>
      <c r="Y21" s="7">
        <f t="shared" ca="1" si="9"/>
        <v>-0.66666666666666674</v>
      </c>
      <c r="Z21" s="7">
        <f t="shared" ca="1" si="10"/>
        <v>-0.18843794649548051</v>
      </c>
      <c r="AA21" s="33">
        <f t="shared" ca="1" si="11"/>
        <v>-11775</v>
      </c>
      <c r="AB21" s="7">
        <f t="shared" ca="1" si="12"/>
        <v>-3</v>
      </c>
      <c r="AC21" s="7">
        <f t="shared" ca="1" si="13"/>
        <v>-1.3333333333333333</v>
      </c>
      <c r="AD21" s="1"/>
      <c r="AE21" s="1"/>
      <c r="AH21" s="65">
        <f t="shared" ca="1" si="15"/>
        <v>421.99999999999983</v>
      </c>
      <c r="AI21" s="65">
        <f t="shared" ca="1" si="16"/>
        <v>7.9999999999998295</v>
      </c>
      <c r="AJ21" s="65">
        <f t="shared" ca="1" si="17"/>
        <v>-10.35</v>
      </c>
      <c r="AK21" s="67">
        <f t="shared" ca="1" si="14"/>
        <v>-3055.000000000221</v>
      </c>
    </row>
    <row r="22" spans="1:37" x14ac:dyDescent="0.25">
      <c r="A22" s="1">
        <v>19</v>
      </c>
      <c r="B22" s="25">
        <v>44007</v>
      </c>
      <c r="C22" s="10" t="s">
        <v>396</v>
      </c>
      <c r="D22" s="1">
        <v>156.19999999999999</v>
      </c>
      <c r="E22" s="30">
        <v>3300</v>
      </c>
      <c r="F22" s="1">
        <v>140</v>
      </c>
      <c r="G22" s="1">
        <v>4</v>
      </c>
      <c r="H22" s="1">
        <v>110</v>
      </c>
      <c r="I22" s="1">
        <v>0.75</v>
      </c>
      <c r="J22" s="1">
        <v>3927000</v>
      </c>
      <c r="K22" s="1">
        <v>62700</v>
      </c>
      <c r="L22" s="1">
        <v>0.75</v>
      </c>
      <c r="M22" s="1">
        <v>0.8</v>
      </c>
      <c r="N22" s="1">
        <v>49500</v>
      </c>
      <c r="O22" s="9"/>
      <c r="P22" s="7">
        <f t="shared" ca="1" si="0"/>
        <v>0.10833333333333334</v>
      </c>
      <c r="Q22" s="7">
        <f t="shared" ca="1" si="1"/>
        <v>5.4166666666666669E-3</v>
      </c>
      <c r="R22" s="33">
        <f t="shared" ca="1" si="2"/>
        <v>10725</v>
      </c>
      <c r="S22" s="33">
        <f t="shared" ca="1" si="3"/>
        <v>-88275</v>
      </c>
      <c r="T22" s="33">
        <f t="shared" ca="1" si="4"/>
        <v>10725</v>
      </c>
      <c r="U22" s="7">
        <f t="shared" ca="1" si="5"/>
        <v>0.12149532710280374</v>
      </c>
      <c r="V22" s="7">
        <f t="shared" ca="1" si="6"/>
        <v>-0.59994570303170136</v>
      </c>
      <c r="W22" s="33">
        <f t="shared" ca="1" si="7"/>
        <v>-88275</v>
      </c>
      <c r="X22" s="7">
        <f t="shared" ca="1" si="8"/>
        <v>-1</v>
      </c>
      <c r="Y22" s="7">
        <f t="shared" ca="1" si="9"/>
        <v>-0.87850467289719625</v>
      </c>
      <c r="Z22" s="7">
        <f t="shared" ca="1" si="10"/>
        <v>-0.1372855992806491</v>
      </c>
      <c r="AA22" s="33">
        <f t="shared" ca="1" si="11"/>
        <v>-6580.2350052033944</v>
      </c>
      <c r="AB22" s="7">
        <f t="shared" ca="1" si="12"/>
        <v>-0.61354172542688989</v>
      </c>
      <c r="AC22" s="7">
        <f t="shared" ca="1" si="13"/>
        <v>-0.24602319916204307</v>
      </c>
      <c r="AD22" s="1"/>
      <c r="AE22" s="1"/>
      <c r="AH22" s="65">
        <f t="shared" ca="1" si="15"/>
        <v>422.19999999999982</v>
      </c>
      <c r="AI22" s="65">
        <f t="shared" ca="1" si="16"/>
        <v>8.1999999999998181</v>
      </c>
      <c r="AJ22" s="65">
        <f t="shared" ca="1" si="17"/>
        <v>-10.35</v>
      </c>
      <c r="AK22" s="67">
        <f t="shared" ca="1" si="14"/>
        <v>-2795.000000000236</v>
      </c>
    </row>
    <row r="23" spans="1:37" x14ac:dyDescent="0.25">
      <c r="A23" s="1">
        <v>20</v>
      </c>
      <c r="B23" s="25">
        <v>44007</v>
      </c>
      <c r="C23" s="10" t="s">
        <v>396</v>
      </c>
      <c r="D23" s="1">
        <v>156.19999999999999</v>
      </c>
      <c r="E23" s="30">
        <v>3300</v>
      </c>
      <c r="F23" s="1">
        <v>140</v>
      </c>
      <c r="G23" s="1">
        <v>4</v>
      </c>
      <c r="H23" s="1">
        <v>115</v>
      </c>
      <c r="I23" s="1">
        <v>1.1499999999999999</v>
      </c>
      <c r="J23" s="1">
        <v>49500</v>
      </c>
      <c r="K23" s="1">
        <v>6600</v>
      </c>
      <c r="L23" s="1">
        <v>0.8</v>
      </c>
      <c r="M23" s="1">
        <v>1.1000000000000001</v>
      </c>
      <c r="N23" s="1">
        <v>6600</v>
      </c>
      <c r="O23" s="9"/>
      <c r="P23" s="7">
        <f t="shared" ca="1" si="0"/>
        <v>0.114</v>
      </c>
      <c r="Q23" s="7">
        <f t="shared" ca="1" si="1"/>
        <v>5.7000000000000002E-3</v>
      </c>
      <c r="R23" s="33">
        <f t="shared" ca="1" si="2"/>
        <v>9405</v>
      </c>
      <c r="S23" s="33">
        <f t="shared" ca="1" si="3"/>
        <v>-73095</v>
      </c>
      <c r="T23" s="33">
        <f t="shared" ca="1" si="4"/>
        <v>9405</v>
      </c>
      <c r="U23" s="7">
        <f t="shared" ca="1" si="5"/>
        <v>0.12866817155756208</v>
      </c>
      <c r="V23" s="7">
        <f t="shared" ca="1" si="6"/>
        <v>-0.59994570303170136</v>
      </c>
      <c r="W23" s="33">
        <f t="shared" ca="1" si="7"/>
        <v>-73095</v>
      </c>
      <c r="X23" s="7">
        <f t="shared" ca="1" si="8"/>
        <v>-1</v>
      </c>
      <c r="Y23" s="7">
        <f t="shared" ca="1" si="9"/>
        <v>-0.87133182844243795</v>
      </c>
      <c r="Z23" s="7">
        <f t="shared" ca="1" si="10"/>
        <v>-0.1372855992806491</v>
      </c>
      <c r="AA23" s="33">
        <f t="shared" ca="1" si="11"/>
        <v>-7900.2350052033944</v>
      </c>
      <c r="AB23" s="7">
        <f t="shared" ca="1" si="12"/>
        <v>-0.84000372197803241</v>
      </c>
      <c r="AC23" s="7">
        <f t="shared" ca="1" si="13"/>
        <v>-0.35566777521023518</v>
      </c>
      <c r="AD23" s="1"/>
      <c r="AE23" s="1"/>
      <c r="AH23" s="65">
        <f t="shared" ca="1" si="15"/>
        <v>422.39999999999981</v>
      </c>
      <c r="AI23" s="65">
        <f t="shared" ca="1" si="16"/>
        <v>8.3999999999998067</v>
      </c>
      <c r="AJ23" s="65">
        <f t="shared" ca="1" si="17"/>
        <v>-10.35</v>
      </c>
      <c r="AK23" s="67">
        <f t="shared" ca="1" si="14"/>
        <v>-2535.0000000002506</v>
      </c>
    </row>
    <row r="24" spans="1:37" x14ac:dyDescent="0.25">
      <c r="A24" s="1">
        <v>21</v>
      </c>
      <c r="B24" s="25">
        <v>44007</v>
      </c>
      <c r="C24" s="10" t="s">
        <v>396</v>
      </c>
      <c r="D24" s="1">
        <v>156.19999999999999</v>
      </c>
      <c r="E24" s="30">
        <v>3300</v>
      </c>
      <c r="F24" s="1">
        <v>140</v>
      </c>
      <c r="G24" s="1">
        <v>4</v>
      </c>
      <c r="H24" s="1">
        <v>120</v>
      </c>
      <c r="I24" s="1">
        <v>1.2</v>
      </c>
      <c r="J24" s="1">
        <v>1521300</v>
      </c>
      <c r="K24" s="1">
        <v>6600</v>
      </c>
      <c r="L24" s="1">
        <v>1.1499999999999999</v>
      </c>
      <c r="M24" s="1">
        <v>1.25</v>
      </c>
      <c r="N24" s="1">
        <v>33000</v>
      </c>
      <c r="O24" s="9"/>
      <c r="P24" s="7">
        <f t="shared" ca="1" si="0"/>
        <v>0.13999999999999999</v>
      </c>
      <c r="Q24" s="7">
        <f t="shared" ca="1" si="1"/>
        <v>6.9999999999999993E-3</v>
      </c>
      <c r="R24" s="33">
        <f t="shared" ca="1" si="2"/>
        <v>9240</v>
      </c>
      <c r="S24" s="33">
        <f t="shared" ca="1" si="3"/>
        <v>-56760</v>
      </c>
      <c r="T24" s="33">
        <f t="shared" ca="1" si="4"/>
        <v>9240</v>
      </c>
      <c r="U24" s="7">
        <f t="shared" ca="1" si="5"/>
        <v>0.16279069767441862</v>
      </c>
      <c r="V24" s="7">
        <f t="shared" ca="1" si="6"/>
        <v>-0.59994570303170136</v>
      </c>
      <c r="W24" s="33">
        <f t="shared" ca="1" si="7"/>
        <v>-56760</v>
      </c>
      <c r="X24" s="7">
        <f t="shared" ca="1" si="8"/>
        <v>-1</v>
      </c>
      <c r="Y24" s="7">
        <f t="shared" ca="1" si="9"/>
        <v>-0.83720930232558133</v>
      </c>
      <c r="Z24" s="7">
        <f t="shared" ca="1" si="10"/>
        <v>-0.1372855992806491</v>
      </c>
      <c r="AA24" s="33">
        <f t="shared" ca="1" si="11"/>
        <v>-8065.2350052033944</v>
      </c>
      <c r="AB24" s="7">
        <f t="shared" ca="1" si="12"/>
        <v>-0.87286093129906861</v>
      </c>
      <c r="AC24" s="7">
        <f t="shared" ca="1" si="13"/>
        <v>-0.35503511681232502</v>
      </c>
      <c r="AD24" s="1"/>
      <c r="AE24" s="1"/>
      <c r="AH24" s="65">
        <f t="shared" ca="1" si="15"/>
        <v>422.5999999999998</v>
      </c>
      <c r="AI24" s="65">
        <f t="shared" ca="1" si="16"/>
        <v>8.5999999999997954</v>
      </c>
      <c r="AJ24" s="65">
        <f t="shared" ca="1" si="17"/>
        <v>-10.35</v>
      </c>
      <c r="AK24" s="67">
        <f t="shared" ca="1" si="14"/>
        <v>-2275.0000000002656</v>
      </c>
    </row>
    <row r="25" spans="1:37" x14ac:dyDescent="0.25">
      <c r="A25" s="1">
        <v>22</v>
      </c>
      <c r="B25" s="25">
        <v>44007</v>
      </c>
      <c r="C25" s="10" t="s">
        <v>396</v>
      </c>
      <c r="D25" s="1">
        <v>156.19999999999999</v>
      </c>
      <c r="E25" s="30">
        <v>3300</v>
      </c>
      <c r="F25" s="1">
        <v>140</v>
      </c>
      <c r="G25" s="1">
        <v>4</v>
      </c>
      <c r="H25" s="1">
        <v>125</v>
      </c>
      <c r="I25" s="1">
        <v>1.75</v>
      </c>
      <c r="J25" s="1">
        <v>224400</v>
      </c>
      <c r="K25" s="1">
        <v>9900</v>
      </c>
      <c r="L25" s="1">
        <v>1.65</v>
      </c>
      <c r="M25" s="1">
        <v>1.75</v>
      </c>
      <c r="N25" s="1">
        <v>6600</v>
      </c>
      <c r="O25" s="9"/>
      <c r="P25" s="7">
        <f t="shared" ca="1" si="0"/>
        <v>0.15</v>
      </c>
      <c r="Q25" s="7">
        <f t="shared" ca="1" si="1"/>
        <v>7.4999999999999997E-3</v>
      </c>
      <c r="R25" s="33">
        <f t="shared" ca="1" si="2"/>
        <v>7425</v>
      </c>
      <c r="S25" s="33">
        <f ca="1">-(($F25-$H25)*$E25-$R25)</f>
        <v>-42075</v>
      </c>
      <c r="T25" s="33">
        <f t="shared" ca="1" si="4"/>
        <v>7425</v>
      </c>
      <c r="U25" s="7">
        <f t="shared" ca="1" si="5"/>
        <v>0.17647058823529413</v>
      </c>
      <c r="V25" s="7">
        <f t="shared" ca="1" si="6"/>
        <v>-0.59994570303170136</v>
      </c>
      <c r="W25" s="33">
        <f t="shared" ca="1" si="7"/>
        <v>-42075</v>
      </c>
      <c r="X25" s="7">
        <f t="shared" ca="1" si="8"/>
        <v>-1</v>
      </c>
      <c r="Y25" s="7">
        <f t="shared" ca="1" si="9"/>
        <v>-0.82352941176470584</v>
      </c>
      <c r="Z25" s="7">
        <f t="shared" ca="1" si="10"/>
        <v>-0.1372855992806491</v>
      </c>
      <c r="AA25" s="33">
        <f t="shared" ca="1" si="11"/>
        <v>-9880.2350052033944</v>
      </c>
      <c r="AB25" s="7">
        <f t="shared" ca="1" si="12"/>
        <v>-1.3306713811721744</v>
      </c>
      <c r="AC25" s="7">
        <f t="shared" ca="1" si="13"/>
        <v>-0.57710039646844014</v>
      </c>
      <c r="AD25" s="1"/>
      <c r="AE25" s="1"/>
      <c r="AH25" s="65">
        <f t="shared" ca="1" si="15"/>
        <v>422.79999999999978</v>
      </c>
      <c r="AI25" s="65">
        <f t="shared" ca="1" si="16"/>
        <v>8.799999999999784</v>
      </c>
      <c r="AJ25" s="65">
        <f t="shared" ca="1" si="17"/>
        <v>-10.35</v>
      </c>
      <c r="AK25" s="67">
        <f t="shared" ca="1" si="14"/>
        <v>-2015.0000000002804</v>
      </c>
    </row>
    <row r="26" spans="1:37" x14ac:dyDescent="0.25">
      <c r="A26" s="1">
        <v>23</v>
      </c>
      <c r="B26" s="25">
        <v>44007</v>
      </c>
      <c r="C26" s="10" t="s">
        <v>396</v>
      </c>
      <c r="D26" s="1">
        <v>156.19999999999999</v>
      </c>
      <c r="E26" s="30">
        <v>3300</v>
      </c>
      <c r="F26" s="1">
        <v>140</v>
      </c>
      <c r="G26" s="1">
        <v>4</v>
      </c>
      <c r="H26" s="1">
        <v>130</v>
      </c>
      <c r="I26" s="1">
        <v>2.35</v>
      </c>
      <c r="J26" s="1">
        <v>1075800</v>
      </c>
      <c r="K26" s="1">
        <v>13200</v>
      </c>
      <c r="L26" s="1">
        <v>2.25</v>
      </c>
      <c r="M26" s="1">
        <v>2.2999999999999998</v>
      </c>
      <c r="N26" s="1">
        <v>9900</v>
      </c>
      <c r="O26" s="9"/>
      <c r="P26" s="7">
        <f t="shared" ca="1" si="0"/>
        <v>0.16499999999999998</v>
      </c>
      <c r="Q26" s="7">
        <f t="shared" ca="1" si="1"/>
        <v>8.2499999999999987E-3</v>
      </c>
      <c r="R26" s="33">
        <f t="shared" ca="1" si="2"/>
        <v>5445</v>
      </c>
      <c r="S26" s="33">
        <f t="shared" ca="1" si="3"/>
        <v>-27555</v>
      </c>
      <c r="T26" s="33">
        <f t="shared" ca="1" si="4"/>
        <v>5445</v>
      </c>
      <c r="U26" s="7">
        <f t="shared" ca="1" si="5"/>
        <v>0.19760479041916168</v>
      </c>
      <c r="V26" s="7">
        <f t="shared" ca="1" si="6"/>
        <v>-0.59994570303170136</v>
      </c>
      <c r="W26" s="33">
        <f t="shared" ca="1" si="7"/>
        <v>-27555</v>
      </c>
      <c r="X26" s="7">
        <f t="shared" ca="1" si="8"/>
        <v>-1</v>
      </c>
      <c r="Y26" s="7">
        <f t="shared" ca="1" si="9"/>
        <v>-0.80239520958083832</v>
      </c>
      <c r="Z26" s="7">
        <f t="shared" ca="1" si="10"/>
        <v>-0.1372855992806491</v>
      </c>
      <c r="AA26" s="33">
        <f t="shared" ca="1" si="11"/>
        <v>-11860.235005203394</v>
      </c>
      <c r="AB26" s="7">
        <f t="shared" ca="1" si="12"/>
        <v>-2.1781882470529652</v>
      </c>
      <c r="AC26" s="7">
        <f t="shared" ca="1" si="13"/>
        <v>-0.99029172831690171</v>
      </c>
      <c r="AD26" s="1"/>
      <c r="AE26" s="1"/>
      <c r="AH26" s="65">
        <f t="shared" ca="1" si="15"/>
        <v>422.99999999999977</v>
      </c>
      <c r="AI26" s="65">
        <f t="shared" ca="1" si="16"/>
        <v>8.9999999999997726</v>
      </c>
      <c r="AJ26" s="65">
        <f t="shared" ca="1" si="17"/>
        <v>-10.35</v>
      </c>
      <c r="AK26" s="67">
        <f t="shared" ca="1" si="14"/>
        <v>-1755.0000000002951</v>
      </c>
    </row>
    <row r="27" spans="1:37" x14ac:dyDescent="0.25">
      <c r="A27" s="1">
        <v>24</v>
      </c>
      <c r="B27" s="25">
        <v>44007</v>
      </c>
      <c r="C27" s="10" t="s">
        <v>396</v>
      </c>
      <c r="D27" s="1">
        <v>156.19999999999999</v>
      </c>
      <c r="E27" s="30">
        <v>3300</v>
      </c>
      <c r="F27" s="1">
        <v>140</v>
      </c>
      <c r="G27" s="1">
        <v>4</v>
      </c>
      <c r="H27" s="1">
        <v>135</v>
      </c>
      <c r="I27" s="1">
        <v>3.1</v>
      </c>
      <c r="J27" s="1">
        <v>610500</v>
      </c>
      <c r="K27" s="1">
        <v>3300</v>
      </c>
      <c r="L27" s="1">
        <v>2.95</v>
      </c>
      <c r="M27" s="1">
        <v>3.05</v>
      </c>
      <c r="N27" s="1">
        <v>9900</v>
      </c>
      <c r="O27" s="9"/>
      <c r="P27" s="7">
        <f t="shared" ca="1" si="0"/>
        <v>0.18</v>
      </c>
      <c r="Q27" s="7">
        <f t="shared" ca="1" si="1"/>
        <v>8.9999999999999993E-3</v>
      </c>
      <c r="R27" s="33">
        <f t="shared" ca="1" si="2"/>
        <v>2969.9999999999995</v>
      </c>
      <c r="S27" s="33">
        <f t="shared" ca="1" si="3"/>
        <v>-13530</v>
      </c>
      <c r="T27" s="33">
        <f t="shared" ca="1" si="4"/>
        <v>2969.9999999999995</v>
      </c>
      <c r="U27" s="7">
        <f t="shared" ca="1" si="5"/>
        <v>0.21951219512195119</v>
      </c>
      <c r="V27" s="7">
        <f t="shared" ca="1" si="6"/>
        <v>-0.59994570303170136</v>
      </c>
      <c r="W27" s="33">
        <f t="shared" ca="1" si="7"/>
        <v>-13530</v>
      </c>
      <c r="X27" s="7">
        <f t="shared" ca="1" si="8"/>
        <v>-1</v>
      </c>
      <c r="Y27" s="7">
        <f t="shared" ca="1" si="9"/>
        <v>-0.78048780487804881</v>
      </c>
      <c r="Z27" s="7">
        <f t="shared" ca="1" si="10"/>
        <v>-0.1372855992806491</v>
      </c>
      <c r="AA27" s="33">
        <f t="shared" ca="1" si="11"/>
        <v>-13530</v>
      </c>
      <c r="AB27" s="7">
        <f t="shared" ca="1" si="12"/>
        <v>-4.5555555555555562</v>
      </c>
      <c r="AC27" s="7">
        <f t="shared" ca="1" si="13"/>
        <v>-2.1680216802168024</v>
      </c>
      <c r="AD27" s="1"/>
      <c r="AE27" s="1"/>
      <c r="AH27" s="65">
        <f t="shared" ca="1" si="15"/>
        <v>423.19999999999976</v>
      </c>
      <c r="AI27" s="65">
        <f t="shared" ca="1" si="16"/>
        <v>9.1999999999997613</v>
      </c>
      <c r="AJ27" s="65">
        <f t="shared" ca="1" si="17"/>
        <v>-10.35</v>
      </c>
      <c r="AK27" s="67">
        <f t="shared" ca="1" si="14"/>
        <v>-1495.0000000003099</v>
      </c>
    </row>
    <row r="28" spans="1:37" x14ac:dyDescent="0.25">
      <c r="A28" s="1">
        <v>25</v>
      </c>
      <c r="B28" s="25">
        <v>44007</v>
      </c>
      <c r="C28" s="10" t="s">
        <v>614</v>
      </c>
      <c r="D28" s="1">
        <v>516.15</v>
      </c>
      <c r="E28" s="30">
        <v>900</v>
      </c>
      <c r="F28" s="1">
        <v>460</v>
      </c>
      <c r="G28" s="1">
        <v>3.3</v>
      </c>
      <c r="H28" s="1">
        <v>450</v>
      </c>
      <c r="I28" s="1">
        <v>2.2000000000000002</v>
      </c>
      <c r="J28" s="1">
        <v>72000</v>
      </c>
      <c r="K28" s="1">
        <v>900</v>
      </c>
      <c r="L28" s="1">
        <v>2.2000000000000002</v>
      </c>
      <c r="M28" s="1">
        <v>2.95</v>
      </c>
      <c r="N28" s="1">
        <v>900</v>
      </c>
      <c r="O28" s="9"/>
      <c r="P28" s="7">
        <f t="shared" ca="1" si="0"/>
        <v>0.10999999999999996</v>
      </c>
      <c r="Q28" s="7">
        <f t="shared" ca="1" si="1"/>
        <v>5.4999999999999979E-3</v>
      </c>
      <c r="R28" s="33">
        <f t="shared" ca="1" si="2"/>
        <v>989.99999999999966</v>
      </c>
      <c r="S28" s="33">
        <f t="shared" ca="1" si="3"/>
        <v>-8010</v>
      </c>
      <c r="T28" s="33">
        <f t="shared" ca="1" si="4"/>
        <v>989.99999999999966</v>
      </c>
      <c r="U28" s="7">
        <f t="shared" ca="1" si="5"/>
        <v>0.12359550561797748</v>
      </c>
      <c r="V28" s="7">
        <f t="shared" ca="1" si="6"/>
        <v>-0.52578762869560447</v>
      </c>
      <c r="W28" s="33">
        <f t="shared" ca="1" si="7"/>
        <v>-8010</v>
      </c>
      <c r="X28" s="7">
        <f t="shared" ca="1" si="8"/>
        <v>-1</v>
      </c>
      <c r="Y28" s="7">
        <f t="shared" ca="1" si="9"/>
        <v>-0.8764044943820225</v>
      </c>
      <c r="Z28" s="7">
        <f t="shared" ca="1" si="10"/>
        <v>-9.5507734938305416E-2</v>
      </c>
      <c r="AA28" s="33">
        <f t="shared" ca="1" si="11"/>
        <v>989.99999999999966</v>
      </c>
      <c r="AB28" s="7">
        <f t="shared" ca="1" si="12"/>
        <v>1</v>
      </c>
      <c r="AC28" s="7">
        <f t="shared" ca="1" si="13"/>
        <v>0.56179775280898869</v>
      </c>
      <c r="AD28" s="1"/>
      <c r="AE28" s="1"/>
      <c r="AH28" s="65">
        <f t="shared" ca="1" si="15"/>
        <v>423.39999999999975</v>
      </c>
      <c r="AI28" s="65">
        <f t="shared" ca="1" si="16"/>
        <v>9.3999999999997499</v>
      </c>
      <c r="AJ28" s="65">
        <f t="shared" ca="1" si="17"/>
        <v>-10.35</v>
      </c>
      <c r="AK28" s="67">
        <f t="shared" ca="1" si="14"/>
        <v>-1235.0000000003247</v>
      </c>
    </row>
    <row r="29" spans="1:37" x14ac:dyDescent="0.25">
      <c r="A29" s="1">
        <v>26</v>
      </c>
      <c r="B29" s="25">
        <v>44007</v>
      </c>
      <c r="C29" s="10" t="s">
        <v>286</v>
      </c>
      <c r="D29" s="1">
        <v>100</v>
      </c>
      <c r="E29" s="30">
        <v>2600</v>
      </c>
      <c r="F29" s="1">
        <v>92.5</v>
      </c>
      <c r="G29" s="1">
        <v>4.0999999999999996</v>
      </c>
      <c r="H29" s="1">
        <v>65</v>
      </c>
      <c r="I29" s="1">
        <v>0.15</v>
      </c>
      <c r="J29" s="1">
        <v>153400</v>
      </c>
      <c r="K29" s="1">
        <v>70200</v>
      </c>
      <c r="L29" s="1">
        <v>0.1</v>
      </c>
      <c r="M29" s="1">
        <v>0.2</v>
      </c>
      <c r="N29" s="1">
        <v>7800</v>
      </c>
      <c r="O29" s="9"/>
      <c r="P29" s="7">
        <f t="shared" ca="1" si="0"/>
        <v>0.14363636363636362</v>
      </c>
      <c r="Q29" s="7">
        <f t="shared" ca="1" si="1"/>
        <v>7.1818181818181807E-3</v>
      </c>
      <c r="R29" s="33">
        <f t="shared" ca="1" si="2"/>
        <v>10270</v>
      </c>
      <c r="S29" s="33">
        <f t="shared" ca="1" si="3"/>
        <v>-61230</v>
      </c>
      <c r="T29" s="33">
        <f t="shared" ca="1" si="4"/>
        <v>10270</v>
      </c>
      <c r="U29" s="7">
        <f t="shared" ca="1" si="5"/>
        <v>0.16772823779193205</v>
      </c>
      <c r="V29" s="7">
        <f t="shared" ca="1" si="6"/>
        <v>-0.82499351432244283</v>
      </c>
      <c r="W29" s="33">
        <f t="shared" ca="1" si="7"/>
        <v>-61230</v>
      </c>
      <c r="X29" s="7">
        <f t="shared" ca="1" si="8"/>
        <v>-1</v>
      </c>
      <c r="Y29" s="7">
        <f t="shared" ca="1" si="9"/>
        <v>-0.83227176220806798</v>
      </c>
      <c r="Z29" s="7">
        <f t="shared" ca="1" si="10"/>
        <v>-0.17317681185575995</v>
      </c>
      <c r="AA29" s="33">
        <f t="shared" ca="1" si="11"/>
        <v>-15255.971082497581</v>
      </c>
      <c r="AB29" s="7">
        <f t="shared" ca="1" si="12"/>
        <v>-1.4854889077407576</v>
      </c>
      <c r="AC29" s="7">
        <f t="shared" ca="1" si="13"/>
        <v>-0.65888033497441278</v>
      </c>
      <c r="AD29" s="1"/>
      <c r="AE29" s="1"/>
      <c r="AH29" s="65">
        <f t="shared" ca="1" si="15"/>
        <v>423.59999999999974</v>
      </c>
      <c r="AI29" s="65">
        <f t="shared" ca="1" si="16"/>
        <v>9.5999999999997385</v>
      </c>
      <c r="AJ29" s="65">
        <f t="shared" ca="1" si="17"/>
        <v>-10.35</v>
      </c>
      <c r="AK29" s="67">
        <f t="shared" ca="1" si="14"/>
        <v>-975.00000000033947</v>
      </c>
    </row>
    <row r="30" spans="1:37" x14ac:dyDescent="0.25">
      <c r="A30" s="1">
        <v>27</v>
      </c>
      <c r="B30" s="25">
        <v>44007</v>
      </c>
      <c r="C30" s="10" t="s">
        <v>286</v>
      </c>
      <c r="D30" s="1">
        <v>100</v>
      </c>
      <c r="E30" s="30">
        <v>2600</v>
      </c>
      <c r="F30" s="1">
        <v>92.5</v>
      </c>
      <c r="G30" s="1">
        <v>4.0999999999999996</v>
      </c>
      <c r="H30" s="1">
        <v>70</v>
      </c>
      <c r="I30" s="1">
        <v>0.4</v>
      </c>
      <c r="J30" s="1">
        <v>226200</v>
      </c>
      <c r="K30" s="1">
        <v>2600</v>
      </c>
      <c r="L30" s="1">
        <v>0.35</v>
      </c>
      <c r="M30" s="1">
        <v>0.45</v>
      </c>
      <c r="N30" s="1">
        <v>2600</v>
      </c>
      <c r="O30" s="9"/>
      <c r="P30" s="7">
        <f t="shared" ca="1" si="0"/>
        <v>0.16444444444444442</v>
      </c>
      <c r="Q30" s="7">
        <f t="shared" ca="1" si="1"/>
        <v>8.222222222222221E-3</v>
      </c>
      <c r="R30" s="33">
        <f t="shared" ca="1" si="2"/>
        <v>9620</v>
      </c>
      <c r="S30" s="33">
        <f t="shared" ca="1" si="3"/>
        <v>-48880</v>
      </c>
      <c r="T30" s="33">
        <f t="shared" ca="1" si="4"/>
        <v>9620</v>
      </c>
      <c r="U30" s="7">
        <f t="shared" ca="1" si="5"/>
        <v>0.19680851063829788</v>
      </c>
      <c r="V30" s="7">
        <f t="shared" ca="1" si="6"/>
        <v>-0.82499351432244283</v>
      </c>
      <c r="W30" s="33">
        <f t="shared" ca="1" si="7"/>
        <v>-48880</v>
      </c>
      <c r="X30" s="7">
        <f t="shared" ca="1" si="8"/>
        <v>-1</v>
      </c>
      <c r="Y30" s="7">
        <f t="shared" ca="1" si="9"/>
        <v>-0.80319148936170215</v>
      </c>
      <c r="Z30" s="7">
        <f t="shared" ca="1" si="10"/>
        <v>-0.17317681185575995</v>
      </c>
      <c r="AA30" s="33">
        <f t="shared" ca="1" si="11"/>
        <v>-15905.971082497581</v>
      </c>
      <c r="AB30" s="7">
        <f t="shared" ca="1" si="12"/>
        <v>-1.653427347452971</v>
      </c>
      <c r="AC30" s="7">
        <f t="shared" ca="1" si="13"/>
        <v>-0.72830941840733654</v>
      </c>
      <c r="AD30" s="1"/>
      <c r="AE30" s="1"/>
      <c r="AH30" s="65">
        <f t="shared" ca="1" si="15"/>
        <v>423.79999999999973</v>
      </c>
      <c r="AI30" s="65">
        <f t="shared" ca="1" si="16"/>
        <v>9.7999999999997272</v>
      </c>
      <c r="AJ30" s="65">
        <f t="shared" ca="1" si="17"/>
        <v>-10.35</v>
      </c>
      <c r="AK30" s="67">
        <f t="shared" ca="1" si="14"/>
        <v>-715.00000000035425</v>
      </c>
    </row>
    <row r="31" spans="1:37" x14ac:dyDescent="0.25">
      <c r="A31" s="1">
        <v>28</v>
      </c>
      <c r="B31" s="25">
        <v>44007</v>
      </c>
      <c r="C31" s="10" t="s">
        <v>286</v>
      </c>
      <c r="D31" s="1">
        <v>100</v>
      </c>
      <c r="E31" s="30">
        <v>2600</v>
      </c>
      <c r="F31" s="1">
        <v>92.5</v>
      </c>
      <c r="G31" s="1">
        <v>4.0999999999999996</v>
      </c>
      <c r="H31" s="1">
        <v>75</v>
      </c>
      <c r="I31" s="1">
        <v>0.6</v>
      </c>
      <c r="J31" s="1">
        <v>130000</v>
      </c>
      <c r="K31" s="1">
        <v>2600</v>
      </c>
      <c r="L31" s="1">
        <v>0.5</v>
      </c>
      <c r="M31" s="1">
        <v>0.65</v>
      </c>
      <c r="N31" s="1">
        <v>2600</v>
      </c>
      <c r="O31" s="9"/>
      <c r="P31" s="7">
        <f t="shared" ca="1" si="0"/>
        <v>0.19999999999999998</v>
      </c>
      <c r="Q31" s="7">
        <f t="shared" ca="1" si="1"/>
        <v>9.9999999999999985E-3</v>
      </c>
      <c r="R31" s="33">
        <f t="shared" ca="1" si="2"/>
        <v>9099.9999999999982</v>
      </c>
      <c r="S31" s="33">
        <f t="shared" ca="1" si="3"/>
        <v>-36400</v>
      </c>
      <c r="T31" s="33">
        <f t="shared" ca="1" si="4"/>
        <v>9099.9999999999982</v>
      </c>
      <c r="U31" s="7">
        <f t="shared" ca="1" si="5"/>
        <v>0.24999999999999994</v>
      </c>
      <c r="V31" s="7">
        <f t="shared" ca="1" si="6"/>
        <v>-0.82499351432244283</v>
      </c>
      <c r="W31" s="33">
        <f t="shared" ca="1" si="7"/>
        <v>-36400</v>
      </c>
      <c r="X31" s="7">
        <f t="shared" ca="1" si="8"/>
        <v>-1</v>
      </c>
      <c r="Y31" s="7">
        <f t="shared" ca="1" si="9"/>
        <v>-0.75</v>
      </c>
      <c r="Z31" s="7">
        <f t="shared" ca="1" si="10"/>
        <v>-0.17317681185575995</v>
      </c>
      <c r="AA31" s="33">
        <f t="shared" ca="1" si="11"/>
        <v>-16425.971082497585</v>
      </c>
      <c r="AB31" s="7">
        <f t="shared" ca="1" si="12"/>
        <v>-1.8050517673074273</v>
      </c>
      <c r="AC31" s="7">
        <f t="shared" ca="1" si="13"/>
        <v>-0.77752588365371367</v>
      </c>
      <c r="AD31" s="1"/>
      <c r="AE31" s="1"/>
      <c r="AH31" s="65">
        <f t="shared" ca="1" si="15"/>
        <v>423.99999999999972</v>
      </c>
      <c r="AI31" s="65">
        <f t="shared" ca="1" si="16"/>
        <v>9.9999999999997158</v>
      </c>
      <c r="AJ31" s="65">
        <f t="shared" ca="1" si="17"/>
        <v>-10.35</v>
      </c>
      <c r="AK31" s="67">
        <f t="shared" ca="1" si="14"/>
        <v>-455.00000000036903</v>
      </c>
    </row>
    <row r="32" spans="1:37" x14ac:dyDescent="0.25">
      <c r="A32" s="1">
        <v>29</v>
      </c>
      <c r="B32" s="25">
        <v>44007</v>
      </c>
      <c r="C32" s="10" t="s">
        <v>286</v>
      </c>
      <c r="D32" s="1">
        <v>100</v>
      </c>
      <c r="E32" s="30">
        <v>2600</v>
      </c>
      <c r="F32" s="1">
        <v>92.5</v>
      </c>
      <c r="G32" s="1">
        <v>4.0999999999999996</v>
      </c>
      <c r="H32" s="1">
        <v>80</v>
      </c>
      <c r="I32" s="1">
        <v>1.2</v>
      </c>
      <c r="J32" s="1">
        <v>676000</v>
      </c>
      <c r="K32" s="1">
        <v>5200</v>
      </c>
      <c r="L32" s="1">
        <v>1.1000000000000001</v>
      </c>
      <c r="M32" s="1">
        <v>1.2</v>
      </c>
      <c r="N32" s="1">
        <v>5200</v>
      </c>
      <c r="O32" s="9"/>
      <c r="P32" s="7">
        <f t="shared" ca="1" si="0"/>
        <v>0.23199999999999996</v>
      </c>
      <c r="Q32" s="7">
        <f t="shared" ca="1" si="1"/>
        <v>1.1599999999999997E-2</v>
      </c>
      <c r="R32" s="33">
        <f t="shared" ca="1" si="2"/>
        <v>7539.9999999999982</v>
      </c>
      <c r="S32" s="33">
        <f t="shared" ca="1" si="3"/>
        <v>-24960</v>
      </c>
      <c r="T32" s="33">
        <f t="shared" ca="1" si="4"/>
        <v>7539.9999999999982</v>
      </c>
      <c r="U32" s="7">
        <f t="shared" ca="1" si="5"/>
        <v>0.30208333333333326</v>
      </c>
      <c r="V32" s="7">
        <f t="shared" ca="1" si="6"/>
        <v>-0.82499351432244283</v>
      </c>
      <c r="W32" s="33">
        <f t="shared" ca="1" si="7"/>
        <v>-24960</v>
      </c>
      <c r="X32" s="7">
        <f t="shared" ca="1" si="8"/>
        <v>-1</v>
      </c>
      <c r="Y32" s="7">
        <f t="shared" ca="1" si="9"/>
        <v>-0.69791666666666674</v>
      </c>
      <c r="Z32" s="7">
        <f t="shared" ca="1" si="10"/>
        <v>-0.17317681185575995</v>
      </c>
      <c r="AA32" s="33">
        <f t="shared" ca="1" si="11"/>
        <v>-17985.971082497585</v>
      </c>
      <c r="AB32" s="7">
        <f t="shared" ca="1" si="12"/>
        <v>-2.3854073053710332</v>
      </c>
      <c r="AC32" s="7">
        <f t="shared" ca="1" si="13"/>
        <v>-1.0416619860188501</v>
      </c>
      <c r="AD32" s="1"/>
      <c r="AE32" s="1"/>
      <c r="AH32" s="65">
        <f t="shared" ca="1" si="15"/>
        <v>424.1999999999997</v>
      </c>
      <c r="AI32" s="65">
        <f t="shared" ca="1" si="16"/>
        <v>10.199999999999704</v>
      </c>
      <c r="AJ32" s="65">
        <f t="shared" ca="1" si="17"/>
        <v>-10.35</v>
      </c>
      <c r="AK32" s="67">
        <f t="shared" ca="1" si="14"/>
        <v>-195.00000000038381</v>
      </c>
    </row>
    <row r="33" spans="1:37" x14ac:dyDescent="0.25">
      <c r="A33" s="1">
        <v>30</v>
      </c>
      <c r="B33" s="25">
        <v>44007</v>
      </c>
      <c r="C33" s="10" t="s">
        <v>286</v>
      </c>
      <c r="D33" s="1">
        <v>100</v>
      </c>
      <c r="E33" s="30">
        <v>2600</v>
      </c>
      <c r="F33" s="1">
        <v>92.5</v>
      </c>
      <c r="G33" s="1">
        <v>4.0999999999999996</v>
      </c>
      <c r="H33" s="1">
        <v>85</v>
      </c>
      <c r="I33" s="1">
        <v>1.95</v>
      </c>
      <c r="J33" s="1">
        <v>249600</v>
      </c>
      <c r="K33" s="1">
        <v>5200</v>
      </c>
      <c r="L33" s="1">
        <v>1.85</v>
      </c>
      <c r="M33" s="1">
        <v>1.95</v>
      </c>
      <c r="N33" s="1">
        <v>7800</v>
      </c>
      <c r="O33" s="9"/>
      <c r="P33" s="7">
        <f t="shared" ca="1" si="0"/>
        <v>0.28666666666666657</v>
      </c>
      <c r="Q33" s="7">
        <f t="shared" ref="Q33:Q90" ca="1" si="18">P33/($B33-TODAY())</f>
        <v>1.4333333333333328E-2</v>
      </c>
      <c r="R33" s="33">
        <f t="shared" ca="1" si="2"/>
        <v>5589.9999999999982</v>
      </c>
      <c r="S33" s="33">
        <f t="shared" ca="1" si="3"/>
        <v>-13910.000000000002</v>
      </c>
      <c r="T33" s="33">
        <f t="shared" ref="T33:T90" ca="1" si="19">R33</f>
        <v>5589.9999999999982</v>
      </c>
      <c r="U33" s="7">
        <f t="shared" ca="1" si="5"/>
        <v>0.4018691588785045</v>
      </c>
      <c r="V33" s="7">
        <f t="shared" ca="1" si="6"/>
        <v>-0.82499351432244283</v>
      </c>
      <c r="W33" s="33">
        <f t="shared" ref="W33:W90" ca="1" si="20">-(MAX(($F33-MAX($D33*(1+V33),$H33)),0)*$E33-$R33)</f>
        <v>-13910.000000000002</v>
      </c>
      <c r="X33" s="7">
        <f t="shared" ref="X33:X90" ca="1" si="21">W33/ABS($S33)</f>
        <v>-1</v>
      </c>
      <c r="Y33" s="7">
        <f t="shared" ref="Y33:Y90" ca="1" si="22">$U33+X33</f>
        <v>-0.5981308411214955</v>
      </c>
      <c r="Z33" s="7">
        <f t="shared" ca="1" si="10"/>
        <v>-0.17317681185575995</v>
      </c>
      <c r="AA33" s="33">
        <f t="shared" ref="AA33:AA90" ca="1" si="23">-(MAX(($F33-MAX($D33*(1+Z33),$H33)),0)*$E33-$R33)</f>
        <v>-13910.000000000002</v>
      </c>
      <c r="AB33" s="7">
        <f t="shared" ref="AB33:AB90" ca="1" si="24">AA33/$R33</f>
        <v>-2.4883720930232571</v>
      </c>
      <c r="AC33" s="7">
        <f t="shared" ca="1" si="13"/>
        <v>-1.0432514670723763</v>
      </c>
      <c r="AD33" s="1"/>
      <c r="AE33" s="1"/>
      <c r="AH33" s="65">
        <f t="shared" ca="1" si="15"/>
        <v>424.39999999999969</v>
      </c>
      <c r="AI33" s="65">
        <f t="shared" ca="1" si="16"/>
        <v>10.399999999999693</v>
      </c>
      <c r="AJ33" s="65">
        <f t="shared" ca="1" si="17"/>
        <v>-10.35</v>
      </c>
      <c r="AK33" s="67">
        <f t="shared" ca="1" si="14"/>
        <v>64.999999999601414</v>
      </c>
    </row>
    <row r="34" spans="1:37" x14ac:dyDescent="0.25">
      <c r="A34" s="1">
        <v>31</v>
      </c>
      <c r="B34" s="25">
        <v>44007</v>
      </c>
      <c r="C34" s="10" t="s">
        <v>286</v>
      </c>
      <c r="D34" s="1">
        <v>100</v>
      </c>
      <c r="E34" s="30">
        <v>2600</v>
      </c>
      <c r="F34" s="1">
        <v>92.5</v>
      </c>
      <c r="G34" s="1">
        <v>4.0999999999999996</v>
      </c>
      <c r="H34" s="1">
        <v>90</v>
      </c>
      <c r="I34" s="1">
        <v>3.25</v>
      </c>
      <c r="J34" s="1">
        <v>522600</v>
      </c>
      <c r="K34" s="1">
        <v>20800</v>
      </c>
      <c r="L34" s="1">
        <v>3.1</v>
      </c>
      <c r="M34" s="1">
        <v>3.2</v>
      </c>
      <c r="N34" s="1">
        <v>5200</v>
      </c>
      <c r="O34" s="9"/>
      <c r="P34" s="7">
        <f t="shared" ca="1" si="0"/>
        <v>0.33999999999999986</v>
      </c>
      <c r="Q34" s="7">
        <f t="shared" ca="1" si="18"/>
        <v>1.6999999999999994E-2</v>
      </c>
      <c r="R34" s="33">
        <f t="shared" ca="1" si="2"/>
        <v>2209.9999999999991</v>
      </c>
      <c r="S34" s="33">
        <f t="shared" ca="1" si="3"/>
        <v>-4290.0000000000009</v>
      </c>
      <c r="T34" s="33">
        <f t="shared" ca="1" si="19"/>
        <v>2209.9999999999991</v>
      </c>
      <c r="U34" s="7">
        <f t="shared" ca="1" si="5"/>
        <v>0.5151515151515148</v>
      </c>
      <c r="V34" s="7">
        <f t="shared" ca="1" si="6"/>
        <v>-0.82499351432244283</v>
      </c>
      <c r="W34" s="33">
        <f t="shared" ca="1" si="20"/>
        <v>-4290.0000000000009</v>
      </c>
      <c r="X34" s="7">
        <f t="shared" ca="1" si="21"/>
        <v>-1</v>
      </c>
      <c r="Y34" s="7">
        <f t="shared" ca="1" si="22"/>
        <v>-0.4848484848484852</v>
      </c>
      <c r="Z34" s="7">
        <f t="shared" ca="1" si="10"/>
        <v>-0.17317681185575995</v>
      </c>
      <c r="AA34" s="33">
        <f t="shared" ca="1" si="23"/>
        <v>-4290.0000000000009</v>
      </c>
      <c r="AB34" s="7">
        <f t="shared" ca="1" si="24"/>
        <v>-1.9411764705882366</v>
      </c>
      <c r="AC34" s="7">
        <f t="shared" ca="1" si="13"/>
        <v>-0.71301247771836085</v>
      </c>
      <c r="AD34" s="1"/>
      <c r="AE34" s="1"/>
      <c r="AH34" s="65">
        <f t="shared" ca="1" si="15"/>
        <v>424.59999999999968</v>
      </c>
      <c r="AI34" s="65">
        <f t="shared" ca="1" si="16"/>
        <v>10.599999999999682</v>
      </c>
      <c r="AJ34" s="65">
        <f t="shared" ca="1" si="17"/>
        <v>-10.35</v>
      </c>
      <c r="AK34" s="67">
        <f t="shared" ca="1" si="14"/>
        <v>324.99999999958663</v>
      </c>
    </row>
    <row r="35" spans="1:37" x14ac:dyDescent="0.25">
      <c r="A35" s="1">
        <v>32</v>
      </c>
      <c r="B35" s="25">
        <v>44007</v>
      </c>
      <c r="C35" s="10" t="s">
        <v>500</v>
      </c>
      <c r="D35" s="1">
        <v>98.15</v>
      </c>
      <c r="E35" s="30">
        <v>5334</v>
      </c>
      <c r="F35" s="1">
        <v>90</v>
      </c>
      <c r="G35" s="1">
        <v>2.5</v>
      </c>
      <c r="H35" s="1">
        <v>80</v>
      </c>
      <c r="I35" s="1">
        <v>0.7</v>
      </c>
      <c r="J35" s="1">
        <v>352044</v>
      </c>
      <c r="K35" s="1">
        <v>10668</v>
      </c>
      <c r="L35" s="1">
        <v>0.55000000000000004</v>
      </c>
      <c r="M35" s="1">
        <v>0.7</v>
      </c>
      <c r="N35" s="1">
        <v>16002</v>
      </c>
      <c r="O35" s="9"/>
      <c r="P35" s="7">
        <f t="shared" ca="1" si="0"/>
        <v>0.18</v>
      </c>
      <c r="Q35" s="7">
        <f t="shared" ca="1" si="18"/>
        <v>8.9999999999999993E-3</v>
      </c>
      <c r="R35" s="33">
        <f t="shared" ca="1" si="2"/>
        <v>9601.2000000000007</v>
      </c>
      <c r="S35" s="33">
        <f t="shared" ca="1" si="3"/>
        <v>-43738.8</v>
      </c>
      <c r="T35" s="33">
        <f t="shared" ca="1" si="19"/>
        <v>9601.2000000000007</v>
      </c>
      <c r="U35" s="7">
        <f t="shared" ca="1" si="5"/>
        <v>0.21951219512195122</v>
      </c>
      <c r="V35" s="7">
        <f t="shared" ca="1" si="6"/>
        <v>-0.5570289601456001</v>
      </c>
      <c r="W35" s="33">
        <f t="shared" ca="1" si="20"/>
        <v>-43738.8</v>
      </c>
      <c r="X35" s="7">
        <f t="shared" ca="1" si="21"/>
        <v>-1</v>
      </c>
      <c r="Y35" s="7">
        <f t="shared" ca="1" si="22"/>
        <v>-0.78048780487804881</v>
      </c>
      <c r="Z35" s="7">
        <f t="shared" ca="1" si="10"/>
        <v>-0.12609757376583203</v>
      </c>
      <c r="AA35" s="33">
        <f t="shared" ca="1" si="23"/>
        <v>-12942.827598530934</v>
      </c>
      <c r="AB35" s="7">
        <f t="shared" ca="1" si="24"/>
        <v>-1.3480427028424502</v>
      </c>
      <c r="AC35" s="7">
        <f t="shared" ca="1" si="13"/>
        <v>-0.5642652538602495</v>
      </c>
      <c r="AD35" s="1"/>
      <c r="AE35" s="1"/>
      <c r="AH35" s="65">
        <f t="shared" ca="1" si="15"/>
        <v>424.79999999999967</v>
      </c>
      <c r="AI35" s="65">
        <f t="shared" ca="1" si="16"/>
        <v>10.79999999999967</v>
      </c>
      <c r="AJ35" s="65">
        <f t="shared" ca="1" si="17"/>
        <v>-10.35</v>
      </c>
      <c r="AK35" s="67">
        <f t="shared" ca="1" si="14"/>
        <v>584.99999999957186</v>
      </c>
    </row>
    <row r="36" spans="1:37" x14ac:dyDescent="0.25">
      <c r="A36" s="1">
        <v>33</v>
      </c>
      <c r="B36" s="25">
        <v>44007</v>
      </c>
      <c r="C36" s="10" t="s">
        <v>500</v>
      </c>
      <c r="D36" s="1">
        <v>98.15</v>
      </c>
      <c r="E36" s="30">
        <v>5334</v>
      </c>
      <c r="F36" s="1">
        <v>90</v>
      </c>
      <c r="G36" s="1">
        <v>2.5</v>
      </c>
      <c r="H36" s="1">
        <v>82.5</v>
      </c>
      <c r="I36" s="1">
        <v>0.9</v>
      </c>
      <c r="J36" s="1">
        <v>96012</v>
      </c>
      <c r="K36" s="1">
        <v>5334</v>
      </c>
      <c r="L36" s="1">
        <v>0.8</v>
      </c>
      <c r="M36" s="1">
        <v>0.95</v>
      </c>
      <c r="N36" s="1">
        <v>5334</v>
      </c>
      <c r="O36" s="9"/>
      <c r="P36" s="7">
        <f t="shared" ca="1" si="0"/>
        <v>0.21333333333333335</v>
      </c>
      <c r="Q36" s="7">
        <f t="shared" ca="1" si="18"/>
        <v>1.0666666666666668E-2</v>
      </c>
      <c r="R36" s="33">
        <f t="shared" ca="1" si="2"/>
        <v>8534.4</v>
      </c>
      <c r="S36" s="33">
        <f t="shared" ca="1" si="3"/>
        <v>-31470.6</v>
      </c>
      <c r="T36" s="33">
        <f t="shared" ca="1" si="19"/>
        <v>8534.4</v>
      </c>
      <c r="U36" s="7">
        <f t="shared" ca="1" si="5"/>
        <v>0.2711864406779661</v>
      </c>
      <c r="V36" s="7">
        <f t="shared" ca="1" si="6"/>
        <v>-0.5570289601456001</v>
      </c>
      <c r="W36" s="33">
        <f t="shared" ca="1" si="20"/>
        <v>-31470.6</v>
      </c>
      <c r="X36" s="7">
        <f t="shared" ca="1" si="21"/>
        <v>-1</v>
      </c>
      <c r="Y36" s="7">
        <f t="shared" ca="1" si="22"/>
        <v>-0.72881355932203395</v>
      </c>
      <c r="Z36" s="7">
        <f t="shared" ca="1" si="10"/>
        <v>-0.12609757376583203</v>
      </c>
      <c r="AA36" s="33">
        <f t="shared" ca="1" si="23"/>
        <v>-14009.627598530935</v>
      </c>
      <c r="AB36" s="7">
        <f t="shared" ca="1" si="24"/>
        <v>-1.6415480406977567</v>
      </c>
      <c r="AC36" s="7">
        <f t="shared" ca="1" si="13"/>
        <v>-0.68518080000989534</v>
      </c>
      <c r="AD36" s="1"/>
      <c r="AE36" s="1"/>
      <c r="AH36" s="65">
        <f t="shared" ca="1" si="15"/>
        <v>424.99999999999966</v>
      </c>
      <c r="AI36" s="65">
        <f t="shared" ca="1" si="16"/>
        <v>10.999999999999659</v>
      </c>
      <c r="AJ36" s="65">
        <f t="shared" ca="1" si="17"/>
        <v>-10.35</v>
      </c>
      <c r="AK36" s="67">
        <f t="shared" ca="1" si="14"/>
        <v>844.99999999955708</v>
      </c>
    </row>
    <row r="37" spans="1:37" x14ac:dyDescent="0.25">
      <c r="A37" s="1">
        <v>34</v>
      </c>
      <c r="B37" s="25">
        <v>44007</v>
      </c>
      <c r="C37" s="10" t="s">
        <v>500</v>
      </c>
      <c r="D37" s="1">
        <v>98.15</v>
      </c>
      <c r="E37" s="30">
        <v>5334</v>
      </c>
      <c r="F37" s="1">
        <v>90</v>
      </c>
      <c r="G37" s="1">
        <v>2.5</v>
      </c>
      <c r="H37" s="1">
        <v>85</v>
      </c>
      <c r="I37" s="1">
        <v>1.4</v>
      </c>
      <c r="J37" s="1">
        <v>426720</v>
      </c>
      <c r="K37" s="1">
        <v>10668</v>
      </c>
      <c r="L37" s="1">
        <v>1.25</v>
      </c>
      <c r="M37" s="1">
        <v>1.3</v>
      </c>
      <c r="N37" s="1">
        <v>16002</v>
      </c>
      <c r="O37" s="9"/>
      <c r="P37" s="7">
        <f t="shared" ca="1" si="0"/>
        <v>0.22000000000000003</v>
      </c>
      <c r="Q37" s="7">
        <f t="shared" ca="1" si="18"/>
        <v>1.1000000000000001E-2</v>
      </c>
      <c r="R37" s="33">
        <f t="shared" ca="1" si="2"/>
        <v>5867.4000000000005</v>
      </c>
      <c r="S37" s="33">
        <f t="shared" ca="1" si="3"/>
        <v>-20802.599999999999</v>
      </c>
      <c r="T37" s="33">
        <f t="shared" ca="1" si="19"/>
        <v>5867.4000000000005</v>
      </c>
      <c r="U37" s="7">
        <f t="shared" ca="1" si="5"/>
        <v>0.2820512820512821</v>
      </c>
      <c r="V37" s="7">
        <f t="shared" ca="1" si="6"/>
        <v>-0.5570289601456001</v>
      </c>
      <c r="W37" s="33">
        <f t="shared" ca="1" si="20"/>
        <v>-20802.599999999999</v>
      </c>
      <c r="X37" s="7">
        <f t="shared" ca="1" si="21"/>
        <v>-1</v>
      </c>
      <c r="Y37" s="7">
        <f t="shared" ca="1" si="22"/>
        <v>-0.71794871794871784</v>
      </c>
      <c r="Z37" s="7">
        <f t="shared" ca="1" si="10"/>
        <v>-0.12609757376583203</v>
      </c>
      <c r="AA37" s="33">
        <f t="shared" ca="1" si="23"/>
        <v>-16676.627598530933</v>
      </c>
      <c r="AB37" s="7">
        <f t="shared" ca="1" si="24"/>
        <v>-2.8422516955603729</v>
      </c>
      <c r="AC37" s="7">
        <f t="shared" ca="1" si="13"/>
        <v>-1.2801002067545455</v>
      </c>
      <c r="AD37" s="1"/>
      <c r="AE37" s="1"/>
      <c r="AH37" s="65">
        <f t="shared" ca="1" si="15"/>
        <v>425.19999999999965</v>
      </c>
      <c r="AI37" s="65">
        <f t="shared" ca="1" si="16"/>
        <v>11.199999999999648</v>
      </c>
      <c r="AJ37" s="65">
        <f t="shared" ca="1" si="17"/>
        <v>-10.35</v>
      </c>
      <c r="AK37" s="67">
        <f t="shared" ca="1" si="14"/>
        <v>1104.9999999995423</v>
      </c>
    </row>
    <row r="38" spans="1:37" x14ac:dyDescent="0.25">
      <c r="A38" s="1">
        <v>35</v>
      </c>
      <c r="B38" s="25">
        <v>44007</v>
      </c>
      <c r="C38" s="10" t="s">
        <v>500</v>
      </c>
      <c r="D38" s="1">
        <v>98.15</v>
      </c>
      <c r="E38" s="30">
        <v>5334</v>
      </c>
      <c r="F38" s="1">
        <v>90</v>
      </c>
      <c r="G38" s="1">
        <v>2.5</v>
      </c>
      <c r="H38" s="1">
        <v>87.5</v>
      </c>
      <c r="I38" s="1">
        <v>1.8</v>
      </c>
      <c r="J38" s="1">
        <v>160020</v>
      </c>
      <c r="K38" s="1">
        <v>5334</v>
      </c>
      <c r="L38" s="1">
        <v>1.7</v>
      </c>
      <c r="M38" s="1">
        <v>1.9</v>
      </c>
      <c r="N38" s="1">
        <v>5334</v>
      </c>
      <c r="O38" s="9"/>
      <c r="P38" s="7">
        <f t="shared" ca="1" si="0"/>
        <v>0.27999999999999997</v>
      </c>
      <c r="Q38" s="7">
        <f t="shared" ca="1" si="18"/>
        <v>1.3999999999999999E-2</v>
      </c>
      <c r="R38" s="33">
        <f t="shared" ca="1" si="2"/>
        <v>3733.7999999999997</v>
      </c>
      <c r="S38" s="33">
        <f t="shared" ca="1" si="3"/>
        <v>-9601.2000000000007</v>
      </c>
      <c r="T38" s="33">
        <f t="shared" ca="1" si="19"/>
        <v>3733.7999999999997</v>
      </c>
      <c r="U38" s="7">
        <f t="shared" ca="1" si="5"/>
        <v>0.38888888888888884</v>
      </c>
      <c r="V38" s="7">
        <f t="shared" ca="1" si="6"/>
        <v>-0.5570289601456001</v>
      </c>
      <c r="W38" s="33">
        <f t="shared" ca="1" si="20"/>
        <v>-9601.2000000000007</v>
      </c>
      <c r="X38" s="7">
        <f t="shared" ca="1" si="21"/>
        <v>-1</v>
      </c>
      <c r="Y38" s="7">
        <f t="shared" ca="1" si="22"/>
        <v>-0.61111111111111116</v>
      </c>
      <c r="Z38" s="7">
        <f t="shared" ca="1" si="10"/>
        <v>-0.12609757376583203</v>
      </c>
      <c r="AA38" s="33">
        <f t="shared" ca="1" si="23"/>
        <v>-9601.2000000000007</v>
      </c>
      <c r="AB38" s="7">
        <f t="shared" ca="1" si="24"/>
        <v>-2.5714285714285716</v>
      </c>
      <c r="AC38" s="7">
        <f t="shared" ca="1" si="13"/>
        <v>-1.0912698412698414</v>
      </c>
      <c r="AD38" s="1"/>
      <c r="AE38" s="1"/>
      <c r="AH38" s="65">
        <f t="shared" ca="1" si="15"/>
        <v>425.39999999999964</v>
      </c>
      <c r="AI38" s="65">
        <f t="shared" ca="1" si="16"/>
        <v>11.399999999999636</v>
      </c>
      <c r="AJ38" s="65">
        <f t="shared" ca="1" si="17"/>
        <v>-10.35</v>
      </c>
      <c r="AK38" s="67">
        <f t="shared" ca="1" si="14"/>
        <v>1364.9999999995275</v>
      </c>
    </row>
    <row r="39" spans="1:37" x14ac:dyDescent="0.25">
      <c r="A39" s="1">
        <v>36</v>
      </c>
      <c r="B39" s="25">
        <v>44007</v>
      </c>
      <c r="C39" s="10" t="s">
        <v>995</v>
      </c>
      <c r="D39" s="1">
        <v>592.9</v>
      </c>
      <c r="E39" s="30">
        <v>1250</v>
      </c>
      <c r="F39" s="1">
        <v>550</v>
      </c>
      <c r="G39" s="1">
        <v>11.55</v>
      </c>
      <c r="H39" s="1">
        <v>480</v>
      </c>
      <c r="I39" s="1">
        <v>1.5</v>
      </c>
      <c r="J39" s="1">
        <v>22500</v>
      </c>
      <c r="K39" s="1">
        <v>6250</v>
      </c>
      <c r="L39" s="1">
        <v>0.95</v>
      </c>
      <c r="M39" s="1">
        <v>2.25</v>
      </c>
      <c r="N39" s="1">
        <v>21250</v>
      </c>
      <c r="O39" s="9"/>
      <c r="P39" s="7">
        <f t="shared" ca="1" si="0"/>
        <v>0.14357142857142857</v>
      </c>
      <c r="Q39" s="7">
        <f t="shared" ca="1" si="18"/>
        <v>7.1785714285714283E-3</v>
      </c>
      <c r="R39" s="33">
        <f t="shared" ca="1" si="2"/>
        <v>12562.5</v>
      </c>
      <c r="S39" s="33">
        <f t="shared" ca="1" si="3"/>
        <v>-74937.5</v>
      </c>
      <c r="T39" s="33">
        <f t="shared" ca="1" si="19"/>
        <v>12562.5</v>
      </c>
      <c r="U39" s="7">
        <f t="shared" ca="1" si="5"/>
        <v>0.16763969974979148</v>
      </c>
      <c r="V39" s="7">
        <f t="shared" ca="1" si="6"/>
        <v>-0.48816508926994273</v>
      </c>
      <c r="W39" s="33">
        <f t="shared" ca="1" si="20"/>
        <v>-74937.5</v>
      </c>
      <c r="X39" s="7">
        <f t="shared" ca="1" si="21"/>
        <v>-1</v>
      </c>
      <c r="Y39" s="7">
        <f t="shared" ca="1" si="22"/>
        <v>-0.83236030025020846</v>
      </c>
      <c r="Z39" s="7">
        <f t="shared" ca="1" si="10"/>
        <v>-8.1247886961511098E-2</v>
      </c>
      <c r="AA39" s="33">
        <f t="shared" ca="1" si="23"/>
        <v>5972.6597756500723</v>
      </c>
      <c r="AB39" s="7">
        <f t="shared" ca="1" si="24"/>
        <v>0.47543560403184654</v>
      </c>
      <c r="AC39" s="7">
        <f t="shared" ca="1" si="13"/>
        <v>0.32153765189081901</v>
      </c>
      <c r="AD39" s="1"/>
      <c r="AE39" s="1"/>
      <c r="AH39" s="65">
        <f t="shared" ca="1" si="15"/>
        <v>425.59999999999962</v>
      </c>
      <c r="AI39" s="65">
        <f t="shared" ca="1" si="16"/>
        <v>11.599999999999625</v>
      </c>
      <c r="AJ39" s="65">
        <f t="shared" ca="1" si="17"/>
        <v>-10.35</v>
      </c>
      <c r="AK39" s="67">
        <f t="shared" ca="1" si="14"/>
        <v>1624.9999999995127</v>
      </c>
    </row>
    <row r="40" spans="1:37" x14ac:dyDescent="0.25">
      <c r="A40" s="1">
        <v>37</v>
      </c>
      <c r="B40" s="25">
        <v>44007</v>
      </c>
      <c r="C40" s="10" t="s">
        <v>995</v>
      </c>
      <c r="D40" s="1">
        <v>592.9</v>
      </c>
      <c r="E40" s="30">
        <v>1250</v>
      </c>
      <c r="F40" s="1">
        <v>550</v>
      </c>
      <c r="G40" s="1">
        <v>11.55</v>
      </c>
      <c r="H40" s="1">
        <v>500</v>
      </c>
      <c r="I40" s="1">
        <v>2.6</v>
      </c>
      <c r="J40" s="1">
        <v>143750</v>
      </c>
      <c r="K40" s="1">
        <v>1250</v>
      </c>
      <c r="L40" s="1">
        <v>2.5</v>
      </c>
      <c r="M40" s="1">
        <v>3</v>
      </c>
      <c r="N40" s="1">
        <v>3750</v>
      </c>
      <c r="O40" s="9"/>
      <c r="P40" s="7">
        <f t="shared" ca="1" si="0"/>
        <v>0.17900000000000002</v>
      </c>
      <c r="Q40" s="7">
        <f t="shared" ca="1" si="18"/>
        <v>8.9500000000000014E-3</v>
      </c>
      <c r="R40" s="33">
        <f t="shared" ca="1" si="2"/>
        <v>11187.500000000002</v>
      </c>
      <c r="S40" s="33">
        <f t="shared" ca="1" si="3"/>
        <v>-51312.5</v>
      </c>
      <c r="T40" s="33">
        <f t="shared" ca="1" si="19"/>
        <v>11187.500000000002</v>
      </c>
      <c r="U40" s="7">
        <f t="shared" ca="1" si="5"/>
        <v>0.21802679658952501</v>
      </c>
      <c r="V40" s="7">
        <f t="shared" ca="1" si="6"/>
        <v>-0.48816508926994273</v>
      </c>
      <c r="W40" s="33">
        <f t="shared" ca="1" si="20"/>
        <v>-51312.5</v>
      </c>
      <c r="X40" s="7">
        <f t="shared" ca="1" si="21"/>
        <v>-1</v>
      </c>
      <c r="Y40" s="7">
        <f t="shared" ca="1" si="22"/>
        <v>-0.78197320341047494</v>
      </c>
      <c r="Z40" s="7">
        <f t="shared" ca="1" si="10"/>
        <v>-8.1247886961511098E-2</v>
      </c>
      <c r="AA40" s="33">
        <f t="shared" ca="1" si="23"/>
        <v>4597.6597756500742</v>
      </c>
      <c r="AB40" s="7">
        <f t="shared" ca="1" si="24"/>
        <v>0.41096400229274399</v>
      </c>
      <c r="AC40" s="7">
        <f t="shared" ca="1" si="13"/>
        <v>0.31449539944113447</v>
      </c>
      <c r="AD40" s="1"/>
      <c r="AE40" s="1"/>
      <c r="AH40" s="65">
        <f t="shared" ca="1" si="15"/>
        <v>425.79999999999961</v>
      </c>
      <c r="AI40" s="65">
        <f t="shared" ca="1" si="16"/>
        <v>11.799999999999613</v>
      </c>
      <c r="AJ40" s="65">
        <f t="shared" ca="1" si="17"/>
        <v>-10.35</v>
      </c>
      <c r="AK40" s="67">
        <f t="shared" ca="1" si="14"/>
        <v>1884.999999999498</v>
      </c>
    </row>
    <row r="41" spans="1:37" x14ac:dyDescent="0.25">
      <c r="A41" s="1">
        <v>38</v>
      </c>
      <c r="B41" s="25">
        <v>44007</v>
      </c>
      <c r="C41" s="10" t="s">
        <v>995</v>
      </c>
      <c r="D41" s="1">
        <v>592.9</v>
      </c>
      <c r="E41" s="30">
        <v>1250</v>
      </c>
      <c r="F41" s="1">
        <v>550</v>
      </c>
      <c r="G41" s="1">
        <v>11.55</v>
      </c>
      <c r="H41" s="1">
        <v>520</v>
      </c>
      <c r="I41" s="1">
        <v>5.15</v>
      </c>
      <c r="J41" s="1">
        <v>127500</v>
      </c>
      <c r="K41" s="1">
        <v>1250</v>
      </c>
      <c r="L41" s="1">
        <v>4.8</v>
      </c>
      <c r="M41" s="1">
        <v>5</v>
      </c>
      <c r="N41" s="1">
        <v>1250</v>
      </c>
      <c r="O41" s="9"/>
      <c r="P41" s="7">
        <f t="shared" ca="1" si="0"/>
        <v>0.21333333333333335</v>
      </c>
      <c r="Q41" s="7">
        <f t="shared" ca="1" si="18"/>
        <v>1.0666666666666668E-2</v>
      </c>
      <c r="R41" s="33">
        <f t="shared" ca="1" si="2"/>
        <v>8000</v>
      </c>
      <c r="S41" s="33">
        <f t="shared" ca="1" si="3"/>
        <v>-29500</v>
      </c>
      <c r="T41" s="33">
        <f t="shared" ca="1" si="19"/>
        <v>8000</v>
      </c>
      <c r="U41" s="7">
        <f t="shared" ca="1" si="5"/>
        <v>0.2711864406779661</v>
      </c>
      <c r="V41" s="7">
        <f t="shared" ca="1" si="6"/>
        <v>-0.48816508926994273</v>
      </c>
      <c r="W41" s="33">
        <f t="shared" ca="1" si="20"/>
        <v>-29500</v>
      </c>
      <c r="X41" s="7">
        <f t="shared" ca="1" si="21"/>
        <v>-1</v>
      </c>
      <c r="Y41" s="7">
        <f t="shared" ca="1" si="22"/>
        <v>-0.72881355932203395</v>
      </c>
      <c r="Z41" s="7">
        <f t="shared" ca="1" si="10"/>
        <v>-8.1247886961511098E-2</v>
      </c>
      <c r="AA41" s="33">
        <f t="shared" ca="1" si="23"/>
        <v>1410.1597756500723</v>
      </c>
      <c r="AB41" s="7">
        <f t="shared" ca="1" si="24"/>
        <v>0.17626997195625904</v>
      </c>
      <c r="AC41" s="7">
        <f t="shared" ca="1" si="13"/>
        <v>0.22372820631711257</v>
      </c>
      <c r="AD41" s="1"/>
      <c r="AE41" s="1"/>
      <c r="AH41" s="65">
        <f t="shared" ca="1" si="15"/>
        <v>425.9999999999996</v>
      </c>
      <c r="AI41" s="65">
        <f t="shared" ca="1" si="16"/>
        <v>11.999999999999602</v>
      </c>
      <c r="AJ41" s="65">
        <f t="shared" ca="1" si="17"/>
        <v>-10.35</v>
      </c>
      <c r="AK41" s="67">
        <f t="shared" ca="1" si="14"/>
        <v>2144.9999999994834</v>
      </c>
    </row>
    <row r="42" spans="1:37" x14ac:dyDescent="0.25">
      <c r="A42" s="1">
        <v>39</v>
      </c>
      <c r="B42" s="25">
        <v>44007</v>
      </c>
      <c r="C42" s="10" t="s">
        <v>995</v>
      </c>
      <c r="D42" s="1">
        <v>592.9</v>
      </c>
      <c r="E42" s="30">
        <v>1250</v>
      </c>
      <c r="F42" s="1">
        <v>550</v>
      </c>
      <c r="G42" s="1">
        <v>11.55</v>
      </c>
      <c r="H42" s="1">
        <v>540</v>
      </c>
      <c r="I42" s="1">
        <v>8.8000000000000007</v>
      </c>
      <c r="J42" s="1">
        <v>187500</v>
      </c>
      <c r="K42" s="1">
        <v>2500</v>
      </c>
      <c r="L42" s="1">
        <v>8.5500000000000007</v>
      </c>
      <c r="M42" s="1">
        <v>8.8000000000000007</v>
      </c>
      <c r="N42" s="1">
        <v>2500</v>
      </c>
      <c r="O42" s="9"/>
      <c r="P42" s="7">
        <f t="shared" ca="1" si="0"/>
        <v>0.27500000000000002</v>
      </c>
      <c r="Q42" s="7">
        <f t="shared" ca="1" si="18"/>
        <v>1.3750000000000002E-2</v>
      </c>
      <c r="R42" s="33">
        <f t="shared" ca="1" si="2"/>
        <v>3437.5</v>
      </c>
      <c r="S42" s="33">
        <f t="shared" ca="1" si="3"/>
        <v>-9062.5</v>
      </c>
      <c r="T42" s="33">
        <f t="shared" ca="1" si="19"/>
        <v>3437.5</v>
      </c>
      <c r="U42" s="7">
        <f t="shared" ca="1" si="5"/>
        <v>0.37931034482758619</v>
      </c>
      <c r="V42" s="7">
        <f t="shared" ca="1" si="6"/>
        <v>-0.48816508926994273</v>
      </c>
      <c r="W42" s="33">
        <f t="shared" ca="1" si="20"/>
        <v>-9062.5</v>
      </c>
      <c r="X42" s="7">
        <f t="shared" ca="1" si="21"/>
        <v>-1</v>
      </c>
      <c r="Y42" s="7">
        <f t="shared" ca="1" si="22"/>
        <v>-0.62068965517241381</v>
      </c>
      <c r="Z42" s="7">
        <f t="shared" ca="1" si="10"/>
        <v>-8.1247886961511098E-2</v>
      </c>
      <c r="AA42" s="33">
        <f t="shared" ca="1" si="23"/>
        <v>-3152.3402243499277</v>
      </c>
      <c r="AB42" s="7">
        <f t="shared" ca="1" si="24"/>
        <v>-0.91704442890179716</v>
      </c>
      <c r="AC42" s="7">
        <f t="shared" ca="1" si="13"/>
        <v>-0.26886704203710549</v>
      </c>
      <c r="AD42" s="1"/>
      <c r="AE42" s="1"/>
      <c r="AH42" s="65">
        <f t="shared" ca="1" si="15"/>
        <v>426.19999999999959</v>
      </c>
      <c r="AI42" s="65">
        <f t="shared" ca="1" si="16"/>
        <v>12.199999999999591</v>
      </c>
      <c r="AJ42" s="65">
        <f t="shared" ca="1" si="17"/>
        <v>-10.35</v>
      </c>
      <c r="AK42" s="67">
        <f t="shared" ca="1" si="14"/>
        <v>2404.9999999994684</v>
      </c>
    </row>
    <row r="43" spans="1:37" x14ac:dyDescent="0.25">
      <c r="A43" s="1">
        <v>40</v>
      </c>
      <c r="B43" s="25">
        <v>44007</v>
      </c>
      <c r="C43" s="10" t="s">
        <v>1037</v>
      </c>
      <c r="D43" s="1">
        <v>104.2</v>
      </c>
      <c r="E43" s="30">
        <v>5000</v>
      </c>
      <c r="F43" s="1">
        <v>95</v>
      </c>
      <c r="G43" s="1">
        <v>2.7</v>
      </c>
      <c r="H43" s="1">
        <v>70</v>
      </c>
      <c r="I43" s="1">
        <v>0.2</v>
      </c>
      <c r="J43" s="1">
        <v>445000</v>
      </c>
      <c r="K43" s="1">
        <v>30000</v>
      </c>
      <c r="L43" s="1">
        <v>0.2</v>
      </c>
      <c r="M43" s="1">
        <v>0.25</v>
      </c>
      <c r="N43" s="1">
        <v>10000</v>
      </c>
      <c r="O43" s="9"/>
      <c r="P43" s="7">
        <f t="shared" ca="1" si="0"/>
        <v>0.1</v>
      </c>
      <c r="Q43" s="7">
        <f t="shared" ca="1" si="18"/>
        <v>5.0000000000000001E-3</v>
      </c>
      <c r="R43" s="33">
        <f t="shared" ca="1" si="2"/>
        <v>12500</v>
      </c>
      <c r="S43" s="33">
        <f t="shared" ca="1" si="3"/>
        <v>-112500</v>
      </c>
      <c r="T43" s="33">
        <f t="shared" ca="1" si="19"/>
        <v>12500</v>
      </c>
      <c r="U43" s="7">
        <f t="shared" ca="1" si="5"/>
        <v>0.1111111111111111</v>
      </c>
      <c r="V43" s="7">
        <f t="shared" ca="1" si="6"/>
        <v>-0.82292622356591738</v>
      </c>
      <c r="W43" s="33">
        <f t="shared" ca="1" si="20"/>
        <v>-112500</v>
      </c>
      <c r="X43" s="7">
        <f t="shared" ca="1" si="21"/>
        <v>-1</v>
      </c>
      <c r="Y43" s="7">
        <f t="shared" ca="1" si="22"/>
        <v>-0.88888888888888884</v>
      </c>
      <c r="Z43" s="7">
        <f t="shared" ca="1" si="10"/>
        <v>-0.2000349690342372</v>
      </c>
      <c r="AA43" s="33">
        <f t="shared" ca="1" si="23"/>
        <v>-45718.218866837575</v>
      </c>
      <c r="AB43" s="7">
        <f t="shared" ca="1" si="24"/>
        <v>-3.6574575093470059</v>
      </c>
      <c r="AC43" s="7">
        <f t="shared" ca="1" si="13"/>
        <v>-1.7731731991179474</v>
      </c>
      <c r="AD43" s="1"/>
      <c r="AE43" s="1"/>
      <c r="AH43" s="65">
        <f t="shared" ca="1" si="15"/>
        <v>426.39999999999958</v>
      </c>
      <c r="AI43" s="65">
        <f t="shared" ca="1" si="16"/>
        <v>12.399999999999579</v>
      </c>
      <c r="AJ43" s="65">
        <f t="shared" ca="1" si="17"/>
        <v>-10.35</v>
      </c>
      <c r="AK43" s="67">
        <f t="shared" ca="1" si="14"/>
        <v>2664.9999999994538</v>
      </c>
    </row>
    <row r="44" spans="1:37" x14ac:dyDescent="0.25">
      <c r="A44" s="1">
        <v>41</v>
      </c>
      <c r="B44" s="25">
        <v>44007</v>
      </c>
      <c r="C44" s="10" t="s">
        <v>1037</v>
      </c>
      <c r="D44" s="1">
        <v>104.2</v>
      </c>
      <c r="E44" s="30">
        <v>5000</v>
      </c>
      <c r="F44" s="1">
        <v>95</v>
      </c>
      <c r="G44" s="1">
        <v>2.7</v>
      </c>
      <c r="H44" s="1">
        <v>75</v>
      </c>
      <c r="I44" s="1">
        <v>0.35</v>
      </c>
      <c r="J44" s="1">
        <v>255000</v>
      </c>
      <c r="K44" s="1">
        <v>5000</v>
      </c>
      <c r="L44" s="1">
        <v>0.3</v>
      </c>
      <c r="M44" s="1">
        <v>0.35</v>
      </c>
      <c r="N44" s="1">
        <v>5000</v>
      </c>
      <c r="O44" s="9"/>
      <c r="P44" s="7">
        <f t="shared" ca="1" si="0"/>
        <v>0.11750000000000001</v>
      </c>
      <c r="Q44" s="7">
        <f t="shared" ca="1" si="18"/>
        <v>5.875E-3</v>
      </c>
      <c r="R44" s="33">
        <f t="shared" ca="1" si="2"/>
        <v>11750</v>
      </c>
      <c r="S44" s="33">
        <f t="shared" ca="1" si="3"/>
        <v>-88250</v>
      </c>
      <c r="T44" s="33">
        <f t="shared" ca="1" si="19"/>
        <v>11750</v>
      </c>
      <c r="U44" s="7">
        <f t="shared" ca="1" si="5"/>
        <v>0.13314447592067988</v>
      </c>
      <c r="V44" s="7">
        <f t="shared" ca="1" si="6"/>
        <v>-0.82292622356591738</v>
      </c>
      <c r="W44" s="33">
        <f t="shared" ca="1" si="20"/>
        <v>-88250</v>
      </c>
      <c r="X44" s="7">
        <f t="shared" ca="1" si="21"/>
        <v>-1</v>
      </c>
      <c r="Y44" s="7">
        <f t="shared" ca="1" si="22"/>
        <v>-0.86685552407932009</v>
      </c>
      <c r="Z44" s="7">
        <f t="shared" ca="1" si="10"/>
        <v>-0.2000349690342372</v>
      </c>
      <c r="AA44" s="33">
        <f t="shared" ca="1" si="23"/>
        <v>-46468.218866837575</v>
      </c>
      <c r="AB44" s="7">
        <f t="shared" ca="1" si="24"/>
        <v>-3.9547420312202193</v>
      </c>
      <c r="AC44" s="7">
        <f t="shared" ca="1" si="13"/>
        <v>-1.9107987776497697</v>
      </c>
      <c r="AD44" s="1"/>
      <c r="AE44" s="1"/>
      <c r="AH44" s="65">
        <f t="shared" ca="1" si="15"/>
        <v>426.59999999999957</v>
      </c>
      <c r="AI44" s="65">
        <f t="shared" ca="1" si="16"/>
        <v>12.599999999999568</v>
      </c>
      <c r="AJ44" s="65">
        <f t="shared" ca="1" si="17"/>
        <v>-10.35</v>
      </c>
      <c r="AK44" s="67">
        <f t="shared" ca="1" si="14"/>
        <v>2924.9999999994388</v>
      </c>
    </row>
    <row r="45" spans="1:37" x14ac:dyDescent="0.25">
      <c r="A45" s="1">
        <v>42</v>
      </c>
      <c r="B45" s="25">
        <v>44007</v>
      </c>
      <c r="C45" s="10" t="s">
        <v>1037</v>
      </c>
      <c r="D45" s="1">
        <v>104.2</v>
      </c>
      <c r="E45" s="30">
        <v>5000</v>
      </c>
      <c r="F45" s="1">
        <v>95</v>
      </c>
      <c r="G45" s="1">
        <v>2.7</v>
      </c>
      <c r="H45" s="1">
        <v>80</v>
      </c>
      <c r="I45" s="1">
        <v>0.55000000000000004</v>
      </c>
      <c r="J45" s="1">
        <v>1015000</v>
      </c>
      <c r="K45" s="1">
        <v>10000</v>
      </c>
      <c r="L45" s="1">
        <v>0.55000000000000004</v>
      </c>
      <c r="M45" s="1">
        <v>0.6</v>
      </c>
      <c r="N45" s="1">
        <v>15000</v>
      </c>
      <c r="O45" s="9"/>
      <c r="P45" s="7">
        <f t="shared" ca="1" si="0"/>
        <v>0.14333333333333337</v>
      </c>
      <c r="Q45" s="7">
        <f t="shared" ca="1" si="18"/>
        <v>7.1666666666666684E-3</v>
      </c>
      <c r="R45" s="33">
        <f t="shared" ca="1" si="2"/>
        <v>10750.000000000002</v>
      </c>
      <c r="S45" s="33">
        <f t="shared" ca="1" si="3"/>
        <v>-64250</v>
      </c>
      <c r="T45" s="33">
        <f t="shared" ca="1" si="19"/>
        <v>10750.000000000002</v>
      </c>
      <c r="U45" s="7">
        <f t="shared" ca="1" si="5"/>
        <v>0.16731517509727628</v>
      </c>
      <c r="V45" s="7">
        <f t="shared" ca="1" si="6"/>
        <v>-0.82292622356591738</v>
      </c>
      <c r="W45" s="33">
        <f t="shared" ca="1" si="20"/>
        <v>-64250</v>
      </c>
      <c r="X45" s="7">
        <f t="shared" ca="1" si="21"/>
        <v>-1</v>
      </c>
      <c r="Y45" s="7">
        <f t="shared" ca="1" si="22"/>
        <v>-0.83268482490272366</v>
      </c>
      <c r="Z45" s="7">
        <f t="shared" ca="1" si="10"/>
        <v>-0.2000349690342372</v>
      </c>
      <c r="AA45" s="33">
        <f t="shared" ca="1" si="23"/>
        <v>-47468.218866837575</v>
      </c>
      <c r="AB45" s="7">
        <f t="shared" ca="1" si="24"/>
        <v>-4.415648266682564</v>
      </c>
      <c r="AC45" s="7">
        <f t="shared" ca="1" si="13"/>
        <v>-2.1241665457926437</v>
      </c>
      <c r="AD45" s="1"/>
      <c r="AE45" s="1"/>
      <c r="AH45" s="65">
        <f t="shared" ca="1" si="15"/>
        <v>426.79999999999956</v>
      </c>
      <c r="AI45" s="65">
        <f t="shared" ca="1" si="16"/>
        <v>12.799999999999557</v>
      </c>
      <c r="AJ45" s="65">
        <f t="shared" ca="1" si="17"/>
        <v>-10.35</v>
      </c>
      <c r="AK45" s="67">
        <f t="shared" ca="1" si="14"/>
        <v>3184.9999999994243</v>
      </c>
    </row>
    <row r="46" spans="1:37" x14ac:dyDescent="0.25">
      <c r="A46" s="1">
        <v>43</v>
      </c>
      <c r="B46" s="25">
        <v>44007</v>
      </c>
      <c r="C46" s="10" t="s">
        <v>1037</v>
      </c>
      <c r="D46" s="1">
        <v>104.2</v>
      </c>
      <c r="E46" s="30">
        <v>5000</v>
      </c>
      <c r="F46" s="1">
        <v>95</v>
      </c>
      <c r="G46" s="1">
        <v>2.7</v>
      </c>
      <c r="H46" s="1">
        <v>82.5</v>
      </c>
      <c r="I46" s="1">
        <v>0.65</v>
      </c>
      <c r="J46" s="1">
        <v>60000</v>
      </c>
      <c r="K46" s="1">
        <v>5000</v>
      </c>
      <c r="L46" s="1">
        <v>0.6</v>
      </c>
      <c r="M46" s="1">
        <v>1.1000000000000001</v>
      </c>
      <c r="N46" s="1">
        <v>70000</v>
      </c>
      <c r="O46" s="9"/>
      <c r="P46" s="7">
        <f t="shared" ca="1" si="0"/>
        <v>0.16400000000000003</v>
      </c>
      <c r="Q46" s="7">
        <f t="shared" ca="1" si="18"/>
        <v>8.2000000000000024E-3</v>
      </c>
      <c r="R46" s="33">
        <f t="shared" ca="1" si="2"/>
        <v>10250.000000000002</v>
      </c>
      <c r="S46" s="33">
        <f t="shared" ca="1" si="3"/>
        <v>-52250</v>
      </c>
      <c r="T46" s="33">
        <f t="shared" ca="1" si="19"/>
        <v>10250.000000000002</v>
      </c>
      <c r="U46" s="7">
        <f t="shared" ca="1" si="5"/>
        <v>0.19617224880382778</v>
      </c>
      <c r="V46" s="7">
        <f t="shared" ca="1" si="6"/>
        <v>-0.82292622356591738</v>
      </c>
      <c r="W46" s="33">
        <f t="shared" ca="1" si="20"/>
        <v>-52250</v>
      </c>
      <c r="X46" s="7">
        <f t="shared" ca="1" si="21"/>
        <v>-1</v>
      </c>
      <c r="Y46" s="7">
        <f t="shared" ca="1" si="22"/>
        <v>-0.80382775119617222</v>
      </c>
      <c r="Z46" s="7">
        <f t="shared" ca="1" si="10"/>
        <v>-0.2000349690342372</v>
      </c>
      <c r="AA46" s="33">
        <f t="shared" ca="1" si="23"/>
        <v>-47968.218866837575</v>
      </c>
      <c r="AB46" s="7">
        <f t="shared" ca="1" si="24"/>
        <v>-4.6798262309109822</v>
      </c>
      <c r="AC46" s="7">
        <f t="shared" ca="1" si="13"/>
        <v>-2.2418269910535771</v>
      </c>
      <c r="AD46" s="1"/>
      <c r="AE46" s="1"/>
      <c r="AH46" s="65">
        <f t="shared" ca="1" si="15"/>
        <v>426.99999999999955</v>
      </c>
      <c r="AI46" s="65">
        <f t="shared" ca="1" si="16"/>
        <v>12.999999999999545</v>
      </c>
      <c r="AJ46" s="65">
        <f t="shared" ca="1" si="17"/>
        <v>-10.35</v>
      </c>
      <c r="AK46" s="67">
        <f t="shared" ca="1" si="14"/>
        <v>3444.9999999994093</v>
      </c>
    </row>
    <row r="47" spans="1:37" x14ac:dyDescent="0.25">
      <c r="A47" s="1">
        <v>44</v>
      </c>
      <c r="B47" s="25">
        <v>44007</v>
      </c>
      <c r="C47" s="10" t="s">
        <v>1037</v>
      </c>
      <c r="D47" s="1">
        <v>104.2</v>
      </c>
      <c r="E47" s="30">
        <v>5000</v>
      </c>
      <c r="F47" s="1">
        <v>95</v>
      </c>
      <c r="G47" s="1">
        <v>2.7</v>
      </c>
      <c r="H47" s="1">
        <v>85</v>
      </c>
      <c r="I47" s="1">
        <v>0.9</v>
      </c>
      <c r="J47" s="1">
        <v>565000</v>
      </c>
      <c r="K47" s="1">
        <v>5000</v>
      </c>
      <c r="L47" s="1">
        <v>0.9</v>
      </c>
      <c r="M47" s="1">
        <v>1</v>
      </c>
      <c r="N47" s="1">
        <v>25000</v>
      </c>
      <c r="O47" s="9"/>
      <c r="P47" s="7">
        <f t="shared" ca="1" si="0"/>
        <v>0.18000000000000002</v>
      </c>
      <c r="Q47" s="7">
        <f t="shared" ca="1" si="18"/>
        <v>9.0000000000000011E-3</v>
      </c>
      <c r="R47" s="33">
        <f t="shared" ca="1" si="2"/>
        <v>9000.0000000000018</v>
      </c>
      <c r="S47" s="33">
        <f t="shared" ca="1" si="3"/>
        <v>-41000</v>
      </c>
      <c r="T47" s="33">
        <f t="shared" ca="1" si="19"/>
        <v>9000.0000000000018</v>
      </c>
      <c r="U47" s="7">
        <f t="shared" ca="1" si="5"/>
        <v>0.21951219512195128</v>
      </c>
      <c r="V47" s="7">
        <f t="shared" ca="1" si="6"/>
        <v>-0.82292622356591738</v>
      </c>
      <c r="W47" s="33">
        <f t="shared" ca="1" si="20"/>
        <v>-41000</v>
      </c>
      <c r="X47" s="7">
        <f t="shared" ca="1" si="21"/>
        <v>-1</v>
      </c>
      <c r="Y47" s="7">
        <f t="shared" ca="1" si="22"/>
        <v>-0.7804878048780487</v>
      </c>
      <c r="Z47" s="7">
        <f t="shared" ca="1" si="10"/>
        <v>-0.2000349690342372</v>
      </c>
      <c r="AA47" s="33">
        <f t="shared" ca="1" si="23"/>
        <v>-41000</v>
      </c>
      <c r="AB47" s="7">
        <f t="shared" ca="1" si="24"/>
        <v>-4.5555555555555545</v>
      </c>
      <c r="AC47" s="7">
        <f t="shared" ca="1" si="13"/>
        <v>-2.1680216802168015</v>
      </c>
      <c r="AD47" s="1"/>
      <c r="AE47" s="1"/>
      <c r="AH47" s="65">
        <f t="shared" ca="1" si="15"/>
        <v>427.19999999999953</v>
      </c>
      <c r="AI47" s="65">
        <f t="shared" ca="1" si="16"/>
        <v>13.199999999999534</v>
      </c>
      <c r="AJ47" s="65">
        <f t="shared" ca="1" si="17"/>
        <v>-10.35</v>
      </c>
      <c r="AK47" s="67">
        <f t="shared" ca="1" si="14"/>
        <v>3704.9999999993947</v>
      </c>
    </row>
    <row r="48" spans="1:37" x14ac:dyDescent="0.25">
      <c r="A48" s="1">
        <v>45</v>
      </c>
      <c r="B48" s="25">
        <v>44007</v>
      </c>
      <c r="C48" s="10" t="s">
        <v>1037</v>
      </c>
      <c r="D48" s="1">
        <v>104.2</v>
      </c>
      <c r="E48" s="30">
        <v>5000</v>
      </c>
      <c r="F48" s="1">
        <v>95</v>
      </c>
      <c r="G48" s="1">
        <v>2.7</v>
      </c>
      <c r="H48" s="1">
        <v>90</v>
      </c>
      <c r="I48" s="1">
        <v>1.6</v>
      </c>
      <c r="J48" s="1">
        <v>1055000</v>
      </c>
      <c r="K48" s="1">
        <v>15000</v>
      </c>
      <c r="L48" s="1">
        <v>1.55</v>
      </c>
      <c r="M48" s="1">
        <v>1.65</v>
      </c>
      <c r="N48" s="1">
        <v>15000</v>
      </c>
      <c r="O48" s="9"/>
      <c r="P48" s="7">
        <f t="shared" ca="1" si="0"/>
        <v>0.22000000000000003</v>
      </c>
      <c r="Q48" s="7">
        <f t="shared" ca="1" si="18"/>
        <v>1.1000000000000001E-2</v>
      </c>
      <c r="R48" s="33">
        <f t="shared" ca="1" si="2"/>
        <v>5500</v>
      </c>
      <c r="S48" s="33">
        <f t="shared" ca="1" si="3"/>
        <v>-19500</v>
      </c>
      <c r="T48" s="33">
        <f t="shared" ca="1" si="19"/>
        <v>5500</v>
      </c>
      <c r="U48" s="7">
        <f t="shared" ca="1" si="5"/>
        <v>0.28205128205128205</v>
      </c>
      <c r="V48" s="7">
        <f t="shared" ca="1" si="6"/>
        <v>-0.82292622356591738</v>
      </c>
      <c r="W48" s="33">
        <f t="shared" ca="1" si="20"/>
        <v>-19500</v>
      </c>
      <c r="X48" s="7">
        <f t="shared" ca="1" si="21"/>
        <v>-1</v>
      </c>
      <c r="Y48" s="7">
        <f t="shared" ca="1" si="22"/>
        <v>-0.71794871794871795</v>
      </c>
      <c r="Z48" s="7">
        <f t="shared" ca="1" si="10"/>
        <v>-0.2000349690342372</v>
      </c>
      <c r="AA48" s="33">
        <f t="shared" ca="1" si="23"/>
        <v>-19500</v>
      </c>
      <c r="AB48" s="7">
        <f t="shared" ca="1" si="24"/>
        <v>-3.5454545454545454</v>
      </c>
      <c r="AC48" s="7">
        <f t="shared" ca="1" si="13"/>
        <v>-1.6317016317016317</v>
      </c>
      <c r="AD48" s="1"/>
      <c r="AE48" s="1"/>
      <c r="AH48" s="65">
        <f t="shared" ca="1" si="15"/>
        <v>427.39999999999952</v>
      </c>
      <c r="AI48" s="65">
        <f t="shared" ca="1" si="16"/>
        <v>13.399999999999523</v>
      </c>
      <c r="AJ48" s="65">
        <f t="shared" ca="1" si="17"/>
        <v>-10.35</v>
      </c>
      <c r="AK48" s="67">
        <f t="shared" ca="1" si="14"/>
        <v>3964.9999999993797</v>
      </c>
    </row>
    <row r="49" spans="1:37" x14ac:dyDescent="0.25">
      <c r="A49" s="1">
        <v>46</v>
      </c>
      <c r="B49" s="25">
        <v>44007</v>
      </c>
      <c r="C49" s="10" t="s">
        <v>1037</v>
      </c>
      <c r="D49" s="1">
        <v>104.2</v>
      </c>
      <c r="E49" s="30">
        <v>5000</v>
      </c>
      <c r="F49" s="1">
        <v>95</v>
      </c>
      <c r="G49" s="1">
        <v>2.7</v>
      </c>
      <c r="H49" s="1">
        <v>92.5</v>
      </c>
      <c r="I49" s="1">
        <v>2.2000000000000002</v>
      </c>
      <c r="J49" s="1">
        <v>250000</v>
      </c>
      <c r="K49" s="1">
        <v>5000</v>
      </c>
      <c r="L49" s="1">
        <v>2.0499999999999998</v>
      </c>
      <c r="M49" s="1">
        <v>2.15</v>
      </c>
      <c r="N49" s="1">
        <v>10000</v>
      </c>
      <c r="O49" s="9"/>
      <c r="P49" s="7">
        <f t="shared" ca="1" si="0"/>
        <v>0.2</v>
      </c>
      <c r="Q49" s="7">
        <f t="shared" ca="1" si="18"/>
        <v>0.01</v>
      </c>
      <c r="R49" s="33">
        <f t="shared" ca="1" si="2"/>
        <v>2500</v>
      </c>
      <c r="S49" s="33">
        <f t="shared" ca="1" si="3"/>
        <v>-10000</v>
      </c>
      <c r="T49" s="33">
        <f t="shared" ca="1" si="19"/>
        <v>2500</v>
      </c>
      <c r="U49" s="7">
        <f t="shared" ca="1" si="5"/>
        <v>0.25</v>
      </c>
      <c r="V49" s="7">
        <f t="shared" ca="1" si="6"/>
        <v>-0.82292622356591738</v>
      </c>
      <c r="W49" s="33">
        <f t="shared" ca="1" si="20"/>
        <v>-10000</v>
      </c>
      <c r="X49" s="7">
        <f t="shared" ca="1" si="21"/>
        <v>-1</v>
      </c>
      <c r="Y49" s="7">
        <f t="shared" ca="1" si="22"/>
        <v>-0.75</v>
      </c>
      <c r="Z49" s="7">
        <f t="shared" ca="1" si="10"/>
        <v>-0.2000349690342372</v>
      </c>
      <c r="AA49" s="33">
        <f t="shared" ca="1" si="23"/>
        <v>-10000</v>
      </c>
      <c r="AB49" s="7">
        <f t="shared" ca="1" si="24"/>
        <v>-4</v>
      </c>
      <c r="AC49" s="7">
        <f t="shared" ca="1" si="13"/>
        <v>-1.875</v>
      </c>
      <c r="AD49" s="1"/>
      <c r="AE49" s="1"/>
      <c r="AH49" s="65">
        <f t="shared" ca="1" si="15"/>
        <v>427.59999999999951</v>
      </c>
      <c r="AI49" s="65">
        <f t="shared" ca="1" si="16"/>
        <v>13.599999999999511</v>
      </c>
      <c r="AJ49" s="65">
        <f t="shared" ca="1" si="17"/>
        <v>-10.35</v>
      </c>
      <c r="AK49" s="67">
        <f t="shared" ca="1" si="14"/>
        <v>4224.9999999993652</v>
      </c>
    </row>
    <row r="50" spans="1:37" x14ac:dyDescent="0.25">
      <c r="A50" s="1">
        <v>47</v>
      </c>
      <c r="B50" s="25">
        <v>44007</v>
      </c>
      <c r="C50" s="10" t="s">
        <v>1055</v>
      </c>
      <c r="D50" s="1">
        <v>920</v>
      </c>
      <c r="E50" s="30">
        <v>750</v>
      </c>
      <c r="F50" s="1">
        <v>840</v>
      </c>
      <c r="G50" s="1">
        <v>15.1</v>
      </c>
      <c r="H50" s="1">
        <v>760</v>
      </c>
      <c r="I50" s="1">
        <v>3.5</v>
      </c>
      <c r="J50" s="1">
        <v>27000</v>
      </c>
      <c r="K50" s="1">
        <v>750</v>
      </c>
      <c r="L50" s="1">
        <v>3.25</v>
      </c>
      <c r="M50" s="1">
        <v>3.55</v>
      </c>
      <c r="N50" s="1">
        <v>750</v>
      </c>
      <c r="O50" s="9"/>
      <c r="P50" s="7">
        <f t="shared" ca="1" si="0"/>
        <v>0.14499999999999999</v>
      </c>
      <c r="Q50" s="7">
        <f t="shared" ca="1" si="18"/>
        <v>7.2499999999999995E-3</v>
      </c>
      <c r="R50" s="33">
        <f t="shared" ca="1" si="2"/>
        <v>8700</v>
      </c>
      <c r="S50" s="33">
        <f t="shared" ca="1" si="3"/>
        <v>-51300</v>
      </c>
      <c r="T50" s="33">
        <f t="shared" ca="1" si="19"/>
        <v>8700</v>
      </c>
      <c r="U50" s="7">
        <f t="shared" ca="1" si="5"/>
        <v>0.16959064327485379</v>
      </c>
      <c r="V50" s="7">
        <f t="shared" ca="1" si="6"/>
        <v>-0.57282303286412284</v>
      </c>
      <c r="W50" s="33">
        <f t="shared" ca="1" si="20"/>
        <v>-51300</v>
      </c>
      <c r="X50" s="7">
        <f t="shared" ca="1" si="21"/>
        <v>-1</v>
      </c>
      <c r="Y50" s="7">
        <f t="shared" ca="1" si="22"/>
        <v>-0.83040935672514626</v>
      </c>
      <c r="Z50" s="7">
        <f t="shared" ca="1" si="10"/>
        <v>-0.16138627470048189</v>
      </c>
      <c r="AA50" s="33">
        <f t="shared" ca="1" si="23"/>
        <v>-42656.529543332581</v>
      </c>
      <c r="AB50" s="7">
        <f t="shared" ca="1" si="24"/>
        <v>-4.9030493727968487</v>
      </c>
      <c r="AC50" s="7">
        <f t="shared" ca="1" si="13"/>
        <v>-2.3667293647609973</v>
      </c>
      <c r="AD50" s="1"/>
      <c r="AE50" s="1"/>
      <c r="AH50" s="65">
        <f t="shared" ca="1" si="15"/>
        <v>427.7999999999995</v>
      </c>
      <c r="AI50" s="65">
        <f t="shared" ca="1" si="16"/>
        <v>13.7999999999995</v>
      </c>
      <c r="AJ50" s="65">
        <f t="shared" ca="1" si="17"/>
        <v>-10.35</v>
      </c>
      <c r="AK50" s="67">
        <f t="shared" ca="1" si="14"/>
        <v>4484.9999999993506</v>
      </c>
    </row>
    <row r="51" spans="1:37" x14ac:dyDescent="0.25">
      <c r="A51" s="1">
        <v>48</v>
      </c>
      <c r="B51" s="25">
        <v>44007</v>
      </c>
      <c r="C51" s="10" t="s">
        <v>1055</v>
      </c>
      <c r="D51" s="1">
        <v>920</v>
      </c>
      <c r="E51" s="30">
        <v>750</v>
      </c>
      <c r="F51" s="1">
        <v>840</v>
      </c>
      <c r="G51" s="1">
        <v>15.1</v>
      </c>
      <c r="H51" s="1">
        <v>780</v>
      </c>
      <c r="I51" s="1">
        <v>4.75</v>
      </c>
      <c r="J51" s="1">
        <v>30750</v>
      </c>
      <c r="K51" s="1">
        <v>1500</v>
      </c>
      <c r="L51" s="1">
        <v>4.5</v>
      </c>
      <c r="M51" s="1">
        <v>5.7</v>
      </c>
      <c r="N51" s="1">
        <v>750</v>
      </c>
      <c r="O51" s="9"/>
      <c r="P51" s="7">
        <f t="shared" ca="1" si="0"/>
        <v>0.17249999999999999</v>
      </c>
      <c r="Q51" s="7">
        <f t="shared" ca="1" si="18"/>
        <v>8.624999999999999E-3</v>
      </c>
      <c r="R51" s="33">
        <f t="shared" ca="1" si="2"/>
        <v>7762.5</v>
      </c>
      <c r="S51" s="33">
        <f t="shared" ca="1" si="3"/>
        <v>-37237.5</v>
      </c>
      <c r="T51" s="33">
        <f t="shared" ca="1" si="19"/>
        <v>7762.5</v>
      </c>
      <c r="U51" s="7">
        <f t="shared" ca="1" si="5"/>
        <v>0.20845921450151059</v>
      </c>
      <c r="V51" s="7">
        <f t="shared" ca="1" si="6"/>
        <v>-0.57282303286412284</v>
      </c>
      <c r="W51" s="33">
        <f t="shared" ca="1" si="20"/>
        <v>-37237.5</v>
      </c>
      <c r="X51" s="7">
        <f t="shared" ca="1" si="21"/>
        <v>-1</v>
      </c>
      <c r="Y51" s="7">
        <f t="shared" ca="1" si="22"/>
        <v>-0.79154078549848939</v>
      </c>
      <c r="Z51" s="7">
        <f t="shared" ca="1" si="10"/>
        <v>-0.16138627470048189</v>
      </c>
      <c r="AA51" s="33">
        <f t="shared" ca="1" si="23"/>
        <v>-37237.5</v>
      </c>
      <c r="AB51" s="7">
        <f t="shared" ca="1" si="24"/>
        <v>-4.7971014492753623</v>
      </c>
      <c r="AC51" s="7">
        <f t="shared" ca="1" si="13"/>
        <v>-2.294321117386926</v>
      </c>
      <c r="AD51" s="1"/>
      <c r="AE51" s="1"/>
      <c r="AH51" s="65">
        <f t="shared" ca="1" si="15"/>
        <v>427.99999999999949</v>
      </c>
      <c r="AI51" s="65">
        <f t="shared" ca="1" si="16"/>
        <v>13.999999999999488</v>
      </c>
      <c r="AJ51" s="65">
        <f t="shared" ca="1" si="17"/>
        <v>-10.35</v>
      </c>
      <c r="AK51" s="67">
        <f t="shared" ca="1" si="14"/>
        <v>4744.9999999993352</v>
      </c>
    </row>
    <row r="52" spans="1:37" x14ac:dyDescent="0.25">
      <c r="A52" s="1">
        <v>49</v>
      </c>
      <c r="B52" s="25">
        <v>44007</v>
      </c>
      <c r="C52" s="10" t="s">
        <v>1055</v>
      </c>
      <c r="D52" s="1">
        <v>920</v>
      </c>
      <c r="E52" s="30">
        <v>750</v>
      </c>
      <c r="F52" s="1">
        <v>840</v>
      </c>
      <c r="G52" s="1">
        <v>15.1</v>
      </c>
      <c r="H52" s="1">
        <v>800</v>
      </c>
      <c r="I52" s="1">
        <v>7.1</v>
      </c>
      <c r="J52" s="1">
        <v>84000</v>
      </c>
      <c r="K52" s="1">
        <v>750</v>
      </c>
      <c r="L52" s="1">
        <v>6.4</v>
      </c>
      <c r="M52" s="1">
        <v>6.9</v>
      </c>
      <c r="N52" s="1">
        <v>750</v>
      </c>
      <c r="O52" s="9"/>
      <c r="P52" s="7">
        <f t="shared" ca="1" si="0"/>
        <v>0.2</v>
      </c>
      <c r="Q52" s="7">
        <f t="shared" ca="1" si="18"/>
        <v>0.01</v>
      </c>
      <c r="R52" s="33">
        <f t="shared" ca="1" si="2"/>
        <v>6000</v>
      </c>
      <c r="S52" s="33">
        <f t="shared" ca="1" si="3"/>
        <v>-24000</v>
      </c>
      <c r="T52" s="33">
        <f t="shared" ca="1" si="19"/>
        <v>6000</v>
      </c>
      <c r="U52" s="7">
        <f t="shared" ca="1" si="5"/>
        <v>0.25</v>
      </c>
      <c r="V52" s="7">
        <f t="shared" ca="1" si="6"/>
        <v>-0.57282303286412284</v>
      </c>
      <c r="W52" s="33">
        <f t="shared" ca="1" si="20"/>
        <v>-24000</v>
      </c>
      <c r="X52" s="7">
        <f t="shared" ca="1" si="21"/>
        <v>-1</v>
      </c>
      <c r="Y52" s="7">
        <f t="shared" ca="1" si="22"/>
        <v>-0.75</v>
      </c>
      <c r="Z52" s="7">
        <f t="shared" ca="1" si="10"/>
        <v>-0.16138627470048189</v>
      </c>
      <c r="AA52" s="33">
        <f t="shared" ca="1" si="23"/>
        <v>-24000</v>
      </c>
      <c r="AB52" s="7">
        <f t="shared" ca="1" si="24"/>
        <v>-4</v>
      </c>
      <c r="AC52" s="7">
        <f t="shared" ca="1" si="13"/>
        <v>-1.875</v>
      </c>
      <c r="AD52" s="1"/>
      <c r="AE52" s="1"/>
      <c r="AH52" s="65">
        <f t="shared" ca="1" si="15"/>
        <v>428.19999999999948</v>
      </c>
      <c r="AI52" s="65">
        <f t="shared" ca="1" si="16"/>
        <v>14.199999999999477</v>
      </c>
      <c r="AJ52" s="65">
        <f t="shared" ca="1" si="17"/>
        <v>-10.35</v>
      </c>
      <c r="AK52" s="67">
        <f t="shared" ca="1" si="14"/>
        <v>5004.9999999993206</v>
      </c>
    </row>
    <row r="53" spans="1:37" x14ac:dyDescent="0.25">
      <c r="A53" s="1">
        <v>50</v>
      </c>
      <c r="B53" s="25">
        <v>44007</v>
      </c>
      <c r="C53" s="10" t="s">
        <v>729</v>
      </c>
      <c r="D53" s="1">
        <v>421.1</v>
      </c>
      <c r="E53" s="30">
        <v>400</v>
      </c>
      <c r="F53" s="1">
        <v>390</v>
      </c>
      <c r="G53" s="1">
        <v>20.05</v>
      </c>
      <c r="H53" s="1">
        <v>260</v>
      </c>
      <c r="I53" s="1">
        <v>1.1499999999999999</v>
      </c>
      <c r="J53" s="1">
        <v>97600</v>
      </c>
      <c r="K53" s="1">
        <v>800</v>
      </c>
      <c r="L53" s="1">
        <v>1.1499999999999999</v>
      </c>
      <c r="M53" s="1">
        <v>1.5</v>
      </c>
      <c r="N53" s="1">
        <v>800</v>
      </c>
      <c r="O53" s="9"/>
      <c r="P53" s="7">
        <f t="shared" ca="1" si="0"/>
        <v>0.14538461538461539</v>
      </c>
      <c r="Q53" s="7">
        <f t="shared" ca="1" si="18"/>
        <v>7.2692307692307691E-3</v>
      </c>
      <c r="R53" s="33">
        <f t="shared" ca="1" si="2"/>
        <v>7560.0000000000009</v>
      </c>
      <c r="S53" s="33">
        <f t="shared" ca="1" si="3"/>
        <v>-44440</v>
      </c>
      <c r="T53" s="33">
        <f t="shared" ca="1" si="19"/>
        <v>7560.0000000000009</v>
      </c>
      <c r="U53" s="7">
        <f t="shared" ca="1" si="5"/>
        <v>0.17011701170117013</v>
      </c>
      <c r="V53" s="7">
        <f t="shared" ca="1" si="6"/>
        <v>-1.3568662340439244</v>
      </c>
      <c r="W53" s="33">
        <f t="shared" ca="1" si="20"/>
        <v>-44440</v>
      </c>
      <c r="X53" s="7">
        <f t="shared" ca="1" si="21"/>
        <v>-1</v>
      </c>
      <c r="Y53" s="7">
        <f t="shared" ca="1" si="22"/>
        <v>-0.82988298829882989</v>
      </c>
      <c r="Z53" s="7">
        <f t="shared" ca="1" si="10"/>
        <v>-0.20777233073376583</v>
      </c>
      <c r="AA53" s="33">
        <f t="shared" ca="1" si="23"/>
        <v>-14997.171388795497</v>
      </c>
      <c r="AB53" s="7">
        <f t="shared" ca="1" si="24"/>
        <v>-1.9837528292057534</v>
      </c>
      <c r="AC53" s="7">
        <f t="shared" ca="1" si="13"/>
        <v>-0.90681790875229162</v>
      </c>
      <c r="AD53" s="1"/>
      <c r="AE53" s="1"/>
      <c r="AH53" s="65">
        <f t="shared" ca="1" si="15"/>
        <v>428.39999999999947</v>
      </c>
      <c r="AI53" s="65">
        <f t="shared" ca="1" si="16"/>
        <v>14.399999999999466</v>
      </c>
      <c r="AJ53" s="65">
        <f t="shared" ca="1" si="17"/>
        <v>-10.35</v>
      </c>
      <c r="AK53" s="67">
        <f t="shared" ca="1" si="14"/>
        <v>5264.9999999993061</v>
      </c>
    </row>
    <row r="54" spans="1:37" x14ac:dyDescent="0.25">
      <c r="A54" s="1">
        <v>51</v>
      </c>
      <c r="B54" s="25">
        <v>44007</v>
      </c>
      <c r="C54" s="10" t="s">
        <v>729</v>
      </c>
      <c r="D54" s="1">
        <v>421.1</v>
      </c>
      <c r="E54" s="30">
        <v>400</v>
      </c>
      <c r="F54" s="1">
        <v>390</v>
      </c>
      <c r="G54" s="1">
        <v>20.05</v>
      </c>
      <c r="H54" s="1">
        <v>280</v>
      </c>
      <c r="I54" s="1">
        <v>1.5</v>
      </c>
      <c r="J54" s="1">
        <v>59600</v>
      </c>
      <c r="K54" s="1">
        <v>400</v>
      </c>
      <c r="L54" s="1">
        <v>1.35</v>
      </c>
      <c r="M54" s="1">
        <v>2.15</v>
      </c>
      <c r="N54" s="1">
        <v>1200</v>
      </c>
      <c r="O54" s="9"/>
      <c r="P54" s="7">
        <f t="shared" ca="1" si="0"/>
        <v>0.16863636363636364</v>
      </c>
      <c r="Q54" s="7">
        <f t="shared" ca="1" si="18"/>
        <v>8.4318181818181827E-3</v>
      </c>
      <c r="R54" s="33">
        <f t="shared" ca="1" si="2"/>
        <v>7420</v>
      </c>
      <c r="S54" s="33">
        <f t="shared" ca="1" si="3"/>
        <v>-36580</v>
      </c>
      <c r="T54" s="33">
        <f t="shared" ca="1" si="19"/>
        <v>7420</v>
      </c>
      <c r="U54" s="7">
        <f t="shared" ca="1" si="5"/>
        <v>0.202843083652269</v>
      </c>
      <c r="V54" s="7">
        <f t="shared" ca="1" si="6"/>
        <v>-1.3568662340439244</v>
      </c>
      <c r="W54" s="33">
        <f t="shared" ca="1" si="20"/>
        <v>-36580</v>
      </c>
      <c r="X54" s="7">
        <f t="shared" ca="1" si="21"/>
        <v>-1</v>
      </c>
      <c r="Y54" s="7">
        <f t="shared" ca="1" si="22"/>
        <v>-0.797156916347731</v>
      </c>
      <c r="Z54" s="7">
        <f t="shared" ca="1" si="10"/>
        <v>-0.20777233073376583</v>
      </c>
      <c r="AA54" s="33">
        <f t="shared" ca="1" si="23"/>
        <v>-15137.171388795497</v>
      </c>
      <c r="AB54" s="7">
        <f t="shared" ca="1" si="24"/>
        <v>-2.0400500523983149</v>
      </c>
      <c r="AC54" s="7">
        <f t="shared" ca="1" si="13"/>
        <v>-0.91860348437302297</v>
      </c>
      <c r="AD54" s="1"/>
      <c r="AE54" s="1"/>
      <c r="AH54" s="65">
        <f t="shared" ca="1" si="15"/>
        <v>428.59999999999945</v>
      </c>
      <c r="AI54" s="65">
        <f t="shared" ca="1" si="16"/>
        <v>14.599999999999454</v>
      </c>
      <c r="AJ54" s="65">
        <f t="shared" ca="1" si="17"/>
        <v>-10.35</v>
      </c>
      <c r="AK54" s="67">
        <f t="shared" ca="1" si="14"/>
        <v>5524.9999999992915</v>
      </c>
    </row>
    <row r="55" spans="1:37" x14ac:dyDescent="0.25">
      <c r="A55" s="1">
        <v>52</v>
      </c>
      <c r="B55" s="25">
        <v>44007</v>
      </c>
      <c r="C55" s="10" t="s">
        <v>729</v>
      </c>
      <c r="D55" s="1">
        <v>421.1</v>
      </c>
      <c r="E55" s="30">
        <v>400</v>
      </c>
      <c r="F55" s="1">
        <v>390</v>
      </c>
      <c r="G55" s="1">
        <v>20.05</v>
      </c>
      <c r="H55" s="1">
        <v>300</v>
      </c>
      <c r="I55" s="1">
        <v>2.7</v>
      </c>
      <c r="J55" s="1">
        <v>252800</v>
      </c>
      <c r="K55" s="1">
        <v>800</v>
      </c>
      <c r="L55" s="1">
        <v>2.5499999999999998</v>
      </c>
      <c r="M55" s="1">
        <v>2.8</v>
      </c>
      <c r="N55" s="1">
        <v>800</v>
      </c>
      <c r="O55" s="9"/>
      <c r="P55" s="7">
        <f t="shared" ca="1" si="0"/>
        <v>0.1927777777777778</v>
      </c>
      <c r="Q55" s="7">
        <f t="shared" ca="1" si="18"/>
        <v>9.6388888888888895E-3</v>
      </c>
      <c r="R55" s="33">
        <f t="shared" ca="1" si="2"/>
        <v>6940.0000000000009</v>
      </c>
      <c r="S55" s="33">
        <f t="shared" ca="1" si="3"/>
        <v>-29060</v>
      </c>
      <c r="T55" s="33">
        <f t="shared" ca="1" si="19"/>
        <v>6940.0000000000009</v>
      </c>
      <c r="U55" s="7">
        <f t="shared" ca="1" si="5"/>
        <v>0.2388162422573985</v>
      </c>
      <c r="V55" s="7">
        <f t="shared" ca="1" si="6"/>
        <v>-1.3568662340439244</v>
      </c>
      <c r="W55" s="33">
        <f t="shared" ca="1" si="20"/>
        <v>-29060</v>
      </c>
      <c r="X55" s="7">
        <f t="shared" ca="1" si="21"/>
        <v>-1</v>
      </c>
      <c r="Y55" s="7">
        <f t="shared" ca="1" si="22"/>
        <v>-0.7611837577426015</v>
      </c>
      <c r="Z55" s="7">
        <f t="shared" ca="1" si="10"/>
        <v>-0.20777233073376583</v>
      </c>
      <c r="AA55" s="33">
        <f t="shared" ca="1" si="23"/>
        <v>-15617.171388795497</v>
      </c>
      <c r="AB55" s="7">
        <f t="shared" ca="1" si="24"/>
        <v>-2.2503128802298984</v>
      </c>
      <c r="AC55" s="7">
        <f t="shared" ca="1" si="13"/>
        <v>-1.0057483189862499</v>
      </c>
      <c r="AD55" s="1"/>
      <c r="AE55" s="1"/>
      <c r="AH55" s="65">
        <f t="shared" ca="1" si="15"/>
        <v>428.79999999999944</v>
      </c>
      <c r="AI55" s="65">
        <f t="shared" ca="1" si="16"/>
        <v>14.799999999999443</v>
      </c>
      <c r="AJ55" s="65">
        <f t="shared" ca="1" si="17"/>
        <v>-10.35</v>
      </c>
      <c r="AK55" s="67">
        <f t="shared" ca="1" si="14"/>
        <v>5784.999999999276</v>
      </c>
    </row>
    <row r="56" spans="1:37" x14ac:dyDescent="0.25">
      <c r="A56" s="1">
        <v>53</v>
      </c>
      <c r="B56" s="25">
        <v>44007</v>
      </c>
      <c r="C56" s="10" t="s">
        <v>729</v>
      </c>
      <c r="D56" s="1">
        <v>421.1</v>
      </c>
      <c r="E56" s="30">
        <v>400</v>
      </c>
      <c r="F56" s="1">
        <v>390</v>
      </c>
      <c r="G56" s="1">
        <v>20.05</v>
      </c>
      <c r="H56" s="1">
        <v>320</v>
      </c>
      <c r="I56" s="1">
        <v>4.2</v>
      </c>
      <c r="J56" s="1">
        <v>88800</v>
      </c>
      <c r="K56" s="1">
        <v>400</v>
      </c>
      <c r="L56" s="1">
        <v>4.25</v>
      </c>
      <c r="M56" s="1">
        <v>4.5</v>
      </c>
      <c r="N56" s="1">
        <v>1200</v>
      </c>
      <c r="O56" s="9"/>
      <c r="P56" s="7">
        <f t="shared" ca="1" si="0"/>
        <v>0.22642857142857145</v>
      </c>
      <c r="Q56" s="7">
        <f t="shared" ca="1" si="18"/>
        <v>1.1321428571428573E-2</v>
      </c>
      <c r="R56" s="33">
        <f t="shared" ca="1" si="2"/>
        <v>6340.0000000000009</v>
      </c>
      <c r="S56" s="33">
        <f t="shared" ca="1" si="3"/>
        <v>-21660</v>
      </c>
      <c r="T56" s="33">
        <f t="shared" ca="1" si="19"/>
        <v>6340.0000000000009</v>
      </c>
      <c r="U56" s="7">
        <f t="shared" ca="1" si="5"/>
        <v>0.29270544783010161</v>
      </c>
      <c r="V56" s="7">
        <f t="shared" ca="1" si="6"/>
        <v>-1.3568662340439244</v>
      </c>
      <c r="W56" s="33">
        <f t="shared" ca="1" si="20"/>
        <v>-21660</v>
      </c>
      <c r="X56" s="7">
        <f t="shared" ca="1" si="21"/>
        <v>-1</v>
      </c>
      <c r="Y56" s="7">
        <f t="shared" ca="1" si="22"/>
        <v>-0.70729455216989834</v>
      </c>
      <c r="Z56" s="7">
        <f t="shared" ca="1" si="10"/>
        <v>-0.20777233073376583</v>
      </c>
      <c r="AA56" s="33">
        <f t="shared" ca="1" si="23"/>
        <v>-16217.171388795497</v>
      </c>
      <c r="AB56" s="7">
        <f t="shared" ca="1" si="24"/>
        <v>-2.5579134682642737</v>
      </c>
      <c r="AC56" s="7">
        <f t="shared" ca="1" si="13"/>
        <v>-1.132604010217086</v>
      </c>
      <c r="AD56" s="1"/>
      <c r="AE56" s="1"/>
      <c r="AH56" s="65">
        <f t="shared" ca="1" si="15"/>
        <v>428.99999999999943</v>
      </c>
      <c r="AI56" s="65">
        <f t="shared" ca="1" si="16"/>
        <v>14.999999999999432</v>
      </c>
      <c r="AJ56" s="65">
        <f t="shared" ca="1" si="17"/>
        <v>-10.35</v>
      </c>
      <c r="AK56" s="67">
        <f t="shared" ca="1" si="14"/>
        <v>6044.9999999992615</v>
      </c>
    </row>
    <row r="57" spans="1:37" x14ac:dyDescent="0.25">
      <c r="A57" s="1">
        <v>54</v>
      </c>
      <c r="B57" s="25">
        <v>44007</v>
      </c>
      <c r="C57" s="10" t="s">
        <v>729</v>
      </c>
      <c r="D57" s="1">
        <v>421.1</v>
      </c>
      <c r="E57" s="30">
        <v>400</v>
      </c>
      <c r="F57" s="1">
        <v>390</v>
      </c>
      <c r="G57" s="1">
        <v>20.05</v>
      </c>
      <c r="H57" s="1">
        <v>340</v>
      </c>
      <c r="I57" s="1">
        <v>6.95</v>
      </c>
      <c r="J57" s="1">
        <v>475600</v>
      </c>
      <c r="K57" s="1">
        <v>1600</v>
      </c>
      <c r="L57" s="1">
        <v>6.9</v>
      </c>
      <c r="M57" s="1">
        <v>7.1</v>
      </c>
      <c r="N57" s="1">
        <v>2800</v>
      </c>
      <c r="O57" s="41"/>
      <c r="P57" s="7">
        <f t="shared" ca="1" si="0"/>
        <v>0.26200000000000001</v>
      </c>
      <c r="Q57" s="7">
        <f t="shared" ca="1" si="18"/>
        <v>1.3100000000000001E-2</v>
      </c>
      <c r="R57" s="33">
        <f t="shared" ca="1" si="2"/>
        <v>5240.0000000000009</v>
      </c>
      <c r="S57" s="33">
        <f t="shared" ca="1" si="3"/>
        <v>-14760</v>
      </c>
      <c r="T57" s="33">
        <f t="shared" ca="1" si="19"/>
        <v>5240.0000000000009</v>
      </c>
      <c r="U57" s="7">
        <f t="shared" ca="1" si="5"/>
        <v>0.3550135501355014</v>
      </c>
      <c r="V57" s="7">
        <f t="shared" ca="1" si="6"/>
        <v>-1.3568662340439244</v>
      </c>
      <c r="W57" s="33">
        <f t="shared" ca="1" si="20"/>
        <v>-14760</v>
      </c>
      <c r="X57" s="7">
        <f t="shared" ca="1" si="21"/>
        <v>-1</v>
      </c>
      <c r="Y57" s="7">
        <f t="shared" ca="1" si="22"/>
        <v>-0.6449864498644986</v>
      </c>
      <c r="Z57" s="7">
        <f t="shared" ca="1" si="10"/>
        <v>-0.20777233073376583</v>
      </c>
      <c r="AA57" s="33">
        <f t="shared" ca="1" si="23"/>
        <v>-14760</v>
      </c>
      <c r="AB57" s="7">
        <f t="shared" ca="1" si="24"/>
        <v>-2.8167938931297707</v>
      </c>
      <c r="AC57" s="7">
        <f t="shared" ca="1" si="13"/>
        <v>-1.2308901714971348</v>
      </c>
      <c r="AD57" s="1"/>
      <c r="AE57" s="1"/>
      <c r="AH57" s="65">
        <f t="shared" ca="1" si="15"/>
        <v>429.19999999999942</v>
      </c>
      <c r="AI57" s="65">
        <f t="shared" ca="1" si="16"/>
        <v>15.19999999999942</v>
      </c>
      <c r="AJ57" s="65">
        <f t="shared" ca="1" si="17"/>
        <v>-10.35</v>
      </c>
      <c r="AK57" s="67">
        <f t="shared" ca="1" si="14"/>
        <v>6304.9999999992469</v>
      </c>
    </row>
    <row r="58" spans="1:37" x14ac:dyDescent="0.25">
      <c r="A58" s="1">
        <v>55</v>
      </c>
      <c r="B58" s="25">
        <v>44007</v>
      </c>
      <c r="C58" s="10" t="s">
        <v>729</v>
      </c>
      <c r="D58" s="1">
        <v>421.1</v>
      </c>
      <c r="E58" s="30">
        <v>400</v>
      </c>
      <c r="F58" s="1">
        <v>390</v>
      </c>
      <c r="G58" s="1">
        <v>20.05</v>
      </c>
      <c r="H58" s="1">
        <v>350</v>
      </c>
      <c r="I58" s="1">
        <v>9</v>
      </c>
      <c r="J58" s="1">
        <v>56400</v>
      </c>
      <c r="K58" s="1">
        <v>800</v>
      </c>
      <c r="L58" s="1">
        <v>8.6999999999999993</v>
      </c>
      <c r="M58" s="1">
        <v>9.9499999999999993</v>
      </c>
      <c r="N58" s="1">
        <v>800</v>
      </c>
      <c r="O58" s="9"/>
      <c r="P58" s="7">
        <f t="shared" ca="1" si="0"/>
        <v>0.27625</v>
      </c>
      <c r="Q58" s="7">
        <f t="shared" ca="1" si="18"/>
        <v>1.38125E-2</v>
      </c>
      <c r="R58" s="33">
        <f t="shared" ca="1" si="2"/>
        <v>4420</v>
      </c>
      <c r="S58" s="33">
        <f t="shared" ca="1" si="3"/>
        <v>-11580</v>
      </c>
      <c r="T58" s="33">
        <f t="shared" ca="1" si="19"/>
        <v>4420</v>
      </c>
      <c r="U58" s="7">
        <f t="shared" ca="1" si="5"/>
        <v>0.38169257340241797</v>
      </c>
      <c r="V58" s="7">
        <f t="shared" ca="1" si="6"/>
        <v>-1.3568662340439244</v>
      </c>
      <c r="W58" s="33">
        <f t="shared" ca="1" si="20"/>
        <v>-11580</v>
      </c>
      <c r="X58" s="7">
        <f t="shared" ca="1" si="21"/>
        <v>-1</v>
      </c>
      <c r="Y58" s="7">
        <f t="shared" ca="1" si="22"/>
        <v>-0.61830742659758209</v>
      </c>
      <c r="Z58" s="7">
        <f t="shared" ca="1" si="10"/>
        <v>-0.20777233073376583</v>
      </c>
      <c r="AA58" s="33">
        <f t="shared" ca="1" si="23"/>
        <v>-11580</v>
      </c>
      <c r="AB58" s="7">
        <f t="shared" ca="1" si="24"/>
        <v>-2.6199095022624435</v>
      </c>
      <c r="AC58" s="7">
        <f t="shared" ca="1" si="13"/>
        <v>-1.1191084644300127</v>
      </c>
      <c r="AD58" s="1"/>
      <c r="AE58" s="1"/>
      <c r="AH58" s="65">
        <f t="shared" ca="1" si="15"/>
        <v>429.39999999999941</v>
      </c>
      <c r="AI58" s="65">
        <f t="shared" ca="1" si="16"/>
        <v>15.399999999999409</v>
      </c>
      <c r="AJ58" s="65">
        <f t="shared" ca="1" si="17"/>
        <v>-10.35</v>
      </c>
      <c r="AK58" s="67">
        <f t="shared" ca="1" si="14"/>
        <v>6564.9999999992324</v>
      </c>
    </row>
    <row r="59" spans="1:37" x14ac:dyDescent="0.25">
      <c r="A59" s="1">
        <v>56</v>
      </c>
      <c r="B59" s="25">
        <v>44007</v>
      </c>
      <c r="C59" s="10" t="s">
        <v>729</v>
      </c>
      <c r="D59" s="1">
        <v>421.1</v>
      </c>
      <c r="E59" s="30">
        <v>400</v>
      </c>
      <c r="F59" s="1">
        <v>390</v>
      </c>
      <c r="G59" s="1">
        <v>20.05</v>
      </c>
      <c r="H59" s="1">
        <v>360</v>
      </c>
      <c r="I59" s="1">
        <v>10.75</v>
      </c>
      <c r="J59" s="1">
        <v>267200</v>
      </c>
      <c r="K59" s="1">
        <v>2000</v>
      </c>
      <c r="L59" s="1">
        <v>10.8</v>
      </c>
      <c r="M59" s="1">
        <v>11.05</v>
      </c>
      <c r="N59" s="1">
        <v>1600</v>
      </c>
      <c r="O59" s="9"/>
      <c r="P59" s="7">
        <f t="shared" ca="1" si="0"/>
        <v>0.31</v>
      </c>
      <c r="Q59" s="7">
        <f t="shared" ca="1" si="18"/>
        <v>1.55E-2</v>
      </c>
      <c r="R59" s="33">
        <f t="shared" ca="1" si="2"/>
        <v>3720.0000000000005</v>
      </c>
      <c r="S59" s="33">
        <f t="shared" ca="1" si="3"/>
        <v>-8280</v>
      </c>
      <c r="T59" s="33">
        <f t="shared" ca="1" si="19"/>
        <v>3720.0000000000005</v>
      </c>
      <c r="U59" s="7">
        <f t="shared" ca="1" si="5"/>
        <v>0.44927536231884063</v>
      </c>
      <c r="V59" s="7">
        <f t="shared" ca="1" si="6"/>
        <v>-1.3568662340439244</v>
      </c>
      <c r="W59" s="33">
        <f t="shared" ca="1" si="20"/>
        <v>-8280</v>
      </c>
      <c r="X59" s="7">
        <f t="shared" ca="1" si="21"/>
        <v>-1</v>
      </c>
      <c r="Y59" s="7">
        <f t="shared" ca="1" si="22"/>
        <v>-0.55072463768115942</v>
      </c>
      <c r="Z59" s="7">
        <f t="shared" ca="1" si="10"/>
        <v>-0.20777233073376583</v>
      </c>
      <c r="AA59" s="33">
        <f t="shared" ca="1" si="23"/>
        <v>-8280</v>
      </c>
      <c r="AB59" s="7">
        <f t="shared" ca="1" si="24"/>
        <v>-2.225806451612903</v>
      </c>
      <c r="AC59" s="7">
        <f t="shared" ca="1" si="13"/>
        <v>-0.88826554464703122</v>
      </c>
      <c r="AD59" s="1"/>
      <c r="AE59" s="1"/>
      <c r="AH59" s="65">
        <f t="shared" ca="1" si="15"/>
        <v>429.5999999999994</v>
      </c>
      <c r="AI59" s="65">
        <f t="shared" ca="1" si="16"/>
        <v>15.599999999999397</v>
      </c>
      <c r="AJ59" s="65">
        <f t="shared" ca="1" si="17"/>
        <v>-10.35</v>
      </c>
      <c r="AK59" s="67">
        <f t="shared" ca="1" si="14"/>
        <v>6824.9999999992169</v>
      </c>
    </row>
    <row r="60" spans="1:37" x14ac:dyDescent="0.25">
      <c r="A60" s="1">
        <v>57</v>
      </c>
      <c r="B60" s="25">
        <v>44007</v>
      </c>
      <c r="C60" s="10" t="s">
        <v>729</v>
      </c>
      <c r="D60" s="1">
        <v>421.1</v>
      </c>
      <c r="E60" s="30">
        <v>400</v>
      </c>
      <c r="F60" s="1">
        <v>390</v>
      </c>
      <c r="G60" s="1">
        <v>20.05</v>
      </c>
      <c r="H60" s="1">
        <v>370</v>
      </c>
      <c r="I60" s="1">
        <v>14.2</v>
      </c>
      <c r="J60" s="1">
        <v>25200</v>
      </c>
      <c r="K60" s="1">
        <v>400</v>
      </c>
      <c r="L60" s="1">
        <v>13.25</v>
      </c>
      <c r="M60" s="1">
        <v>14.7</v>
      </c>
      <c r="N60" s="1">
        <v>400</v>
      </c>
      <c r="O60" s="9"/>
      <c r="P60" s="7">
        <f t="shared" ca="1" si="0"/>
        <v>0.29250000000000009</v>
      </c>
      <c r="Q60" s="7">
        <f t="shared" ca="1" si="18"/>
        <v>1.4625000000000004E-2</v>
      </c>
      <c r="R60" s="33">
        <f t="shared" ca="1" si="2"/>
        <v>2340.0000000000005</v>
      </c>
      <c r="S60" s="33">
        <f t="shared" ca="1" si="3"/>
        <v>-5660</v>
      </c>
      <c r="T60" s="33">
        <f t="shared" ca="1" si="19"/>
        <v>2340.0000000000005</v>
      </c>
      <c r="U60" s="7">
        <f t="shared" ca="1" si="5"/>
        <v>0.41342756183745594</v>
      </c>
      <c r="V60" s="7">
        <f t="shared" ca="1" si="6"/>
        <v>-1.3568662340439244</v>
      </c>
      <c r="W60" s="33">
        <f t="shared" ca="1" si="20"/>
        <v>-5660</v>
      </c>
      <c r="X60" s="7">
        <f t="shared" ca="1" si="21"/>
        <v>-1</v>
      </c>
      <c r="Y60" s="7">
        <f t="shared" ca="1" si="22"/>
        <v>-0.58657243816254412</v>
      </c>
      <c r="Z60" s="7">
        <f t="shared" ca="1" si="10"/>
        <v>-0.20777233073376583</v>
      </c>
      <c r="AA60" s="33">
        <f t="shared" ca="1" si="23"/>
        <v>-5660</v>
      </c>
      <c r="AB60" s="7">
        <f t="shared" ca="1" si="24"/>
        <v>-2.4188034188034182</v>
      </c>
      <c r="AC60" s="7">
        <f t="shared" ca="1" si="13"/>
        <v>-1.0026879284829811</v>
      </c>
      <c r="AD60" s="1"/>
      <c r="AE60" s="1"/>
      <c r="AH60" s="65">
        <f t="shared" ca="1" si="15"/>
        <v>429.79999999999939</v>
      </c>
      <c r="AI60" s="65">
        <f t="shared" ca="1" si="16"/>
        <v>15.799999999999386</v>
      </c>
      <c r="AJ60" s="65">
        <f t="shared" ca="1" si="17"/>
        <v>-10.35</v>
      </c>
      <c r="AK60" s="67">
        <f t="shared" ca="1" si="14"/>
        <v>7084.9999999992024</v>
      </c>
    </row>
    <row r="61" spans="1:37" x14ac:dyDescent="0.25">
      <c r="A61" s="1">
        <v>58</v>
      </c>
      <c r="B61" s="25">
        <v>44007</v>
      </c>
      <c r="C61" s="10" t="s">
        <v>729</v>
      </c>
      <c r="D61" s="1">
        <v>421.1</v>
      </c>
      <c r="E61" s="30">
        <v>400</v>
      </c>
      <c r="F61" s="1">
        <v>390</v>
      </c>
      <c r="G61" s="1">
        <v>20.05</v>
      </c>
      <c r="H61" s="1">
        <v>380</v>
      </c>
      <c r="I61" s="1">
        <v>16.7</v>
      </c>
      <c r="J61" s="1">
        <v>151200</v>
      </c>
      <c r="K61" s="1">
        <v>800</v>
      </c>
      <c r="L61" s="1">
        <v>16.350000000000001</v>
      </c>
      <c r="M61" s="1">
        <v>16.5</v>
      </c>
      <c r="N61" s="1">
        <v>1600</v>
      </c>
      <c r="O61" s="9"/>
      <c r="P61" s="7">
        <f t="shared" ca="1" si="0"/>
        <v>0.33500000000000013</v>
      </c>
      <c r="Q61" s="7">
        <f t="shared" ca="1" si="18"/>
        <v>1.6750000000000008E-2</v>
      </c>
      <c r="R61" s="33">
        <f t="shared" ca="1" si="2"/>
        <v>1340.0000000000005</v>
      </c>
      <c r="S61" s="33">
        <f t="shared" ca="1" si="3"/>
        <v>-2659.9999999999995</v>
      </c>
      <c r="T61" s="33">
        <f t="shared" ca="1" si="19"/>
        <v>1340.0000000000005</v>
      </c>
      <c r="U61" s="7">
        <f t="shared" ca="1" si="5"/>
        <v>0.50375939849624085</v>
      </c>
      <c r="V61" s="7">
        <f t="shared" ca="1" si="6"/>
        <v>-1.3568662340439244</v>
      </c>
      <c r="W61" s="33">
        <f t="shared" ca="1" si="20"/>
        <v>-2659.9999999999995</v>
      </c>
      <c r="X61" s="7">
        <f t="shared" ca="1" si="21"/>
        <v>-1</v>
      </c>
      <c r="Y61" s="7">
        <f t="shared" ca="1" si="22"/>
        <v>-0.49624060150375915</v>
      </c>
      <c r="Z61" s="7">
        <f t="shared" ca="1" si="10"/>
        <v>-0.20777233073376583</v>
      </c>
      <c r="AA61" s="33">
        <f t="shared" ca="1" si="23"/>
        <v>-2659.9999999999995</v>
      </c>
      <c r="AB61" s="7">
        <f t="shared" ca="1" si="24"/>
        <v>-1.9850746268656707</v>
      </c>
      <c r="AC61" s="7">
        <f t="shared" ca="1" si="13"/>
        <v>-0.74065761418471499</v>
      </c>
      <c r="AD61" s="1"/>
      <c r="AE61" s="1"/>
      <c r="AH61" s="65">
        <f t="shared" ca="1" si="15"/>
        <v>429.99999999999937</v>
      </c>
      <c r="AI61" s="65">
        <f t="shared" ca="1" si="16"/>
        <v>15.999999999999375</v>
      </c>
      <c r="AJ61" s="65">
        <f t="shared" ca="1" si="17"/>
        <v>-10.35</v>
      </c>
      <c r="AK61" s="67">
        <f t="shared" ca="1" si="14"/>
        <v>7344.9999999991878</v>
      </c>
    </row>
    <row r="62" spans="1:37" x14ac:dyDescent="0.25">
      <c r="A62" s="1">
        <v>59</v>
      </c>
      <c r="B62" s="25">
        <v>44007</v>
      </c>
      <c r="C62" s="10" t="s">
        <v>190</v>
      </c>
      <c r="D62" s="1">
        <v>5232.3500000000004</v>
      </c>
      <c r="E62" s="30">
        <v>125</v>
      </c>
      <c r="F62" s="1">
        <v>4800</v>
      </c>
      <c r="G62" s="1">
        <v>125</v>
      </c>
      <c r="H62" s="1">
        <v>4000</v>
      </c>
      <c r="I62" s="1">
        <v>20</v>
      </c>
      <c r="J62" s="1">
        <v>55375</v>
      </c>
      <c r="K62" s="1">
        <v>250</v>
      </c>
      <c r="L62" s="1">
        <v>20.05</v>
      </c>
      <c r="M62" s="1">
        <v>21.95</v>
      </c>
      <c r="N62" s="1">
        <v>250</v>
      </c>
      <c r="O62" s="9"/>
      <c r="P62" s="7">
        <f t="shared" ca="1" si="0"/>
        <v>0.13125000000000001</v>
      </c>
      <c r="Q62" s="7">
        <f t="shared" ca="1" si="18"/>
        <v>6.5625000000000006E-3</v>
      </c>
      <c r="R62" s="33">
        <f t="shared" ca="1" si="2"/>
        <v>13125</v>
      </c>
      <c r="S62" s="33">
        <f t="shared" ca="1" si="3"/>
        <v>-86875</v>
      </c>
      <c r="T62" s="33">
        <f t="shared" ca="1" si="19"/>
        <v>13125</v>
      </c>
      <c r="U62" s="7">
        <f t="shared" ca="1" si="5"/>
        <v>0.15107913669064749</v>
      </c>
      <c r="V62" s="7">
        <f t="shared" ca="1" si="6"/>
        <v>-0.76954811410782886</v>
      </c>
      <c r="W62" s="33">
        <f t="shared" ca="1" si="20"/>
        <v>-86875</v>
      </c>
      <c r="X62" s="7">
        <f t="shared" ca="1" si="21"/>
        <v>-1</v>
      </c>
      <c r="Y62" s="7">
        <f t="shared" ca="1" si="22"/>
        <v>-0.84892086330935257</v>
      </c>
      <c r="Z62" s="7">
        <f t="shared" ca="1" si="10"/>
        <v>-0.16626640489436337</v>
      </c>
      <c r="AA62" s="33">
        <f t="shared" ca="1" si="23"/>
        <v>-41576.752956127733</v>
      </c>
      <c r="AB62" s="7">
        <f t="shared" ca="1" si="24"/>
        <v>-3.1677526061811605</v>
      </c>
      <c r="AC62" s="7">
        <f t="shared" ca="1" si="13"/>
        <v>-1.5083367347452565</v>
      </c>
      <c r="AD62" s="1"/>
      <c r="AE62" s="1"/>
      <c r="AH62" s="65">
        <f t="shared" ca="1" si="15"/>
        <v>430.19999999999936</v>
      </c>
      <c r="AI62" s="65">
        <f t="shared" ca="1" si="16"/>
        <v>16</v>
      </c>
      <c r="AJ62" s="65">
        <f t="shared" ca="1" si="17"/>
        <v>-10.35</v>
      </c>
      <c r="AK62" s="67">
        <f t="shared" ca="1" si="14"/>
        <v>7345.0000000000009</v>
      </c>
    </row>
    <row r="63" spans="1:37" x14ac:dyDescent="0.25">
      <c r="A63" s="1">
        <v>60</v>
      </c>
      <c r="B63" s="25">
        <v>44007</v>
      </c>
      <c r="C63" s="10" t="s">
        <v>190</v>
      </c>
      <c r="D63" s="1">
        <v>5232.3500000000004</v>
      </c>
      <c r="E63" s="30">
        <v>125</v>
      </c>
      <c r="F63" s="1">
        <v>4800</v>
      </c>
      <c r="G63" s="1">
        <v>125</v>
      </c>
      <c r="H63" s="1">
        <v>4500</v>
      </c>
      <c r="I63" s="1">
        <v>66.5</v>
      </c>
      <c r="J63" s="1">
        <v>23125</v>
      </c>
      <c r="K63" s="1">
        <v>125</v>
      </c>
      <c r="L63" s="1">
        <v>65.150000000000006</v>
      </c>
      <c r="M63" s="1">
        <v>66.900000000000006</v>
      </c>
      <c r="N63" s="1">
        <v>125</v>
      </c>
      <c r="O63" s="9"/>
      <c r="P63" s="7">
        <f t="shared" ca="1" si="0"/>
        <v>0.19500000000000001</v>
      </c>
      <c r="Q63" s="7">
        <f t="shared" ca="1" si="18"/>
        <v>9.75E-3</v>
      </c>
      <c r="R63" s="33">
        <f t="shared" ca="1" si="2"/>
        <v>7312.5</v>
      </c>
      <c r="S63" s="33">
        <f t="shared" ca="1" si="3"/>
        <v>-30187.5</v>
      </c>
      <c r="T63" s="33">
        <f t="shared" ca="1" si="19"/>
        <v>7312.5</v>
      </c>
      <c r="U63" s="7">
        <f t="shared" ca="1" si="5"/>
        <v>0.24223602484472051</v>
      </c>
      <c r="V63" s="7">
        <f t="shared" ca="1" si="6"/>
        <v>-0.76954811410782886</v>
      </c>
      <c r="W63" s="33">
        <f t="shared" ca="1" si="20"/>
        <v>-30187.5</v>
      </c>
      <c r="X63" s="7">
        <f t="shared" ca="1" si="21"/>
        <v>-1</v>
      </c>
      <c r="Y63" s="7">
        <f t="shared" ca="1" si="22"/>
        <v>-0.75776397515527949</v>
      </c>
      <c r="Z63" s="7">
        <f t="shared" ca="1" si="10"/>
        <v>-0.16626640489436337</v>
      </c>
      <c r="AA63" s="33">
        <f t="shared" ca="1" si="23"/>
        <v>-30187.5</v>
      </c>
      <c r="AB63" s="7">
        <f t="shared" ca="1" si="24"/>
        <v>-4.1282051282051286</v>
      </c>
      <c r="AC63" s="7">
        <f t="shared" ca="1" si="13"/>
        <v>-1.942984551680204</v>
      </c>
      <c r="AD63" s="1"/>
      <c r="AE63" s="1"/>
      <c r="AH63" s="65">
        <f t="shared" ca="1" si="15"/>
        <v>430.39999999999935</v>
      </c>
      <c r="AI63" s="65">
        <f t="shared" ca="1" si="16"/>
        <v>16</v>
      </c>
      <c r="AJ63" s="65">
        <f t="shared" ca="1" si="17"/>
        <v>-10.35</v>
      </c>
      <c r="AK63" s="67">
        <f t="shared" ca="1" si="14"/>
        <v>7345.0000000000009</v>
      </c>
    </row>
    <row r="64" spans="1:37" x14ac:dyDescent="0.25">
      <c r="A64" s="1">
        <v>61</v>
      </c>
      <c r="B64" s="25">
        <v>44007</v>
      </c>
      <c r="C64" s="10" t="s">
        <v>22</v>
      </c>
      <c r="D64" s="1">
        <v>218.35</v>
      </c>
      <c r="E64" s="30">
        <v>3200</v>
      </c>
      <c r="F64" s="1">
        <v>200</v>
      </c>
      <c r="G64" s="1">
        <v>2</v>
      </c>
      <c r="H64" s="1">
        <v>190</v>
      </c>
      <c r="I64" s="1">
        <v>1</v>
      </c>
      <c r="J64" s="1">
        <v>630400</v>
      </c>
      <c r="K64" s="1">
        <v>3200</v>
      </c>
      <c r="L64" s="1">
        <v>0.9</v>
      </c>
      <c r="M64" s="1">
        <v>1</v>
      </c>
      <c r="N64" s="1">
        <v>6400</v>
      </c>
      <c r="O64" s="9"/>
      <c r="P64" s="7">
        <f t="shared" ca="1" si="0"/>
        <v>0.1</v>
      </c>
      <c r="Q64" s="7">
        <f t="shared" ca="1" si="18"/>
        <v>5.0000000000000001E-3</v>
      </c>
      <c r="R64" s="33">
        <f t="shared" ca="1" si="2"/>
        <v>3200</v>
      </c>
      <c r="S64" s="33">
        <f t="shared" ca="1" si="3"/>
        <v>-28800</v>
      </c>
      <c r="T64" s="33">
        <f t="shared" ca="1" si="19"/>
        <v>3200</v>
      </c>
      <c r="U64" s="7">
        <f t="shared" ca="1" si="5"/>
        <v>0.1111111111111111</v>
      </c>
      <c r="V64" s="7">
        <f t="shared" ca="1" si="6"/>
        <v>-0.4065937184983161</v>
      </c>
      <c r="W64" s="33">
        <f t="shared" ca="1" si="20"/>
        <v>-28800</v>
      </c>
      <c r="X64" s="7">
        <f t="shared" ca="1" si="21"/>
        <v>-1</v>
      </c>
      <c r="Y64" s="7">
        <f t="shared" ca="1" si="22"/>
        <v>-0.88888888888888884</v>
      </c>
      <c r="Z64" s="7">
        <f t="shared" ca="1" si="10"/>
        <v>-7.5166892657732798E-2</v>
      </c>
      <c r="AA64" s="33">
        <f t="shared" ca="1" si="23"/>
        <v>3200</v>
      </c>
      <c r="AB64" s="7">
        <f t="shared" ca="1" si="24"/>
        <v>1</v>
      </c>
      <c r="AC64" s="7">
        <f t="shared" ca="1" si="13"/>
        <v>0.55555555555555558</v>
      </c>
      <c r="AD64" s="1"/>
      <c r="AE64" s="1"/>
      <c r="AH64" s="65">
        <f t="shared" ca="1" si="15"/>
        <v>430.59999999999934</v>
      </c>
      <c r="AI64" s="65">
        <f t="shared" ca="1" si="16"/>
        <v>16</v>
      </c>
      <c r="AJ64" s="65">
        <f t="shared" ca="1" si="17"/>
        <v>-10.35</v>
      </c>
      <c r="AK64" s="67">
        <f t="shared" ca="1" si="14"/>
        <v>7345.0000000000009</v>
      </c>
    </row>
    <row r="65" spans="1:34" x14ac:dyDescent="0.25">
      <c r="A65" s="1">
        <v>62</v>
      </c>
      <c r="B65" s="25">
        <v>44007</v>
      </c>
      <c r="C65" s="10" t="s">
        <v>22</v>
      </c>
      <c r="D65" s="1">
        <v>218.35</v>
      </c>
      <c r="E65" s="30">
        <v>3200</v>
      </c>
      <c r="F65" s="1">
        <v>200</v>
      </c>
      <c r="G65" s="1">
        <v>2</v>
      </c>
      <c r="H65" s="1">
        <v>195</v>
      </c>
      <c r="I65" s="1">
        <v>1.4</v>
      </c>
      <c r="J65" s="1">
        <v>214400</v>
      </c>
      <c r="K65" s="1">
        <v>3200</v>
      </c>
      <c r="L65" s="1">
        <v>1.3</v>
      </c>
      <c r="M65" s="1">
        <v>1.55</v>
      </c>
      <c r="N65" s="1">
        <v>9600</v>
      </c>
      <c r="O65" s="9"/>
      <c r="P65" s="7">
        <f t="shared" ca="1" si="0"/>
        <v>0.12000000000000002</v>
      </c>
      <c r="Q65" s="7">
        <f t="shared" ca="1" si="18"/>
        <v>6.000000000000001E-3</v>
      </c>
      <c r="R65" s="33">
        <f t="shared" ca="1" si="2"/>
        <v>1920.0000000000002</v>
      </c>
      <c r="S65" s="33">
        <f t="shared" ca="1" si="3"/>
        <v>-14080</v>
      </c>
      <c r="T65" s="33">
        <f t="shared" ca="1" si="19"/>
        <v>1920.0000000000002</v>
      </c>
      <c r="U65" s="7">
        <f t="shared" ca="1" si="5"/>
        <v>0.13636363636363638</v>
      </c>
      <c r="V65" s="7">
        <f t="shared" ca="1" si="6"/>
        <v>-0.4065937184983161</v>
      </c>
      <c r="W65" s="33">
        <f t="shared" ca="1" si="20"/>
        <v>-14080</v>
      </c>
      <c r="X65" s="7">
        <f t="shared" ca="1" si="21"/>
        <v>-1</v>
      </c>
      <c r="Y65" s="7">
        <f t="shared" ca="1" si="22"/>
        <v>-0.86363636363636365</v>
      </c>
      <c r="Z65" s="7">
        <f t="shared" ca="1" si="10"/>
        <v>-7.5166892657732798E-2</v>
      </c>
      <c r="AA65" s="33">
        <f t="shared" ca="1" si="23"/>
        <v>1920.0000000000002</v>
      </c>
      <c r="AB65" s="7">
        <f t="shared" ca="1" si="24"/>
        <v>1</v>
      </c>
      <c r="AC65" s="7">
        <f t="shared" ca="1" si="13"/>
        <v>0.56818181818181823</v>
      </c>
      <c r="AD65" s="1"/>
      <c r="AE65" s="1"/>
    </row>
    <row r="66" spans="1:34" x14ac:dyDescent="0.25">
      <c r="A66" s="1">
        <v>63</v>
      </c>
      <c r="B66" s="25">
        <v>44007</v>
      </c>
      <c r="C66" s="10" t="s">
        <v>969</v>
      </c>
      <c r="D66" s="1">
        <v>136.19999999999999</v>
      </c>
      <c r="E66" s="30">
        <v>6000</v>
      </c>
      <c r="F66" s="1">
        <v>127.5</v>
      </c>
      <c r="G66" s="1">
        <v>3.2</v>
      </c>
      <c r="H66" s="1">
        <v>100</v>
      </c>
      <c r="I66" s="1">
        <v>0.35</v>
      </c>
      <c r="J66" s="1">
        <v>318000</v>
      </c>
      <c r="K66" s="1">
        <v>12000</v>
      </c>
      <c r="L66" s="1">
        <v>0.2</v>
      </c>
      <c r="M66" s="1">
        <v>0.3</v>
      </c>
      <c r="N66" s="1">
        <v>12000</v>
      </c>
      <c r="O66" s="9"/>
      <c r="P66" s="7">
        <f t="shared" ca="1" si="0"/>
        <v>0.10363636363636364</v>
      </c>
      <c r="Q66" s="7">
        <f t="shared" ca="1" si="18"/>
        <v>5.1818181818181815E-3</v>
      </c>
      <c r="R66" s="33">
        <f t="shared" ca="1" si="2"/>
        <v>17100</v>
      </c>
      <c r="S66" s="33">
        <f t="shared" ca="1" si="3"/>
        <v>-147900</v>
      </c>
      <c r="T66" s="33">
        <f t="shared" ca="1" si="19"/>
        <v>17100</v>
      </c>
      <c r="U66" s="7">
        <f t="shared" ca="1" si="5"/>
        <v>0.11561866125760649</v>
      </c>
      <c r="V66" s="7">
        <f t="shared" ca="1" si="6"/>
        <v>-0.78851475082025302</v>
      </c>
      <c r="W66" s="33">
        <f t="shared" ca="1" si="20"/>
        <v>-147900</v>
      </c>
      <c r="X66" s="7">
        <f t="shared" ca="1" si="21"/>
        <v>-1</v>
      </c>
      <c r="Y66" s="7">
        <f t="shared" ca="1" si="22"/>
        <v>-0.88438133874239355</v>
      </c>
      <c r="Z66" s="7">
        <f t="shared" ca="1" si="10"/>
        <v>-0.20899349639430423</v>
      </c>
      <c r="AA66" s="33">
        <f t="shared" ca="1" si="23"/>
        <v>-101489.48525342546</v>
      </c>
      <c r="AB66" s="7">
        <f t="shared" ca="1" si="24"/>
        <v>-5.9350576171593836</v>
      </c>
      <c r="AC66" s="7">
        <f t="shared" ca="1" si="13"/>
        <v>-2.9097194779508886</v>
      </c>
      <c r="AD66" s="1"/>
      <c r="AE66" s="1"/>
    </row>
    <row r="67" spans="1:34" x14ac:dyDescent="0.25">
      <c r="A67" s="1">
        <v>64</v>
      </c>
      <c r="B67" s="25">
        <v>44007</v>
      </c>
      <c r="C67" s="10" t="s">
        <v>969</v>
      </c>
      <c r="D67" s="1">
        <v>136.19999999999999</v>
      </c>
      <c r="E67" s="30">
        <v>6000</v>
      </c>
      <c r="F67" s="1">
        <v>127.5</v>
      </c>
      <c r="G67" s="1">
        <v>3.2</v>
      </c>
      <c r="H67" s="1">
        <v>105</v>
      </c>
      <c r="I67" s="1">
        <v>0.35</v>
      </c>
      <c r="J67" s="1">
        <v>234000</v>
      </c>
      <c r="K67" s="1">
        <v>6000</v>
      </c>
      <c r="L67" s="1">
        <v>0.3</v>
      </c>
      <c r="M67" s="1">
        <v>0.4</v>
      </c>
      <c r="N67" s="1">
        <v>12000</v>
      </c>
      <c r="O67" s="9"/>
      <c r="P67" s="7">
        <f t="shared" ca="1" si="0"/>
        <v>0.12666666666666668</v>
      </c>
      <c r="Q67" s="7">
        <f t="shared" ca="1" si="18"/>
        <v>6.333333333333334E-3</v>
      </c>
      <c r="R67" s="33">
        <f t="shared" ca="1" si="2"/>
        <v>17100</v>
      </c>
      <c r="S67" s="33">
        <f t="shared" ca="1" si="3"/>
        <v>-117900</v>
      </c>
      <c r="T67" s="33">
        <f t="shared" ca="1" si="19"/>
        <v>17100</v>
      </c>
      <c r="U67" s="7">
        <f t="shared" ca="1" si="5"/>
        <v>0.14503816793893129</v>
      </c>
      <c r="V67" s="7">
        <f t="shared" ca="1" si="6"/>
        <v>-0.78851475082025302</v>
      </c>
      <c r="W67" s="33">
        <f t="shared" ca="1" si="20"/>
        <v>-117900</v>
      </c>
      <c r="X67" s="7">
        <f t="shared" ca="1" si="21"/>
        <v>-1</v>
      </c>
      <c r="Y67" s="7">
        <f t="shared" ca="1" si="22"/>
        <v>-0.85496183206106868</v>
      </c>
      <c r="Z67" s="7">
        <f t="shared" ca="1" si="10"/>
        <v>-0.20899349639430423</v>
      </c>
      <c r="AA67" s="33">
        <f t="shared" ca="1" si="23"/>
        <v>-101489.48525342546</v>
      </c>
      <c r="AB67" s="7">
        <f t="shared" ca="1" si="24"/>
        <v>-5.9350576171593836</v>
      </c>
      <c r="AC67" s="7">
        <f t="shared" ca="1" si="13"/>
        <v>-2.895009724610226</v>
      </c>
      <c r="AD67" s="1"/>
      <c r="AE67" s="1"/>
    </row>
    <row r="68" spans="1:34" x14ac:dyDescent="0.25">
      <c r="A68" s="1">
        <v>65</v>
      </c>
      <c r="B68" s="25">
        <v>44007</v>
      </c>
      <c r="C68" s="10" t="s">
        <v>969</v>
      </c>
      <c r="D68" s="1">
        <v>136.19999999999999</v>
      </c>
      <c r="E68" s="30">
        <v>6000</v>
      </c>
      <c r="F68" s="1">
        <v>127.5</v>
      </c>
      <c r="G68" s="1">
        <v>3.2</v>
      </c>
      <c r="H68" s="1">
        <v>110</v>
      </c>
      <c r="I68" s="1">
        <v>0.65</v>
      </c>
      <c r="J68" s="1">
        <v>264000</v>
      </c>
      <c r="K68" s="1">
        <v>12000</v>
      </c>
      <c r="L68" s="1">
        <v>0.55000000000000004</v>
      </c>
      <c r="M68" s="1">
        <v>0.65</v>
      </c>
      <c r="N68" s="1">
        <v>12000</v>
      </c>
      <c r="O68" s="9"/>
      <c r="P68" s="7">
        <f t="shared" ref="P68:P131" ca="1" si="25">($G68-$I68)/($F68-$H68)</f>
        <v>0.14571428571428574</v>
      </c>
      <c r="Q68" s="7">
        <f t="shared" ca="1" si="18"/>
        <v>7.2857142857142869E-3</v>
      </c>
      <c r="R68" s="33">
        <f t="shared" ref="R68:R131" ca="1" si="26">$E68*($G68-$I68)</f>
        <v>15300.000000000002</v>
      </c>
      <c r="S68" s="33">
        <f t="shared" ref="S68:S131" ca="1" si="27">-(($F68-$H68)*$E68-$R68)</f>
        <v>-89700</v>
      </c>
      <c r="T68" s="33">
        <f t="shared" ca="1" si="19"/>
        <v>15300.000000000002</v>
      </c>
      <c r="U68" s="7">
        <f t="shared" ref="U68:U131" ca="1" si="28">ABS($T68/$S68)</f>
        <v>0.17056856187290972</v>
      </c>
      <c r="V68" s="7">
        <f t="shared" ref="V68:V131" ca="1" si="29">mrigxl_max_drawdown($C68,INT($B68-TODAY()))</f>
        <v>-0.78851475082025302</v>
      </c>
      <c r="W68" s="33">
        <f t="shared" ca="1" si="20"/>
        <v>-89700</v>
      </c>
      <c r="X68" s="7">
        <f t="shared" ca="1" si="21"/>
        <v>-1</v>
      </c>
      <c r="Y68" s="7">
        <f t="shared" ca="1" si="22"/>
        <v>-0.8294314381270903</v>
      </c>
      <c r="Z68" s="7">
        <f t="shared" ref="Z68:Z131" ca="1" si="30">mrigxl_avg_drawdown($C68,INT($B68-TODAY()))</f>
        <v>-0.20899349639430423</v>
      </c>
      <c r="AA68" s="33">
        <f t="shared" ca="1" si="23"/>
        <v>-89700</v>
      </c>
      <c r="AB68" s="7">
        <f t="shared" ca="1" si="24"/>
        <v>-5.8627450980392153</v>
      </c>
      <c r="AC68" s="7">
        <f t="shared" ca="1" si="13"/>
        <v>-2.846088268083153</v>
      </c>
      <c r="AD68" s="1"/>
      <c r="AE68" s="1"/>
    </row>
    <row r="69" spans="1:34" x14ac:dyDescent="0.25">
      <c r="A69" s="1">
        <v>66</v>
      </c>
      <c r="B69" s="25">
        <v>44007</v>
      </c>
      <c r="C69" s="10" t="s">
        <v>969</v>
      </c>
      <c r="D69" s="1">
        <v>136.19999999999999</v>
      </c>
      <c r="E69" s="30">
        <v>6000</v>
      </c>
      <c r="F69" s="1">
        <v>127.5</v>
      </c>
      <c r="G69" s="1">
        <v>3.2</v>
      </c>
      <c r="H69" s="1">
        <v>115</v>
      </c>
      <c r="I69" s="1">
        <v>1</v>
      </c>
      <c r="J69" s="1">
        <v>348000</v>
      </c>
      <c r="K69" s="1">
        <v>6000</v>
      </c>
      <c r="L69" s="1">
        <v>0.95</v>
      </c>
      <c r="M69" s="1">
        <v>1.05</v>
      </c>
      <c r="N69" s="1">
        <v>6000</v>
      </c>
      <c r="O69" s="9"/>
      <c r="P69" s="7">
        <f t="shared" ca="1" si="25"/>
        <v>0.17600000000000002</v>
      </c>
      <c r="Q69" s="7">
        <f t="shared" ca="1" si="18"/>
        <v>8.8000000000000005E-3</v>
      </c>
      <c r="R69" s="33">
        <f t="shared" ca="1" si="26"/>
        <v>13200.000000000002</v>
      </c>
      <c r="S69" s="33">
        <f t="shared" ca="1" si="27"/>
        <v>-61800</v>
      </c>
      <c r="T69" s="33">
        <f t="shared" ca="1" si="19"/>
        <v>13200.000000000002</v>
      </c>
      <c r="U69" s="7">
        <f t="shared" ca="1" si="28"/>
        <v>0.21359223300970875</v>
      </c>
      <c r="V69" s="7">
        <f t="shared" ca="1" si="29"/>
        <v>-0.78851475082025302</v>
      </c>
      <c r="W69" s="33">
        <f t="shared" ca="1" si="20"/>
        <v>-61800</v>
      </c>
      <c r="X69" s="7">
        <f t="shared" ca="1" si="21"/>
        <v>-1</v>
      </c>
      <c r="Y69" s="7">
        <f t="shared" ca="1" si="22"/>
        <v>-0.78640776699029125</v>
      </c>
      <c r="Z69" s="7">
        <f t="shared" ca="1" si="30"/>
        <v>-0.20899349639430423</v>
      </c>
      <c r="AA69" s="33">
        <f t="shared" ca="1" si="23"/>
        <v>-61800</v>
      </c>
      <c r="AB69" s="7">
        <f t="shared" ca="1" si="24"/>
        <v>-4.6818181818181808</v>
      </c>
      <c r="AC69" s="7">
        <f t="shared" ref="AC69:AC90" ca="1" si="31">AVERAGE($U69,AB69)</f>
        <v>-2.2341129744042361</v>
      </c>
      <c r="AD69" s="1"/>
      <c r="AE69" s="1"/>
      <c r="AH69" s="34"/>
    </row>
    <row r="70" spans="1:34" x14ac:dyDescent="0.25">
      <c r="A70" s="1">
        <v>67</v>
      </c>
      <c r="B70" s="25">
        <v>44007</v>
      </c>
      <c r="C70" s="10" t="s">
        <v>969</v>
      </c>
      <c r="D70" s="1">
        <v>136.19999999999999</v>
      </c>
      <c r="E70" s="30">
        <v>6000</v>
      </c>
      <c r="F70" s="1">
        <v>127.5</v>
      </c>
      <c r="G70" s="1">
        <v>3.2</v>
      </c>
      <c r="H70" s="1">
        <v>120</v>
      </c>
      <c r="I70" s="1">
        <v>1.8</v>
      </c>
      <c r="J70" s="1">
        <v>480000</v>
      </c>
      <c r="K70" s="1">
        <v>6000</v>
      </c>
      <c r="L70" s="1">
        <v>1.65</v>
      </c>
      <c r="M70" s="1">
        <v>1.75</v>
      </c>
      <c r="N70" s="1">
        <v>12000</v>
      </c>
      <c r="O70" s="9"/>
      <c r="P70" s="7">
        <f t="shared" ca="1" si="25"/>
        <v>0.18666666666666668</v>
      </c>
      <c r="Q70" s="7">
        <f t="shared" ca="1" si="18"/>
        <v>9.3333333333333341E-3</v>
      </c>
      <c r="R70" s="33">
        <f t="shared" ca="1" si="26"/>
        <v>8400</v>
      </c>
      <c r="S70" s="33">
        <f t="shared" ca="1" si="27"/>
        <v>-36600</v>
      </c>
      <c r="T70" s="33">
        <f t="shared" ca="1" si="19"/>
        <v>8400</v>
      </c>
      <c r="U70" s="7">
        <f t="shared" ca="1" si="28"/>
        <v>0.22950819672131148</v>
      </c>
      <c r="V70" s="7">
        <f t="shared" ca="1" si="29"/>
        <v>-0.78851475082025302</v>
      </c>
      <c r="W70" s="33">
        <f t="shared" ca="1" si="20"/>
        <v>-36600</v>
      </c>
      <c r="X70" s="7">
        <f t="shared" ca="1" si="21"/>
        <v>-1</v>
      </c>
      <c r="Y70" s="7">
        <f t="shared" ca="1" si="22"/>
        <v>-0.77049180327868849</v>
      </c>
      <c r="Z70" s="7">
        <f t="shared" ca="1" si="30"/>
        <v>-0.20899349639430423</v>
      </c>
      <c r="AA70" s="33">
        <f t="shared" ca="1" si="23"/>
        <v>-36600</v>
      </c>
      <c r="AB70" s="7">
        <f t="shared" ca="1" si="24"/>
        <v>-4.3571428571428568</v>
      </c>
      <c r="AC70" s="7">
        <f t="shared" ca="1" si="31"/>
        <v>-2.0638173302107727</v>
      </c>
      <c r="AD70" s="1"/>
      <c r="AE70" s="1"/>
      <c r="AH70" s="34"/>
    </row>
    <row r="71" spans="1:34" x14ac:dyDescent="0.25">
      <c r="A71" s="1">
        <v>68</v>
      </c>
      <c r="B71" s="25">
        <v>44007</v>
      </c>
      <c r="C71" s="10" t="s">
        <v>969</v>
      </c>
      <c r="D71" s="1">
        <v>136.19999999999999</v>
      </c>
      <c r="E71" s="30">
        <v>6000</v>
      </c>
      <c r="F71" s="1">
        <v>127.5</v>
      </c>
      <c r="G71" s="1">
        <v>3.2</v>
      </c>
      <c r="H71" s="1">
        <v>125</v>
      </c>
      <c r="I71" s="1">
        <v>2.7</v>
      </c>
      <c r="J71" s="1">
        <v>246000</v>
      </c>
      <c r="K71" s="1">
        <v>18000</v>
      </c>
      <c r="L71" s="1">
        <v>2.65</v>
      </c>
      <c r="M71" s="1">
        <v>2.75</v>
      </c>
      <c r="N71" s="1">
        <v>12000</v>
      </c>
      <c r="O71" s="9"/>
      <c r="P71" s="7">
        <f t="shared" ca="1" si="25"/>
        <v>0.2</v>
      </c>
      <c r="Q71" s="7">
        <f t="shared" ca="1" si="18"/>
        <v>0.01</v>
      </c>
      <c r="R71" s="33">
        <f t="shared" ca="1" si="26"/>
        <v>3000</v>
      </c>
      <c r="S71" s="33">
        <f t="shared" ca="1" si="27"/>
        <v>-12000</v>
      </c>
      <c r="T71" s="33">
        <f t="shared" ca="1" si="19"/>
        <v>3000</v>
      </c>
      <c r="U71" s="7">
        <f t="shared" ca="1" si="28"/>
        <v>0.25</v>
      </c>
      <c r="V71" s="7">
        <f t="shared" ca="1" si="29"/>
        <v>-0.78851475082025302</v>
      </c>
      <c r="W71" s="33">
        <f t="shared" ca="1" si="20"/>
        <v>-12000</v>
      </c>
      <c r="X71" s="7">
        <f t="shared" ca="1" si="21"/>
        <v>-1</v>
      </c>
      <c r="Y71" s="7">
        <f t="shared" ca="1" si="22"/>
        <v>-0.75</v>
      </c>
      <c r="Z71" s="7">
        <f t="shared" ca="1" si="30"/>
        <v>-0.20899349639430423</v>
      </c>
      <c r="AA71" s="33">
        <f t="shared" ca="1" si="23"/>
        <v>-12000</v>
      </c>
      <c r="AB71" s="7">
        <f t="shared" ca="1" si="24"/>
        <v>-4</v>
      </c>
      <c r="AC71" s="7">
        <f t="shared" ca="1" si="31"/>
        <v>-1.875</v>
      </c>
      <c r="AD71" s="1"/>
      <c r="AE71" s="1"/>
      <c r="AH71" s="34"/>
    </row>
    <row r="72" spans="1:34" x14ac:dyDescent="0.25">
      <c r="A72" s="1">
        <v>69</v>
      </c>
      <c r="B72" s="25">
        <v>44007</v>
      </c>
      <c r="C72" s="10" t="s">
        <v>1654</v>
      </c>
      <c r="D72" s="1">
        <v>1019.5</v>
      </c>
      <c r="E72" s="30">
        <v>700</v>
      </c>
      <c r="F72" s="1">
        <v>940</v>
      </c>
      <c r="G72" s="1">
        <v>25</v>
      </c>
      <c r="H72" s="1">
        <v>880</v>
      </c>
      <c r="I72" s="1">
        <v>9</v>
      </c>
      <c r="J72" s="1">
        <v>34300</v>
      </c>
      <c r="K72" s="1">
        <v>2100</v>
      </c>
      <c r="L72" s="1">
        <v>9</v>
      </c>
      <c r="M72" s="1">
        <v>10.6</v>
      </c>
      <c r="N72" s="1">
        <v>700</v>
      </c>
      <c r="O72" s="9"/>
      <c r="P72" s="7">
        <f t="shared" ca="1" si="25"/>
        <v>0.26666666666666666</v>
      </c>
      <c r="Q72" s="7">
        <f t="shared" ca="1" si="18"/>
        <v>1.3333333333333332E-2</v>
      </c>
      <c r="R72" s="33">
        <f t="shared" ca="1" si="26"/>
        <v>11200</v>
      </c>
      <c r="S72" s="33">
        <f t="shared" ca="1" si="27"/>
        <v>-30800</v>
      </c>
      <c r="T72" s="33">
        <f t="shared" ca="1" si="19"/>
        <v>11200</v>
      </c>
      <c r="U72" s="7">
        <f t="shared" ca="1" si="28"/>
        <v>0.36363636363636365</v>
      </c>
      <c r="V72" s="7">
        <f t="shared" ca="1" si="29"/>
        <v>-0.47187104342053104</v>
      </c>
      <c r="W72" s="33">
        <f t="shared" ca="1" si="20"/>
        <v>-30800</v>
      </c>
      <c r="X72" s="7">
        <f t="shared" ca="1" si="21"/>
        <v>-1</v>
      </c>
      <c r="Y72" s="7">
        <f t="shared" ca="1" si="22"/>
        <v>-0.63636363636363635</v>
      </c>
      <c r="Z72" s="7">
        <f t="shared" ca="1" si="30"/>
        <v>-8.0457830045278927E-2</v>
      </c>
      <c r="AA72" s="33">
        <f t="shared" ca="1" si="23"/>
        <v>9431.2695881866948</v>
      </c>
      <c r="AB72" s="7">
        <f t="shared" ca="1" si="24"/>
        <v>0.84207764180238343</v>
      </c>
      <c r="AC72" s="7">
        <f t="shared" ca="1" si="31"/>
        <v>0.60285700271937359</v>
      </c>
      <c r="AD72" s="1"/>
      <c r="AE72" s="1"/>
      <c r="AH72" s="34"/>
    </row>
    <row r="73" spans="1:34" x14ac:dyDescent="0.25">
      <c r="A73" s="1">
        <v>70</v>
      </c>
      <c r="B73" s="25">
        <v>44007</v>
      </c>
      <c r="C73" s="10" t="s">
        <v>1654</v>
      </c>
      <c r="D73" s="1">
        <v>1019.5</v>
      </c>
      <c r="E73" s="30">
        <v>700</v>
      </c>
      <c r="F73" s="1">
        <v>940</v>
      </c>
      <c r="G73" s="1">
        <v>25</v>
      </c>
      <c r="H73" s="1">
        <v>900</v>
      </c>
      <c r="I73" s="1">
        <v>14</v>
      </c>
      <c r="J73" s="1">
        <v>68600</v>
      </c>
      <c r="K73" s="1">
        <v>700</v>
      </c>
      <c r="L73" s="1">
        <v>12.85</v>
      </c>
      <c r="M73" s="1">
        <v>14.15</v>
      </c>
      <c r="N73" s="1">
        <v>700</v>
      </c>
      <c r="O73" s="9"/>
      <c r="P73" s="7">
        <f t="shared" ca="1" si="25"/>
        <v>0.27500000000000002</v>
      </c>
      <c r="Q73" s="7">
        <f t="shared" ca="1" si="18"/>
        <v>1.3750000000000002E-2</v>
      </c>
      <c r="R73" s="33">
        <f t="shared" ca="1" si="26"/>
        <v>7700</v>
      </c>
      <c r="S73" s="33">
        <f t="shared" ca="1" si="27"/>
        <v>-20300</v>
      </c>
      <c r="T73" s="33">
        <f t="shared" ca="1" si="19"/>
        <v>7700</v>
      </c>
      <c r="U73" s="7">
        <f t="shared" ca="1" si="28"/>
        <v>0.37931034482758619</v>
      </c>
      <c r="V73" s="7">
        <f t="shared" ca="1" si="29"/>
        <v>-0.47187104342053104</v>
      </c>
      <c r="W73" s="33">
        <f t="shared" ca="1" si="20"/>
        <v>-20300</v>
      </c>
      <c r="X73" s="7">
        <f t="shared" ca="1" si="21"/>
        <v>-1</v>
      </c>
      <c r="Y73" s="7">
        <f t="shared" ca="1" si="22"/>
        <v>-0.62068965517241381</v>
      </c>
      <c r="Z73" s="7">
        <f t="shared" ca="1" si="30"/>
        <v>-8.0457830045278927E-2</v>
      </c>
      <c r="AA73" s="33">
        <f t="shared" ca="1" si="23"/>
        <v>5931.2695881866948</v>
      </c>
      <c r="AB73" s="7">
        <f t="shared" ca="1" si="24"/>
        <v>0.77029475171255779</v>
      </c>
      <c r="AC73" s="7">
        <f t="shared" ca="1" si="31"/>
        <v>0.57480254827007204</v>
      </c>
      <c r="AD73" s="1"/>
      <c r="AE73" s="1"/>
      <c r="AH73" s="34"/>
    </row>
    <row r="74" spans="1:34" x14ac:dyDescent="0.25">
      <c r="A74" s="1">
        <v>71</v>
      </c>
      <c r="B74" s="25">
        <v>44007</v>
      </c>
      <c r="C74" s="10" t="s">
        <v>636</v>
      </c>
      <c r="D74" s="1">
        <v>149.25</v>
      </c>
      <c r="E74" s="30">
        <v>3500</v>
      </c>
      <c r="F74" s="1">
        <v>137.5</v>
      </c>
      <c r="G74" s="1">
        <v>4.45</v>
      </c>
      <c r="H74" s="1">
        <v>100</v>
      </c>
      <c r="I74" s="1">
        <v>0.3</v>
      </c>
      <c r="J74" s="1">
        <v>889000</v>
      </c>
      <c r="K74" s="1">
        <v>56000</v>
      </c>
      <c r="L74" s="1">
        <v>0.25</v>
      </c>
      <c r="M74" s="1">
        <v>0.3</v>
      </c>
      <c r="N74" s="1">
        <v>3500</v>
      </c>
      <c r="O74" s="9"/>
      <c r="P74" s="7">
        <f t="shared" ca="1" si="25"/>
        <v>0.11066666666666668</v>
      </c>
      <c r="Q74" s="7">
        <f t="shared" ca="1" si="18"/>
        <v>5.5333333333333337E-3</v>
      </c>
      <c r="R74" s="33">
        <f t="shared" ca="1" si="26"/>
        <v>14525.000000000002</v>
      </c>
      <c r="S74" s="33">
        <f t="shared" ca="1" si="27"/>
        <v>-116725</v>
      </c>
      <c r="T74" s="33">
        <f t="shared" ca="1" si="19"/>
        <v>14525.000000000002</v>
      </c>
      <c r="U74" s="7">
        <f t="shared" ca="1" si="28"/>
        <v>0.1244377811094453</v>
      </c>
      <c r="V74" s="7">
        <f t="shared" ca="1" si="29"/>
        <v>-0.76093745127810952</v>
      </c>
      <c r="W74" s="33">
        <f t="shared" ca="1" si="20"/>
        <v>-116725</v>
      </c>
      <c r="X74" s="7">
        <f t="shared" ca="1" si="21"/>
        <v>-1</v>
      </c>
      <c r="Y74" s="7">
        <f t="shared" ca="1" si="22"/>
        <v>-0.87556221889055474</v>
      </c>
      <c r="Z74" s="7">
        <f t="shared" ca="1" si="30"/>
        <v>-0.15142753586348226</v>
      </c>
      <c r="AA74" s="33">
        <f t="shared" ca="1" si="23"/>
        <v>-23451.959046686548</v>
      </c>
      <c r="AB74" s="7">
        <f t="shared" ca="1" si="24"/>
        <v>-1.6145927054517415</v>
      </c>
      <c r="AC74" s="7">
        <f t="shared" ca="1" si="31"/>
        <v>-0.74507746217114812</v>
      </c>
      <c r="AD74" s="1"/>
      <c r="AE74" s="1"/>
      <c r="AH74" s="34"/>
    </row>
    <row r="75" spans="1:34" x14ac:dyDescent="0.25">
      <c r="A75" s="1">
        <v>72</v>
      </c>
      <c r="B75" s="25">
        <v>44007</v>
      </c>
      <c r="C75" s="10" t="s">
        <v>636</v>
      </c>
      <c r="D75" s="1">
        <v>149.25</v>
      </c>
      <c r="E75" s="30">
        <v>3500</v>
      </c>
      <c r="F75" s="1">
        <v>137.5</v>
      </c>
      <c r="G75" s="1">
        <v>4.45</v>
      </c>
      <c r="H75" s="1">
        <v>110</v>
      </c>
      <c r="I75" s="1">
        <v>0.6</v>
      </c>
      <c r="J75" s="1">
        <v>343000</v>
      </c>
      <c r="K75" s="1">
        <v>10500</v>
      </c>
      <c r="L75" s="1">
        <v>0.6</v>
      </c>
      <c r="M75" s="1">
        <v>0.75</v>
      </c>
      <c r="N75" s="1">
        <v>7000</v>
      </c>
      <c r="O75" s="9"/>
      <c r="P75" s="7">
        <f t="shared" ca="1" si="25"/>
        <v>0.14000000000000001</v>
      </c>
      <c r="Q75" s="7">
        <f t="shared" ca="1" si="18"/>
        <v>7.000000000000001E-3</v>
      </c>
      <c r="R75" s="33">
        <f t="shared" ca="1" si="26"/>
        <v>13475</v>
      </c>
      <c r="S75" s="33">
        <f t="shared" ca="1" si="27"/>
        <v>-82775</v>
      </c>
      <c r="T75" s="33">
        <f t="shared" ca="1" si="19"/>
        <v>13475</v>
      </c>
      <c r="U75" s="7">
        <f t="shared" ca="1" si="28"/>
        <v>0.16279069767441862</v>
      </c>
      <c r="V75" s="7">
        <f t="shared" ca="1" si="29"/>
        <v>-0.76093745127810952</v>
      </c>
      <c r="W75" s="33">
        <f t="shared" ca="1" si="20"/>
        <v>-82775</v>
      </c>
      <c r="X75" s="7">
        <f t="shared" ca="1" si="21"/>
        <v>-1</v>
      </c>
      <c r="Y75" s="7">
        <f t="shared" ca="1" si="22"/>
        <v>-0.83720930232558133</v>
      </c>
      <c r="Z75" s="7">
        <f t="shared" ca="1" si="30"/>
        <v>-0.15142753586348226</v>
      </c>
      <c r="AA75" s="33">
        <f t="shared" ca="1" si="23"/>
        <v>-24501.959046686548</v>
      </c>
      <c r="AB75" s="7">
        <f t="shared" ca="1" si="24"/>
        <v>-1.8183272019804488</v>
      </c>
      <c r="AC75" s="7">
        <f t="shared" ca="1" si="31"/>
        <v>-0.82776825215301508</v>
      </c>
      <c r="AD75" s="1"/>
      <c r="AE75" s="1"/>
      <c r="AH75" s="34"/>
    </row>
    <row r="76" spans="1:34" x14ac:dyDescent="0.25">
      <c r="A76" s="1">
        <v>73</v>
      </c>
      <c r="B76" s="25">
        <v>44007</v>
      </c>
      <c r="C76" s="10" t="s">
        <v>636</v>
      </c>
      <c r="D76" s="1">
        <v>149.25</v>
      </c>
      <c r="E76" s="30">
        <v>3500</v>
      </c>
      <c r="F76" s="1">
        <v>137.5</v>
      </c>
      <c r="G76" s="1">
        <v>4.45</v>
      </c>
      <c r="H76" s="1">
        <v>115</v>
      </c>
      <c r="I76" s="1">
        <v>1</v>
      </c>
      <c r="J76" s="1">
        <v>262500</v>
      </c>
      <c r="K76" s="1">
        <v>3500</v>
      </c>
      <c r="L76" s="1">
        <v>0.85</v>
      </c>
      <c r="M76" s="1">
        <v>1</v>
      </c>
      <c r="N76" s="1">
        <v>3500</v>
      </c>
      <c r="O76" s="9"/>
      <c r="P76" s="7">
        <f t="shared" ca="1" si="25"/>
        <v>0.15333333333333335</v>
      </c>
      <c r="Q76" s="7">
        <f t="shared" ca="1" si="18"/>
        <v>7.6666666666666671E-3</v>
      </c>
      <c r="R76" s="33">
        <f t="shared" ca="1" si="26"/>
        <v>12075</v>
      </c>
      <c r="S76" s="33">
        <f t="shared" ca="1" si="27"/>
        <v>-66675</v>
      </c>
      <c r="T76" s="33">
        <f t="shared" ca="1" si="19"/>
        <v>12075</v>
      </c>
      <c r="U76" s="7">
        <f t="shared" ca="1" si="28"/>
        <v>0.18110236220472442</v>
      </c>
      <c r="V76" s="7">
        <f t="shared" ca="1" si="29"/>
        <v>-0.76093745127810952</v>
      </c>
      <c r="W76" s="33">
        <f t="shared" ca="1" si="20"/>
        <v>-66675</v>
      </c>
      <c r="X76" s="7">
        <f t="shared" ca="1" si="21"/>
        <v>-1</v>
      </c>
      <c r="Y76" s="7">
        <f t="shared" ca="1" si="22"/>
        <v>-0.81889763779527558</v>
      </c>
      <c r="Z76" s="7">
        <f t="shared" ca="1" si="30"/>
        <v>-0.15142753586348226</v>
      </c>
      <c r="AA76" s="33">
        <f t="shared" ca="1" si="23"/>
        <v>-25901.959046686548</v>
      </c>
      <c r="AB76" s="7">
        <f t="shared" ca="1" si="24"/>
        <v>-2.1450897761231098</v>
      </c>
      <c r="AC76" s="7">
        <f t="shared" ca="1" si="31"/>
        <v>-0.98199370695919264</v>
      </c>
      <c r="AD76" s="1"/>
      <c r="AE76" s="1"/>
      <c r="AH76" s="34"/>
    </row>
    <row r="77" spans="1:34" x14ac:dyDescent="0.25">
      <c r="A77" s="1">
        <v>74</v>
      </c>
      <c r="B77" s="25">
        <v>44007</v>
      </c>
      <c r="C77" s="10" t="s">
        <v>636</v>
      </c>
      <c r="D77" s="1">
        <v>149.25</v>
      </c>
      <c r="E77" s="30">
        <v>3500</v>
      </c>
      <c r="F77" s="1">
        <v>137.5</v>
      </c>
      <c r="G77" s="1">
        <v>4.45</v>
      </c>
      <c r="H77" s="1">
        <v>120</v>
      </c>
      <c r="I77" s="1">
        <v>1.4</v>
      </c>
      <c r="J77" s="1">
        <v>672000</v>
      </c>
      <c r="K77" s="1">
        <v>21000</v>
      </c>
      <c r="L77" s="1">
        <v>1.3</v>
      </c>
      <c r="M77" s="1">
        <v>1.45</v>
      </c>
      <c r="N77" s="1">
        <v>14000</v>
      </c>
      <c r="O77" s="9"/>
      <c r="P77" s="7">
        <f t="shared" ca="1" si="25"/>
        <v>0.17428571428571429</v>
      </c>
      <c r="Q77" s="7">
        <f t="shared" ca="1" si="18"/>
        <v>8.7142857142857143E-3</v>
      </c>
      <c r="R77" s="33">
        <f t="shared" ca="1" si="26"/>
        <v>10675.000000000002</v>
      </c>
      <c r="S77" s="33">
        <f t="shared" ca="1" si="27"/>
        <v>-50575</v>
      </c>
      <c r="T77" s="33">
        <f t="shared" ca="1" si="19"/>
        <v>10675.000000000002</v>
      </c>
      <c r="U77" s="7">
        <f t="shared" ca="1" si="28"/>
        <v>0.21107266435986163</v>
      </c>
      <c r="V77" s="7">
        <f t="shared" ca="1" si="29"/>
        <v>-0.76093745127810952</v>
      </c>
      <c r="W77" s="33">
        <f t="shared" ca="1" si="20"/>
        <v>-50575</v>
      </c>
      <c r="X77" s="7">
        <f t="shared" ca="1" si="21"/>
        <v>-1</v>
      </c>
      <c r="Y77" s="7">
        <f t="shared" ca="1" si="22"/>
        <v>-0.78892733564013839</v>
      </c>
      <c r="Z77" s="7">
        <f t="shared" ca="1" si="30"/>
        <v>-0.15142753586348226</v>
      </c>
      <c r="AA77" s="33">
        <f t="shared" ca="1" si="23"/>
        <v>-27301.959046686548</v>
      </c>
      <c r="AB77" s="7">
        <f t="shared" ca="1" si="24"/>
        <v>-2.5575605664343368</v>
      </c>
      <c r="AC77" s="7">
        <f t="shared" ca="1" si="31"/>
        <v>-1.1732439510372377</v>
      </c>
      <c r="AD77" s="1"/>
      <c r="AE77" s="1"/>
      <c r="AH77" s="34"/>
    </row>
    <row r="78" spans="1:34" x14ac:dyDescent="0.25">
      <c r="A78" s="1">
        <v>75</v>
      </c>
      <c r="B78" s="25">
        <v>44007</v>
      </c>
      <c r="C78" s="10" t="s">
        <v>636</v>
      </c>
      <c r="D78" s="1">
        <v>149.25</v>
      </c>
      <c r="E78" s="30">
        <v>3500</v>
      </c>
      <c r="F78" s="1">
        <v>137.5</v>
      </c>
      <c r="G78" s="1">
        <v>4.45</v>
      </c>
      <c r="H78" s="1">
        <v>125</v>
      </c>
      <c r="I78" s="1">
        <v>1.95</v>
      </c>
      <c r="J78" s="1">
        <v>521500</v>
      </c>
      <c r="K78" s="1">
        <v>10500</v>
      </c>
      <c r="L78" s="1">
        <v>1.9</v>
      </c>
      <c r="M78" s="1">
        <v>2</v>
      </c>
      <c r="N78" s="1">
        <v>21000</v>
      </c>
      <c r="O78" s="7"/>
      <c r="P78" s="7">
        <f t="shared" ca="1" si="25"/>
        <v>0.2</v>
      </c>
      <c r="Q78" s="7">
        <f t="shared" ca="1" si="18"/>
        <v>0.01</v>
      </c>
      <c r="R78" s="33">
        <f t="shared" ca="1" si="26"/>
        <v>8750</v>
      </c>
      <c r="S78" s="33">
        <f t="shared" ca="1" si="27"/>
        <v>-35000</v>
      </c>
      <c r="T78" s="33">
        <f t="shared" ca="1" si="19"/>
        <v>8750</v>
      </c>
      <c r="U78" s="7">
        <f t="shared" ca="1" si="28"/>
        <v>0.25</v>
      </c>
      <c r="V78" s="7">
        <f t="shared" ca="1" si="29"/>
        <v>-0.76093745127810952</v>
      </c>
      <c r="W78" s="33">
        <f t="shared" ca="1" si="20"/>
        <v>-35000</v>
      </c>
      <c r="X78" s="7">
        <f t="shared" ca="1" si="21"/>
        <v>-1</v>
      </c>
      <c r="Y78" s="7">
        <f t="shared" ca="1" si="22"/>
        <v>-0.75</v>
      </c>
      <c r="Z78" s="7">
        <f t="shared" ca="1" si="30"/>
        <v>-0.15142753586348226</v>
      </c>
      <c r="AA78" s="33">
        <f t="shared" ca="1" si="23"/>
        <v>-29226.959046686548</v>
      </c>
      <c r="AB78" s="7">
        <f t="shared" ca="1" si="24"/>
        <v>-3.3402238910498911</v>
      </c>
      <c r="AC78" s="7">
        <f t="shared" ca="1" si="31"/>
        <v>-1.5451119455249456</v>
      </c>
      <c r="AD78" s="1"/>
      <c r="AE78" s="1"/>
      <c r="AH78" s="34"/>
    </row>
    <row r="79" spans="1:34" x14ac:dyDescent="0.25">
      <c r="A79" s="1">
        <v>76</v>
      </c>
      <c r="B79" s="25">
        <v>44007</v>
      </c>
      <c r="C79" s="10" t="s">
        <v>636</v>
      </c>
      <c r="D79" s="1">
        <v>149.25</v>
      </c>
      <c r="E79" s="30">
        <v>3500</v>
      </c>
      <c r="F79" s="1">
        <v>137.5</v>
      </c>
      <c r="G79" s="1">
        <v>4.45</v>
      </c>
      <c r="H79" s="1">
        <v>127.5</v>
      </c>
      <c r="I79" s="1">
        <v>2.2999999999999998</v>
      </c>
      <c r="J79" s="1">
        <v>63000</v>
      </c>
      <c r="K79" s="1">
        <v>31500</v>
      </c>
      <c r="L79" s="1">
        <v>1.95</v>
      </c>
      <c r="M79" s="1">
        <v>2.65</v>
      </c>
      <c r="N79" s="1">
        <v>38500</v>
      </c>
      <c r="O79" s="9"/>
      <c r="P79" s="7">
        <f t="shared" ca="1" si="25"/>
        <v>0.21500000000000002</v>
      </c>
      <c r="Q79" s="7">
        <f t="shared" ca="1" si="18"/>
        <v>1.0750000000000001E-2</v>
      </c>
      <c r="R79" s="33">
        <f t="shared" ca="1" si="26"/>
        <v>7525.0000000000009</v>
      </c>
      <c r="S79" s="33">
        <f t="shared" ca="1" si="27"/>
        <v>-27475</v>
      </c>
      <c r="T79" s="33">
        <f t="shared" ca="1" si="19"/>
        <v>7525.0000000000009</v>
      </c>
      <c r="U79" s="7">
        <f t="shared" ca="1" si="28"/>
        <v>0.27388535031847139</v>
      </c>
      <c r="V79" s="7">
        <f t="shared" ca="1" si="29"/>
        <v>-0.76093745127810952</v>
      </c>
      <c r="W79" s="33">
        <f t="shared" ca="1" si="20"/>
        <v>-27475</v>
      </c>
      <c r="X79" s="7">
        <f t="shared" ca="1" si="21"/>
        <v>-1</v>
      </c>
      <c r="Y79" s="7">
        <f t="shared" ca="1" si="22"/>
        <v>-0.72611464968152861</v>
      </c>
      <c r="Z79" s="7">
        <f t="shared" ca="1" si="30"/>
        <v>-0.15142753586348226</v>
      </c>
      <c r="AA79" s="33">
        <f t="shared" ca="1" si="23"/>
        <v>-27475</v>
      </c>
      <c r="AB79" s="7">
        <f t="shared" ca="1" si="24"/>
        <v>-3.6511627906976738</v>
      </c>
      <c r="AC79" s="7">
        <f t="shared" ca="1" si="31"/>
        <v>-1.6886387201896012</v>
      </c>
      <c r="AD79" s="1"/>
      <c r="AE79" s="1"/>
      <c r="AH79" s="34"/>
    </row>
    <row r="80" spans="1:34" x14ac:dyDescent="0.25">
      <c r="A80" s="1">
        <v>77</v>
      </c>
      <c r="B80" s="25">
        <v>44007</v>
      </c>
      <c r="C80" s="10" t="s">
        <v>636</v>
      </c>
      <c r="D80" s="1">
        <v>149.25</v>
      </c>
      <c r="E80" s="30">
        <v>3500</v>
      </c>
      <c r="F80" s="1">
        <v>137.5</v>
      </c>
      <c r="G80" s="1">
        <v>4.45</v>
      </c>
      <c r="H80" s="1">
        <v>130</v>
      </c>
      <c r="I80" s="1">
        <v>2.7</v>
      </c>
      <c r="J80" s="1">
        <v>3013500</v>
      </c>
      <c r="K80" s="1">
        <v>21000</v>
      </c>
      <c r="L80" s="1">
        <v>2.7</v>
      </c>
      <c r="M80" s="1">
        <v>2.8</v>
      </c>
      <c r="N80" s="1">
        <v>14000</v>
      </c>
      <c r="O80" s="9"/>
      <c r="P80" s="7">
        <f t="shared" ca="1" si="25"/>
        <v>0.23333333333333334</v>
      </c>
      <c r="Q80" s="7">
        <f t="shared" ca="1" si="18"/>
        <v>1.1666666666666667E-2</v>
      </c>
      <c r="R80" s="33">
        <f t="shared" ca="1" si="26"/>
        <v>6125</v>
      </c>
      <c r="S80" s="33">
        <f t="shared" ca="1" si="27"/>
        <v>-20125</v>
      </c>
      <c r="T80" s="33">
        <f t="shared" ca="1" si="19"/>
        <v>6125</v>
      </c>
      <c r="U80" s="7">
        <f t="shared" ca="1" si="28"/>
        <v>0.30434782608695654</v>
      </c>
      <c r="V80" s="7">
        <f t="shared" ca="1" si="29"/>
        <v>-0.76093745127810952</v>
      </c>
      <c r="W80" s="33">
        <f t="shared" ca="1" si="20"/>
        <v>-20125</v>
      </c>
      <c r="X80" s="7">
        <f t="shared" ca="1" si="21"/>
        <v>-1</v>
      </c>
      <c r="Y80" s="7">
        <f t="shared" ca="1" si="22"/>
        <v>-0.69565217391304346</v>
      </c>
      <c r="Z80" s="7">
        <f t="shared" ca="1" si="30"/>
        <v>-0.15142753586348226</v>
      </c>
      <c r="AA80" s="33">
        <f t="shared" ca="1" si="23"/>
        <v>-20125</v>
      </c>
      <c r="AB80" s="7">
        <f t="shared" ca="1" si="24"/>
        <v>-3.2857142857142856</v>
      </c>
      <c r="AC80" s="7">
        <f t="shared" ca="1" si="31"/>
        <v>-1.4906832298136645</v>
      </c>
      <c r="AD80" s="1"/>
      <c r="AE80" s="1"/>
      <c r="AH80" s="34"/>
    </row>
    <row r="81" spans="1:34" x14ac:dyDescent="0.25">
      <c r="A81" s="1">
        <v>78</v>
      </c>
      <c r="B81" s="25">
        <v>44007</v>
      </c>
      <c r="C81" s="10" t="s">
        <v>636</v>
      </c>
      <c r="D81" s="1">
        <v>149.25</v>
      </c>
      <c r="E81" s="30">
        <v>3500</v>
      </c>
      <c r="F81" s="1">
        <v>137.5</v>
      </c>
      <c r="G81" s="1">
        <v>4.45</v>
      </c>
      <c r="H81" s="1">
        <v>132.5</v>
      </c>
      <c r="I81" s="1">
        <v>3.4</v>
      </c>
      <c r="J81" s="1">
        <v>91000</v>
      </c>
      <c r="K81" s="1">
        <v>3500</v>
      </c>
      <c r="L81" s="1">
        <v>3.15</v>
      </c>
      <c r="M81" s="1">
        <v>3.25</v>
      </c>
      <c r="N81" s="1">
        <v>3500</v>
      </c>
      <c r="O81" s="9"/>
      <c r="P81" s="7">
        <f t="shared" ca="1" si="25"/>
        <v>0.21000000000000005</v>
      </c>
      <c r="Q81" s="7">
        <f t="shared" ca="1" si="18"/>
        <v>1.0500000000000002E-2</v>
      </c>
      <c r="R81" s="33">
        <f t="shared" ca="1" si="26"/>
        <v>3675.0000000000009</v>
      </c>
      <c r="S81" s="33">
        <f t="shared" ca="1" si="27"/>
        <v>-13825</v>
      </c>
      <c r="T81" s="33">
        <f t="shared" ca="1" si="19"/>
        <v>3675.0000000000009</v>
      </c>
      <c r="U81" s="7">
        <f t="shared" ca="1" si="28"/>
        <v>0.26582278481012667</v>
      </c>
      <c r="V81" s="7">
        <f t="shared" ca="1" si="29"/>
        <v>-0.76093745127810952</v>
      </c>
      <c r="W81" s="33">
        <f t="shared" ca="1" si="20"/>
        <v>-13825</v>
      </c>
      <c r="X81" s="7">
        <f t="shared" ca="1" si="21"/>
        <v>-1</v>
      </c>
      <c r="Y81" s="7">
        <f t="shared" ca="1" si="22"/>
        <v>-0.73417721518987333</v>
      </c>
      <c r="Z81" s="7">
        <f t="shared" ca="1" si="30"/>
        <v>-0.15142753586348226</v>
      </c>
      <c r="AA81" s="33">
        <f t="shared" ca="1" si="23"/>
        <v>-13825</v>
      </c>
      <c r="AB81" s="7">
        <f t="shared" ca="1" si="24"/>
        <v>-3.761904761904761</v>
      </c>
      <c r="AC81" s="7">
        <f t="shared" ca="1" si="31"/>
        <v>-1.7480409885473172</v>
      </c>
      <c r="AD81" s="1"/>
      <c r="AE81" s="1"/>
      <c r="AH81" s="34"/>
    </row>
    <row r="82" spans="1:34" x14ac:dyDescent="0.25">
      <c r="A82" s="1">
        <v>79</v>
      </c>
      <c r="B82" s="25">
        <v>44007</v>
      </c>
      <c r="C82" s="10" t="s">
        <v>636</v>
      </c>
      <c r="D82" s="1">
        <v>149.25</v>
      </c>
      <c r="E82" s="30">
        <v>3500</v>
      </c>
      <c r="F82" s="1">
        <v>137.5</v>
      </c>
      <c r="G82" s="1">
        <v>4.45</v>
      </c>
      <c r="H82" s="1">
        <v>135</v>
      </c>
      <c r="I82" s="1">
        <v>3.8</v>
      </c>
      <c r="J82" s="1">
        <v>717500</v>
      </c>
      <c r="K82" s="1">
        <v>24500</v>
      </c>
      <c r="L82" s="1">
        <v>3.7</v>
      </c>
      <c r="M82" s="1">
        <v>3.75</v>
      </c>
      <c r="N82" s="1">
        <v>7000</v>
      </c>
      <c r="O82" s="9"/>
      <c r="P82" s="7">
        <f t="shared" ca="1" si="25"/>
        <v>0.26000000000000012</v>
      </c>
      <c r="Q82" s="7">
        <f t="shared" ca="1" si="18"/>
        <v>1.3000000000000006E-2</v>
      </c>
      <c r="R82" s="33">
        <f t="shared" ca="1" si="26"/>
        <v>2275.0000000000014</v>
      </c>
      <c r="S82" s="33">
        <f t="shared" ca="1" si="27"/>
        <v>-6474.9999999999982</v>
      </c>
      <c r="T82" s="33">
        <f t="shared" ca="1" si="19"/>
        <v>2275.0000000000014</v>
      </c>
      <c r="U82" s="7">
        <f t="shared" ca="1" si="28"/>
        <v>0.35135135135135165</v>
      </c>
      <c r="V82" s="7">
        <f t="shared" ca="1" si="29"/>
        <v>-0.76093745127810952</v>
      </c>
      <c r="W82" s="33">
        <f t="shared" ca="1" si="20"/>
        <v>-6474.9999999999982</v>
      </c>
      <c r="X82" s="7">
        <f t="shared" ca="1" si="21"/>
        <v>-1</v>
      </c>
      <c r="Y82" s="7">
        <f t="shared" ca="1" si="22"/>
        <v>-0.64864864864864835</v>
      </c>
      <c r="Z82" s="7">
        <f t="shared" ca="1" si="30"/>
        <v>-0.15142753586348226</v>
      </c>
      <c r="AA82" s="33">
        <f t="shared" ca="1" si="23"/>
        <v>-6474.9999999999982</v>
      </c>
      <c r="AB82" s="7">
        <f t="shared" ca="1" si="24"/>
        <v>-2.8461538461538436</v>
      </c>
      <c r="AC82" s="7">
        <f t="shared" ca="1" si="31"/>
        <v>-1.2474012474012459</v>
      </c>
      <c r="AD82" s="1"/>
      <c r="AE82" s="1"/>
      <c r="AH82" s="34"/>
    </row>
    <row r="83" spans="1:34" x14ac:dyDescent="0.25">
      <c r="A83" s="1">
        <v>80</v>
      </c>
      <c r="B83" s="25">
        <v>44007</v>
      </c>
      <c r="C83" s="10" t="s">
        <v>1007</v>
      </c>
      <c r="D83" s="1">
        <v>469.1</v>
      </c>
      <c r="E83" s="30">
        <v>1300</v>
      </c>
      <c r="F83" s="1">
        <v>430</v>
      </c>
      <c r="G83" s="1">
        <v>16</v>
      </c>
      <c r="H83" s="1">
        <v>380</v>
      </c>
      <c r="I83" s="1">
        <v>3.6</v>
      </c>
      <c r="J83" s="1">
        <v>33800</v>
      </c>
      <c r="K83" s="1">
        <v>3900</v>
      </c>
      <c r="L83" s="1">
        <v>3.4</v>
      </c>
      <c r="M83" s="1">
        <v>4</v>
      </c>
      <c r="N83" s="1">
        <v>2600</v>
      </c>
      <c r="O83" s="9"/>
      <c r="P83" s="7">
        <f t="shared" ca="1" si="25"/>
        <v>0.248</v>
      </c>
      <c r="Q83" s="7">
        <f t="shared" ca="1" si="18"/>
        <v>1.24E-2</v>
      </c>
      <c r="R83" s="33">
        <f t="shared" ca="1" si="26"/>
        <v>16120</v>
      </c>
      <c r="S83" s="33">
        <f t="shared" ca="1" si="27"/>
        <v>-48880</v>
      </c>
      <c r="T83" s="33">
        <f t="shared" ca="1" si="19"/>
        <v>16120</v>
      </c>
      <c r="U83" s="7">
        <f t="shared" ca="1" si="28"/>
        <v>0.32978723404255317</v>
      </c>
      <c r="V83" s="7">
        <f t="shared" ca="1" si="29"/>
        <v>-0.62243307737822429</v>
      </c>
      <c r="W83" s="33">
        <f t="shared" ca="1" si="20"/>
        <v>-48880</v>
      </c>
      <c r="X83" s="7">
        <f t="shared" ca="1" si="21"/>
        <v>-1</v>
      </c>
      <c r="Y83" s="7">
        <f t="shared" ca="1" si="22"/>
        <v>-0.67021276595744683</v>
      </c>
      <c r="Z83" s="7">
        <f t="shared" ca="1" si="30"/>
        <v>-0.13539308544796624</v>
      </c>
      <c r="AA83" s="33">
        <f t="shared" ca="1" si="23"/>
        <v>-15616.765298733222</v>
      </c>
      <c r="AB83" s="7">
        <f t="shared" ca="1" si="24"/>
        <v>-0.96878196642265646</v>
      </c>
      <c r="AC83" s="7">
        <f t="shared" ca="1" si="31"/>
        <v>-0.31949736619005165</v>
      </c>
      <c r="AD83" s="1"/>
      <c r="AE83" s="1"/>
      <c r="AH83" s="34"/>
    </row>
    <row r="84" spans="1:34" x14ac:dyDescent="0.25">
      <c r="A84" s="1">
        <v>81</v>
      </c>
      <c r="B84" s="25">
        <v>44007</v>
      </c>
      <c r="C84" s="10" t="s">
        <v>1007</v>
      </c>
      <c r="D84" s="1">
        <v>469.1</v>
      </c>
      <c r="E84" s="30">
        <v>1300</v>
      </c>
      <c r="F84" s="1">
        <v>430</v>
      </c>
      <c r="G84" s="1">
        <v>16</v>
      </c>
      <c r="H84" s="1">
        <v>400</v>
      </c>
      <c r="I84" s="1">
        <v>6.05</v>
      </c>
      <c r="J84" s="1">
        <v>123500</v>
      </c>
      <c r="K84" s="1">
        <v>1300</v>
      </c>
      <c r="L84" s="1">
        <v>6.1</v>
      </c>
      <c r="M84" s="1">
        <v>6.55</v>
      </c>
      <c r="N84" s="1">
        <v>1300</v>
      </c>
      <c r="O84" s="9"/>
      <c r="P84" s="7">
        <f t="shared" ca="1" si="25"/>
        <v>0.33166666666666667</v>
      </c>
      <c r="Q84" s="7">
        <f t="shared" ca="1" si="18"/>
        <v>1.6583333333333332E-2</v>
      </c>
      <c r="R84" s="33">
        <f t="shared" ca="1" si="26"/>
        <v>12934.999999999998</v>
      </c>
      <c r="S84" s="33">
        <f t="shared" ca="1" si="27"/>
        <v>-26065</v>
      </c>
      <c r="T84" s="33">
        <f t="shared" ca="1" si="19"/>
        <v>12934.999999999998</v>
      </c>
      <c r="U84" s="7">
        <f t="shared" ca="1" si="28"/>
        <v>0.49625935162094759</v>
      </c>
      <c r="V84" s="7">
        <f t="shared" ca="1" si="29"/>
        <v>-0.62243307737822429</v>
      </c>
      <c r="W84" s="33">
        <f t="shared" ca="1" si="20"/>
        <v>-26065</v>
      </c>
      <c r="X84" s="7">
        <f t="shared" ca="1" si="21"/>
        <v>-1</v>
      </c>
      <c r="Y84" s="7">
        <f t="shared" ca="1" si="22"/>
        <v>-0.50374064837905241</v>
      </c>
      <c r="Z84" s="7">
        <f t="shared" ca="1" si="30"/>
        <v>-0.13539308544796624</v>
      </c>
      <c r="AA84" s="33">
        <f t="shared" ca="1" si="23"/>
        <v>-18801.765298733226</v>
      </c>
      <c r="AB84" s="7">
        <f t="shared" ca="1" si="24"/>
        <v>-1.4535574254915522</v>
      </c>
      <c r="AC84" s="7">
        <f t="shared" ca="1" si="31"/>
        <v>-0.47864903693530231</v>
      </c>
      <c r="AD84" s="1"/>
      <c r="AE84" s="1"/>
      <c r="AH84" s="34"/>
    </row>
    <row r="85" spans="1:34" x14ac:dyDescent="0.25">
      <c r="A85" s="1">
        <v>82</v>
      </c>
      <c r="B85" s="25">
        <v>44007</v>
      </c>
      <c r="C85" s="10" t="s">
        <v>1007</v>
      </c>
      <c r="D85" s="1">
        <v>469.1</v>
      </c>
      <c r="E85" s="30">
        <v>1300</v>
      </c>
      <c r="F85" s="1">
        <v>430</v>
      </c>
      <c r="G85" s="1">
        <v>16</v>
      </c>
      <c r="H85" s="1">
        <v>420</v>
      </c>
      <c r="I85" s="1">
        <v>10.35</v>
      </c>
      <c r="J85" s="1">
        <v>109200</v>
      </c>
      <c r="K85" s="1">
        <v>1300</v>
      </c>
      <c r="L85" s="1">
        <v>10.1</v>
      </c>
      <c r="M85" s="1">
        <v>10.55</v>
      </c>
      <c r="N85" s="1">
        <v>1300</v>
      </c>
      <c r="O85" s="9"/>
      <c r="P85" s="7">
        <f t="shared" ca="1" si="25"/>
        <v>0.56500000000000006</v>
      </c>
      <c r="Q85" s="7">
        <f t="shared" ca="1" si="18"/>
        <v>2.8250000000000004E-2</v>
      </c>
      <c r="R85" s="33">
        <f t="shared" ca="1" si="26"/>
        <v>7345.0000000000009</v>
      </c>
      <c r="S85" s="33">
        <f t="shared" ca="1" si="27"/>
        <v>-5654.9999999999991</v>
      </c>
      <c r="T85" s="33">
        <f t="shared" ca="1" si="19"/>
        <v>7345.0000000000009</v>
      </c>
      <c r="U85" s="7">
        <f t="shared" ca="1" si="28"/>
        <v>1.298850574712644</v>
      </c>
      <c r="V85" s="7">
        <f t="shared" ca="1" si="29"/>
        <v>-0.62243307737822429</v>
      </c>
      <c r="W85" s="33">
        <f t="shared" ca="1" si="20"/>
        <v>-5654.9999999999991</v>
      </c>
      <c r="X85" s="7">
        <f t="shared" ca="1" si="21"/>
        <v>-1</v>
      </c>
      <c r="Y85" s="7">
        <f t="shared" ca="1" si="22"/>
        <v>0.29885057471264398</v>
      </c>
      <c r="Z85" s="7">
        <f t="shared" ca="1" si="30"/>
        <v>-0.13539308544796624</v>
      </c>
      <c r="AA85" s="33">
        <f t="shared" ca="1" si="23"/>
        <v>-5654.9999999999991</v>
      </c>
      <c r="AB85" s="7">
        <f t="shared" ca="1" si="24"/>
        <v>-0.76991150442477851</v>
      </c>
      <c r="AC85" s="7">
        <f t="shared" ca="1" si="31"/>
        <v>0.26446953514393273</v>
      </c>
      <c r="AD85" s="1"/>
      <c r="AE85" s="1"/>
      <c r="AH85" s="34"/>
    </row>
    <row r="86" spans="1:34" x14ac:dyDescent="0.25">
      <c r="A86" s="1">
        <v>83</v>
      </c>
      <c r="B86" s="25">
        <v>44007</v>
      </c>
      <c r="C86" s="10" t="s">
        <v>571</v>
      </c>
      <c r="D86" s="1">
        <v>627.95000000000005</v>
      </c>
      <c r="E86" s="30">
        <v>750</v>
      </c>
      <c r="F86" s="1">
        <v>560</v>
      </c>
      <c r="G86" s="1">
        <v>8.3000000000000007</v>
      </c>
      <c r="H86" s="1">
        <v>500</v>
      </c>
      <c r="I86" s="1">
        <v>1.3</v>
      </c>
      <c r="J86" s="1">
        <v>36750</v>
      </c>
      <c r="K86" s="1">
        <v>750</v>
      </c>
      <c r="L86" s="1">
        <v>1.7</v>
      </c>
      <c r="M86" s="1">
        <v>2.8</v>
      </c>
      <c r="N86" s="1">
        <v>750</v>
      </c>
      <c r="O86" s="9"/>
      <c r="P86" s="7">
        <f t="shared" ca="1" si="25"/>
        <v>0.11666666666666668</v>
      </c>
      <c r="Q86" s="7">
        <f t="shared" ca="1" si="18"/>
        <v>5.8333333333333345E-3</v>
      </c>
      <c r="R86" s="33">
        <f t="shared" ca="1" si="26"/>
        <v>5250.0000000000009</v>
      </c>
      <c r="S86" s="33">
        <f t="shared" ca="1" si="27"/>
        <v>-39750</v>
      </c>
      <c r="T86" s="33">
        <f t="shared" ca="1" si="19"/>
        <v>5250.0000000000009</v>
      </c>
      <c r="U86" s="7">
        <f t="shared" ca="1" si="28"/>
        <v>0.13207547169811323</v>
      </c>
      <c r="V86" s="7">
        <f t="shared" ca="1" si="29"/>
        <v>-0.63009052351192563</v>
      </c>
      <c r="W86" s="33">
        <f t="shared" ca="1" si="20"/>
        <v>-39750</v>
      </c>
      <c r="X86" s="7">
        <f t="shared" ca="1" si="21"/>
        <v>-1</v>
      </c>
      <c r="Y86" s="7">
        <f t="shared" ca="1" si="22"/>
        <v>-0.86792452830188682</v>
      </c>
      <c r="Z86" s="7">
        <f t="shared" ca="1" si="30"/>
        <v>-0.12352441351373884</v>
      </c>
      <c r="AA86" s="33">
        <f t="shared" ca="1" si="23"/>
        <v>-1962.8665994641769</v>
      </c>
      <c r="AB86" s="7">
        <f t="shared" ca="1" si="24"/>
        <v>-0.3738793522788908</v>
      </c>
      <c r="AC86" s="7">
        <f t="shared" ca="1" si="31"/>
        <v>-0.12090194029038878</v>
      </c>
      <c r="AD86" s="1"/>
      <c r="AE86" s="1"/>
      <c r="AH86" s="34"/>
    </row>
    <row r="87" spans="1:34" x14ac:dyDescent="0.25">
      <c r="A87" s="1">
        <v>84</v>
      </c>
      <c r="B87" s="25">
        <v>44007</v>
      </c>
      <c r="C87" s="10" t="s">
        <v>571</v>
      </c>
      <c r="D87" s="1">
        <v>627.95000000000005</v>
      </c>
      <c r="E87" s="30">
        <v>750</v>
      </c>
      <c r="F87" s="1">
        <v>560</v>
      </c>
      <c r="G87" s="1">
        <v>8.3000000000000007</v>
      </c>
      <c r="H87" s="1">
        <v>520</v>
      </c>
      <c r="I87" s="1">
        <v>3.15</v>
      </c>
      <c r="J87" s="1">
        <v>33000</v>
      </c>
      <c r="K87" s="1">
        <v>750</v>
      </c>
      <c r="L87" s="1">
        <v>3</v>
      </c>
      <c r="M87" s="1">
        <v>4.25</v>
      </c>
      <c r="N87" s="1">
        <v>1500</v>
      </c>
      <c r="O87" s="9"/>
      <c r="P87" s="7">
        <f t="shared" ca="1" si="25"/>
        <v>0.12875</v>
      </c>
      <c r="Q87" s="7">
        <f t="shared" ca="1" si="18"/>
        <v>6.4375000000000005E-3</v>
      </c>
      <c r="R87" s="33">
        <f t="shared" ca="1" si="26"/>
        <v>3862.5000000000005</v>
      </c>
      <c r="S87" s="33">
        <f t="shared" ca="1" si="27"/>
        <v>-26137.5</v>
      </c>
      <c r="T87" s="33">
        <f t="shared" ca="1" si="19"/>
        <v>3862.5000000000005</v>
      </c>
      <c r="U87" s="7">
        <f t="shared" ca="1" si="28"/>
        <v>0.1477761836441894</v>
      </c>
      <c r="V87" s="7">
        <f t="shared" ca="1" si="29"/>
        <v>-0.63009052351192563</v>
      </c>
      <c r="W87" s="33">
        <f t="shared" ca="1" si="20"/>
        <v>-26137.5</v>
      </c>
      <c r="X87" s="7">
        <f t="shared" ca="1" si="21"/>
        <v>-1</v>
      </c>
      <c r="Y87" s="7">
        <f t="shared" ca="1" si="22"/>
        <v>-0.85222381635581057</v>
      </c>
      <c r="Z87" s="7">
        <f t="shared" ca="1" si="30"/>
        <v>-0.12352441351373884</v>
      </c>
      <c r="AA87" s="33">
        <f t="shared" ca="1" si="23"/>
        <v>-3350.3665994641774</v>
      </c>
      <c r="AB87" s="7">
        <f t="shared" ca="1" si="24"/>
        <v>-0.86740882834024002</v>
      </c>
      <c r="AC87" s="7">
        <f t="shared" ca="1" si="31"/>
        <v>-0.3598163223480253</v>
      </c>
      <c r="AD87" s="1"/>
      <c r="AE87" s="1"/>
      <c r="AH87" s="34"/>
    </row>
    <row r="88" spans="1:34" x14ac:dyDescent="0.25">
      <c r="A88" s="1">
        <v>85</v>
      </c>
      <c r="B88" s="25">
        <v>44007</v>
      </c>
      <c r="C88" s="10" t="s">
        <v>571</v>
      </c>
      <c r="D88" s="1">
        <v>627.95000000000005</v>
      </c>
      <c r="E88" s="30">
        <v>750</v>
      </c>
      <c r="F88" s="1">
        <v>560</v>
      </c>
      <c r="G88" s="1">
        <v>8.3000000000000007</v>
      </c>
      <c r="H88" s="1">
        <v>540</v>
      </c>
      <c r="I88" s="1">
        <v>5.5</v>
      </c>
      <c r="J88" s="1">
        <v>66000</v>
      </c>
      <c r="K88" s="1">
        <v>1500</v>
      </c>
      <c r="L88" s="1">
        <v>4.55</v>
      </c>
      <c r="M88" s="1">
        <v>4.95</v>
      </c>
      <c r="N88" s="1">
        <v>750</v>
      </c>
      <c r="O88" s="9"/>
      <c r="P88" s="7">
        <f t="shared" ca="1" si="25"/>
        <v>0.14000000000000004</v>
      </c>
      <c r="Q88" s="7">
        <f t="shared" ca="1" si="18"/>
        <v>7.0000000000000019E-3</v>
      </c>
      <c r="R88" s="33">
        <f t="shared" ca="1" si="26"/>
        <v>2100.0000000000005</v>
      </c>
      <c r="S88" s="33">
        <f t="shared" ca="1" si="27"/>
        <v>-12900</v>
      </c>
      <c r="T88" s="33">
        <f t="shared" ca="1" si="19"/>
        <v>2100.0000000000005</v>
      </c>
      <c r="U88" s="7">
        <f t="shared" ca="1" si="28"/>
        <v>0.16279069767441864</v>
      </c>
      <c r="V88" s="7">
        <f t="shared" ca="1" si="29"/>
        <v>-0.63009052351192563</v>
      </c>
      <c r="W88" s="33">
        <f t="shared" ca="1" si="20"/>
        <v>-12900</v>
      </c>
      <c r="X88" s="7">
        <f t="shared" ca="1" si="21"/>
        <v>-1</v>
      </c>
      <c r="Y88" s="7">
        <f t="shared" ca="1" si="22"/>
        <v>-0.83720930232558133</v>
      </c>
      <c r="Z88" s="7">
        <f t="shared" ca="1" si="30"/>
        <v>-0.12352441351373884</v>
      </c>
      <c r="AA88" s="33">
        <f t="shared" ca="1" si="23"/>
        <v>-5112.8665994641779</v>
      </c>
      <c r="AB88" s="7">
        <f t="shared" ca="1" si="24"/>
        <v>-2.4346983806972271</v>
      </c>
      <c r="AC88" s="7">
        <f t="shared" ca="1" si="31"/>
        <v>-1.1359538415114043</v>
      </c>
      <c r="AD88" s="1"/>
      <c r="AE88" s="1"/>
      <c r="AH88" s="34"/>
    </row>
    <row r="89" spans="1:34" x14ac:dyDescent="0.25">
      <c r="A89" s="1">
        <v>86</v>
      </c>
      <c r="B89" s="25">
        <v>44007</v>
      </c>
      <c r="C89" s="10" t="s">
        <v>571</v>
      </c>
      <c r="D89" s="1">
        <v>627.95000000000005</v>
      </c>
      <c r="E89" s="30">
        <v>750</v>
      </c>
      <c r="F89" s="1">
        <v>560</v>
      </c>
      <c r="G89" s="1">
        <v>8.3000000000000007</v>
      </c>
      <c r="H89" s="1">
        <v>550</v>
      </c>
      <c r="I89" s="1">
        <v>6.05</v>
      </c>
      <c r="J89" s="1">
        <v>33750</v>
      </c>
      <c r="K89" s="1">
        <v>750</v>
      </c>
      <c r="L89" s="1">
        <v>6.2</v>
      </c>
      <c r="M89" s="1">
        <v>6.7</v>
      </c>
      <c r="N89" s="1">
        <v>1500</v>
      </c>
      <c r="O89" s="9"/>
      <c r="P89" s="7">
        <f t="shared" ca="1" si="25"/>
        <v>0.22500000000000009</v>
      </c>
      <c r="Q89" s="7">
        <f t="shared" ca="1" si="18"/>
        <v>1.1250000000000005E-2</v>
      </c>
      <c r="R89" s="33">
        <f t="shared" ca="1" si="26"/>
        <v>1687.5000000000007</v>
      </c>
      <c r="S89" s="33">
        <f t="shared" ca="1" si="27"/>
        <v>-5812.4999999999991</v>
      </c>
      <c r="T89" s="33">
        <f t="shared" ca="1" si="19"/>
        <v>1687.5000000000007</v>
      </c>
      <c r="U89" s="7">
        <f t="shared" ca="1" si="28"/>
        <v>0.29032258064516148</v>
      </c>
      <c r="V89" s="7">
        <f t="shared" ca="1" si="29"/>
        <v>-0.63009052351192563</v>
      </c>
      <c r="W89" s="33">
        <f t="shared" ca="1" si="20"/>
        <v>-5812.4999999999991</v>
      </c>
      <c r="X89" s="7">
        <f t="shared" ca="1" si="21"/>
        <v>-1</v>
      </c>
      <c r="Y89" s="7">
        <f t="shared" ca="1" si="22"/>
        <v>-0.70967741935483852</v>
      </c>
      <c r="Z89" s="7">
        <f t="shared" ca="1" si="30"/>
        <v>-0.12352441351373884</v>
      </c>
      <c r="AA89" s="33">
        <f t="shared" ca="1" si="23"/>
        <v>-5525.3665994641769</v>
      </c>
      <c r="AB89" s="7">
        <f t="shared" ca="1" si="24"/>
        <v>-3.2742913182009925</v>
      </c>
      <c r="AC89" s="7">
        <f t="shared" ca="1" si="31"/>
        <v>-1.4919843687779155</v>
      </c>
      <c r="AD89" s="1"/>
      <c r="AE89" s="1"/>
      <c r="AH89" s="34"/>
    </row>
    <row r="90" spans="1:34" x14ac:dyDescent="0.25">
      <c r="A90" s="1">
        <v>87</v>
      </c>
      <c r="B90" s="25">
        <v>44007</v>
      </c>
      <c r="C90" s="10" t="s">
        <v>671</v>
      </c>
      <c r="D90" s="1">
        <v>355.1</v>
      </c>
      <c r="E90" s="30">
        <v>1375</v>
      </c>
      <c r="F90" s="1">
        <v>325</v>
      </c>
      <c r="G90" s="1">
        <v>7.85</v>
      </c>
      <c r="H90" s="1">
        <v>260</v>
      </c>
      <c r="I90" s="1">
        <v>0.9</v>
      </c>
      <c r="J90" s="1">
        <v>291500</v>
      </c>
      <c r="K90" s="1">
        <v>9625</v>
      </c>
      <c r="L90" s="1">
        <v>0.85</v>
      </c>
      <c r="M90" s="1">
        <v>0.95</v>
      </c>
      <c r="N90" s="1">
        <v>9625</v>
      </c>
      <c r="O90" s="9"/>
      <c r="P90" s="7">
        <f t="shared" ca="1" si="25"/>
        <v>0.10692307692307691</v>
      </c>
      <c r="Q90" s="7">
        <f t="shared" ca="1" si="18"/>
        <v>5.346153846153846E-3</v>
      </c>
      <c r="R90" s="33">
        <f t="shared" ca="1" si="26"/>
        <v>9556.2499999999982</v>
      </c>
      <c r="S90" s="33">
        <f t="shared" ca="1" si="27"/>
        <v>-79818.75</v>
      </c>
      <c r="T90" s="33">
        <f t="shared" ca="1" si="19"/>
        <v>9556.2499999999982</v>
      </c>
      <c r="U90" s="7">
        <f t="shared" ca="1" si="28"/>
        <v>0.119724375538329</v>
      </c>
      <c r="V90" s="7">
        <f t="shared" ca="1" si="29"/>
        <v>-0.65144451667409664</v>
      </c>
      <c r="W90" s="33">
        <f t="shared" ca="1" si="20"/>
        <v>-79818.75</v>
      </c>
      <c r="X90" s="7">
        <f t="shared" ca="1" si="21"/>
        <v>-1</v>
      </c>
      <c r="Y90" s="7">
        <f t="shared" ca="1" si="22"/>
        <v>-0.88027562446167096</v>
      </c>
      <c r="Z90" s="7">
        <f t="shared" ca="1" si="30"/>
        <v>-0.11494213760588132</v>
      </c>
      <c r="AA90" s="33">
        <f t="shared" ca="1" si="23"/>
        <v>-5178.1854627915745</v>
      </c>
      <c r="AB90" s="7">
        <f t="shared" ca="1" si="24"/>
        <v>-0.54186375019401711</v>
      </c>
      <c r="AC90" s="7">
        <f t="shared" ca="1" si="31"/>
        <v>-0.21106968732784406</v>
      </c>
      <c r="AD90" s="1"/>
      <c r="AE90" s="1"/>
      <c r="AH90" s="34"/>
    </row>
    <row r="91" spans="1:34" x14ac:dyDescent="0.25">
      <c r="A91" s="1">
        <v>88</v>
      </c>
      <c r="B91" s="25">
        <v>44007</v>
      </c>
      <c r="C91" s="10" t="s">
        <v>671</v>
      </c>
      <c r="D91" s="1">
        <v>355.1</v>
      </c>
      <c r="E91" s="30">
        <v>1375</v>
      </c>
      <c r="F91" s="1">
        <v>325</v>
      </c>
      <c r="G91" s="1">
        <v>7.85</v>
      </c>
      <c r="H91" s="1">
        <v>270</v>
      </c>
      <c r="I91" s="1">
        <v>1.25</v>
      </c>
      <c r="J91" s="1">
        <v>334125</v>
      </c>
      <c r="K91" s="1">
        <v>20625</v>
      </c>
      <c r="L91" s="1">
        <v>1.2</v>
      </c>
      <c r="M91" s="1">
        <v>1.3</v>
      </c>
      <c r="N91" s="1">
        <v>8250</v>
      </c>
      <c r="O91" s="9"/>
      <c r="P91" s="7">
        <f t="shared" ca="1" si="25"/>
        <v>0.12</v>
      </c>
      <c r="Q91" s="7">
        <f t="shared" ref="Q91:Q154" ca="1" si="32">P91/($B91-TODAY())</f>
        <v>6.0000000000000001E-3</v>
      </c>
      <c r="R91" s="33">
        <f t="shared" ca="1" si="26"/>
        <v>9075</v>
      </c>
      <c r="S91" s="33">
        <f t="shared" ca="1" si="27"/>
        <v>-66550</v>
      </c>
      <c r="T91" s="33">
        <f t="shared" ref="T91:T154" ca="1" si="33">R91</f>
        <v>9075</v>
      </c>
      <c r="U91" s="7">
        <f t="shared" ca="1" si="28"/>
        <v>0.13636363636363635</v>
      </c>
      <c r="V91" s="7">
        <f t="shared" ca="1" si="29"/>
        <v>-0.65144451667409664</v>
      </c>
      <c r="W91" s="33">
        <f t="shared" ref="W91:W154" ca="1" si="34">-(MAX(($F91-MAX($D91*(1+V91),$H91)),0)*$E91-$R91)</f>
        <v>-66550</v>
      </c>
      <c r="X91" s="7">
        <f t="shared" ref="X91:X154" ca="1" si="35">W91/ABS($S91)</f>
        <v>-1</v>
      </c>
      <c r="Y91" s="7">
        <f t="shared" ref="Y91:Y154" ca="1" si="36">$U91+X91</f>
        <v>-0.86363636363636365</v>
      </c>
      <c r="Z91" s="7">
        <f t="shared" ca="1" si="30"/>
        <v>-0.11494213760588132</v>
      </c>
      <c r="AA91" s="33">
        <f t="shared" ref="AA91:AA154" ca="1" si="37">-(MAX(($F91-MAX($D91*(1+Z91),$H91)),0)*$E91-$R91)</f>
        <v>-5659.4354627915727</v>
      </c>
      <c r="AB91" s="7">
        <f t="shared" ref="AB91:AB154" ca="1" si="38">AA91/$R91</f>
        <v>-0.62362925209824493</v>
      </c>
      <c r="AC91" s="7">
        <f t="shared" ref="AC91:AC154" ca="1" si="39">AVERAGE($U91,AB91)</f>
        <v>-0.24363280786730429</v>
      </c>
      <c r="AD91" s="1"/>
      <c r="AE91" s="1"/>
      <c r="AH91" s="34"/>
    </row>
    <row r="92" spans="1:34" x14ac:dyDescent="0.25">
      <c r="A92" s="1">
        <v>89</v>
      </c>
      <c r="B92" s="25">
        <v>44007</v>
      </c>
      <c r="C92" s="10" t="s">
        <v>671</v>
      </c>
      <c r="D92" s="1">
        <v>355.1</v>
      </c>
      <c r="E92" s="30">
        <v>1375</v>
      </c>
      <c r="F92" s="1">
        <v>325</v>
      </c>
      <c r="G92" s="1">
        <v>7.85</v>
      </c>
      <c r="H92" s="1">
        <v>280</v>
      </c>
      <c r="I92" s="1">
        <v>1.75</v>
      </c>
      <c r="J92" s="1">
        <v>789250</v>
      </c>
      <c r="K92" s="1">
        <v>5500</v>
      </c>
      <c r="L92" s="1">
        <v>1.75</v>
      </c>
      <c r="M92" s="1">
        <v>1.85</v>
      </c>
      <c r="N92" s="1">
        <v>9625</v>
      </c>
      <c r="O92" s="9"/>
      <c r="P92" s="7">
        <f t="shared" ca="1" si="25"/>
        <v>0.13555555555555554</v>
      </c>
      <c r="Q92" s="7">
        <f t="shared" ca="1" si="32"/>
        <v>6.7777777777777767E-3</v>
      </c>
      <c r="R92" s="33">
        <f t="shared" ca="1" si="26"/>
        <v>8387.5</v>
      </c>
      <c r="S92" s="33">
        <f t="shared" ca="1" si="27"/>
        <v>-53487.5</v>
      </c>
      <c r="T92" s="33">
        <f t="shared" ca="1" si="33"/>
        <v>8387.5</v>
      </c>
      <c r="U92" s="7">
        <f t="shared" ca="1" si="28"/>
        <v>0.15681233933161953</v>
      </c>
      <c r="V92" s="7">
        <f t="shared" ca="1" si="29"/>
        <v>-0.65144451667409664</v>
      </c>
      <c r="W92" s="33">
        <f t="shared" ca="1" si="34"/>
        <v>-53487.5</v>
      </c>
      <c r="X92" s="7">
        <f t="shared" ca="1" si="35"/>
        <v>-1</v>
      </c>
      <c r="Y92" s="7">
        <f t="shared" ca="1" si="36"/>
        <v>-0.84318766066838047</v>
      </c>
      <c r="Z92" s="7">
        <f t="shared" ca="1" si="30"/>
        <v>-0.11494213760588132</v>
      </c>
      <c r="AA92" s="33">
        <f t="shared" ca="1" si="37"/>
        <v>-6346.9354627915727</v>
      </c>
      <c r="AB92" s="7">
        <f t="shared" ca="1" si="38"/>
        <v>-0.7567136170243306</v>
      </c>
      <c r="AC92" s="7">
        <f t="shared" ca="1" si="39"/>
        <v>-0.29995063884635553</v>
      </c>
      <c r="AD92" s="1"/>
      <c r="AE92" s="1"/>
      <c r="AH92" s="34"/>
    </row>
    <row r="93" spans="1:34" x14ac:dyDescent="0.25">
      <c r="A93" s="1">
        <v>90</v>
      </c>
      <c r="B93" s="25">
        <v>44007</v>
      </c>
      <c r="C93" s="10" t="s">
        <v>671</v>
      </c>
      <c r="D93" s="1">
        <v>355.1</v>
      </c>
      <c r="E93" s="30">
        <v>1375</v>
      </c>
      <c r="F93" s="1">
        <v>325</v>
      </c>
      <c r="G93" s="1">
        <v>7.85</v>
      </c>
      <c r="H93" s="1">
        <v>290</v>
      </c>
      <c r="I93" s="1">
        <v>2.6</v>
      </c>
      <c r="J93" s="1">
        <v>566500</v>
      </c>
      <c r="K93" s="1">
        <v>8250</v>
      </c>
      <c r="L93" s="1">
        <v>2.5</v>
      </c>
      <c r="M93" s="1">
        <v>2.65</v>
      </c>
      <c r="N93" s="1">
        <v>13750</v>
      </c>
      <c r="O93" s="9"/>
      <c r="P93" s="7">
        <f t="shared" ca="1" si="25"/>
        <v>0.15</v>
      </c>
      <c r="Q93" s="7">
        <f t="shared" ca="1" si="32"/>
        <v>7.4999999999999997E-3</v>
      </c>
      <c r="R93" s="33">
        <f t="shared" ca="1" si="26"/>
        <v>7218.75</v>
      </c>
      <c r="S93" s="33">
        <f t="shared" ca="1" si="27"/>
        <v>-40906.25</v>
      </c>
      <c r="T93" s="33">
        <f t="shared" ca="1" si="33"/>
        <v>7218.75</v>
      </c>
      <c r="U93" s="7">
        <f t="shared" ca="1" si="28"/>
        <v>0.17647058823529413</v>
      </c>
      <c r="V93" s="7">
        <f t="shared" ca="1" si="29"/>
        <v>-0.65144451667409664</v>
      </c>
      <c r="W93" s="33">
        <f t="shared" ca="1" si="34"/>
        <v>-40906.25</v>
      </c>
      <c r="X93" s="7">
        <f t="shared" ca="1" si="35"/>
        <v>-1</v>
      </c>
      <c r="Y93" s="7">
        <f t="shared" ca="1" si="36"/>
        <v>-0.82352941176470584</v>
      </c>
      <c r="Z93" s="7">
        <f t="shared" ca="1" si="30"/>
        <v>-0.11494213760588132</v>
      </c>
      <c r="AA93" s="33">
        <f t="shared" ca="1" si="37"/>
        <v>-7515.6854627915727</v>
      </c>
      <c r="AB93" s="7">
        <f t="shared" ca="1" si="38"/>
        <v>-1.0411339169235079</v>
      </c>
      <c r="AC93" s="7">
        <f t="shared" ca="1" si="39"/>
        <v>-0.43233166434410686</v>
      </c>
      <c r="AD93" s="1"/>
      <c r="AE93" s="1"/>
      <c r="AH93" s="34"/>
    </row>
    <row r="94" spans="1:34" x14ac:dyDescent="0.25">
      <c r="A94" s="1">
        <v>91</v>
      </c>
      <c r="B94" s="25">
        <v>44007</v>
      </c>
      <c r="C94" s="10" t="s">
        <v>671</v>
      </c>
      <c r="D94" s="1">
        <v>355.1</v>
      </c>
      <c r="E94" s="30">
        <v>1375</v>
      </c>
      <c r="F94" s="1">
        <v>325</v>
      </c>
      <c r="G94" s="1">
        <v>7.85</v>
      </c>
      <c r="H94" s="1">
        <v>300</v>
      </c>
      <c r="I94" s="1">
        <v>3.75</v>
      </c>
      <c r="J94" s="1">
        <v>2301750</v>
      </c>
      <c r="K94" s="1">
        <v>9625</v>
      </c>
      <c r="L94" s="1">
        <v>3.65</v>
      </c>
      <c r="M94" s="1">
        <v>3.8</v>
      </c>
      <c r="N94" s="1">
        <v>15125</v>
      </c>
      <c r="O94" s="9"/>
      <c r="P94" s="7">
        <f t="shared" ca="1" si="25"/>
        <v>0.16399999999999998</v>
      </c>
      <c r="Q94" s="7">
        <f t="shared" ca="1" si="32"/>
        <v>8.199999999999999E-3</v>
      </c>
      <c r="R94" s="33">
        <f t="shared" ca="1" si="26"/>
        <v>5637.4999999999991</v>
      </c>
      <c r="S94" s="33">
        <f t="shared" ca="1" si="27"/>
        <v>-28737.5</v>
      </c>
      <c r="T94" s="33">
        <f t="shared" ca="1" si="33"/>
        <v>5637.4999999999991</v>
      </c>
      <c r="U94" s="7">
        <f t="shared" ca="1" si="28"/>
        <v>0.19617224880382772</v>
      </c>
      <c r="V94" s="7">
        <f t="shared" ca="1" si="29"/>
        <v>-0.65144451667409664</v>
      </c>
      <c r="W94" s="33">
        <f t="shared" ca="1" si="34"/>
        <v>-28737.5</v>
      </c>
      <c r="X94" s="7">
        <f t="shared" ca="1" si="35"/>
        <v>-1</v>
      </c>
      <c r="Y94" s="7">
        <f t="shared" ca="1" si="36"/>
        <v>-0.80382775119617222</v>
      </c>
      <c r="Z94" s="7">
        <f t="shared" ca="1" si="30"/>
        <v>-0.11494213760588132</v>
      </c>
      <c r="AA94" s="33">
        <f t="shared" ca="1" si="37"/>
        <v>-9096.9354627915745</v>
      </c>
      <c r="AB94" s="7">
        <f t="shared" ca="1" si="38"/>
        <v>-1.6136470887435168</v>
      </c>
      <c r="AC94" s="7">
        <f t="shared" ca="1" si="39"/>
        <v>-0.70873741996984452</v>
      </c>
      <c r="AD94" s="1"/>
      <c r="AE94" s="1"/>
      <c r="AH94" s="34"/>
    </row>
    <row r="95" spans="1:34" x14ac:dyDescent="0.25">
      <c r="A95" s="1">
        <v>92</v>
      </c>
      <c r="B95" s="25">
        <v>44007</v>
      </c>
      <c r="C95" s="10" t="s">
        <v>671</v>
      </c>
      <c r="D95" s="1">
        <v>355.1</v>
      </c>
      <c r="E95" s="30">
        <v>1375</v>
      </c>
      <c r="F95" s="1">
        <v>325</v>
      </c>
      <c r="G95" s="1">
        <v>7.85</v>
      </c>
      <c r="H95" s="1">
        <v>305</v>
      </c>
      <c r="I95" s="1">
        <v>5.05</v>
      </c>
      <c r="J95" s="1">
        <v>44000</v>
      </c>
      <c r="K95" s="1">
        <v>6875</v>
      </c>
      <c r="L95" s="1">
        <v>4.1500000000000004</v>
      </c>
      <c r="M95" s="1">
        <v>5</v>
      </c>
      <c r="N95" s="1">
        <v>8250</v>
      </c>
      <c r="O95" s="9"/>
      <c r="P95" s="7">
        <f t="shared" ca="1" si="25"/>
        <v>0.13999999999999999</v>
      </c>
      <c r="Q95" s="7">
        <f t="shared" ca="1" si="32"/>
        <v>6.9999999999999993E-3</v>
      </c>
      <c r="R95" s="33">
        <f t="shared" ca="1" si="26"/>
        <v>3849.9999999999995</v>
      </c>
      <c r="S95" s="33">
        <f t="shared" ca="1" si="27"/>
        <v>-23650</v>
      </c>
      <c r="T95" s="33">
        <f t="shared" ca="1" si="33"/>
        <v>3849.9999999999995</v>
      </c>
      <c r="U95" s="7">
        <f t="shared" ca="1" si="28"/>
        <v>0.16279069767441859</v>
      </c>
      <c r="V95" s="7">
        <f t="shared" ca="1" si="29"/>
        <v>-0.65144451667409664</v>
      </c>
      <c r="W95" s="33">
        <f t="shared" ca="1" si="34"/>
        <v>-23650</v>
      </c>
      <c r="X95" s="7">
        <f t="shared" ca="1" si="35"/>
        <v>-1</v>
      </c>
      <c r="Y95" s="7">
        <f t="shared" ca="1" si="36"/>
        <v>-0.83720930232558144</v>
      </c>
      <c r="Z95" s="7">
        <f t="shared" ca="1" si="30"/>
        <v>-0.11494213760588132</v>
      </c>
      <c r="AA95" s="33">
        <f t="shared" ca="1" si="37"/>
        <v>-10884.435462791573</v>
      </c>
      <c r="AB95" s="7">
        <f t="shared" ca="1" si="38"/>
        <v>-2.8271260942315775</v>
      </c>
      <c r="AC95" s="7">
        <f t="shared" ca="1" si="39"/>
        <v>-1.3321676982785795</v>
      </c>
      <c r="AD95" s="1"/>
      <c r="AE95" s="1"/>
      <c r="AH95" s="34"/>
    </row>
    <row r="96" spans="1:34" x14ac:dyDescent="0.25">
      <c r="A96" s="1">
        <v>93</v>
      </c>
      <c r="B96" s="25">
        <v>44007</v>
      </c>
      <c r="C96" s="10" t="s">
        <v>671</v>
      </c>
      <c r="D96" s="1">
        <v>355.1</v>
      </c>
      <c r="E96" s="30">
        <v>1375</v>
      </c>
      <c r="F96" s="1">
        <v>325</v>
      </c>
      <c r="G96" s="1">
        <v>7.85</v>
      </c>
      <c r="H96" s="1">
        <v>310</v>
      </c>
      <c r="I96" s="1">
        <v>5.05</v>
      </c>
      <c r="J96" s="1">
        <v>787875</v>
      </c>
      <c r="K96" s="1">
        <v>15125</v>
      </c>
      <c r="L96" s="1">
        <v>4.95</v>
      </c>
      <c r="M96" s="1">
        <v>5.05</v>
      </c>
      <c r="N96" s="1">
        <v>11000</v>
      </c>
      <c r="O96" s="9"/>
      <c r="P96" s="7">
        <f t="shared" ca="1" si="25"/>
        <v>0.18666666666666665</v>
      </c>
      <c r="Q96" s="7">
        <f t="shared" ca="1" si="32"/>
        <v>9.3333333333333324E-3</v>
      </c>
      <c r="R96" s="33">
        <f t="shared" ca="1" si="26"/>
        <v>3849.9999999999995</v>
      </c>
      <c r="S96" s="33">
        <f t="shared" ca="1" si="27"/>
        <v>-16775</v>
      </c>
      <c r="T96" s="33">
        <f t="shared" ca="1" si="33"/>
        <v>3849.9999999999995</v>
      </c>
      <c r="U96" s="7">
        <f t="shared" ca="1" si="28"/>
        <v>0.22950819672131145</v>
      </c>
      <c r="V96" s="7">
        <f t="shared" ca="1" si="29"/>
        <v>-0.65144451667409664</v>
      </c>
      <c r="W96" s="33">
        <f t="shared" ca="1" si="34"/>
        <v>-16775</v>
      </c>
      <c r="X96" s="7">
        <f t="shared" ca="1" si="35"/>
        <v>-1</v>
      </c>
      <c r="Y96" s="7">
        <f t="shared" ca="1" si="36"/>
        <v>-0.77049180327868849</v>
      </c>
      <c r="Z96" s="7">
        <f t="shared" ca="1" si="30"/>
        <v>-0.11494213760588132</v>
      </c>
      <c r="AA96" s="33">
        <f t="shared" ca="1" si="37"/>
        <v>-10884.435462791573</v>
      </c>
      <c r="AB96" s="7">
        <f t="shared" ca="1" si="38"/>
        <v>-2.8271260942315775</v>
      </c>
      <c r="AC96" s="7">
        <f t="shared" ca="1" si="39"/>
        <v>-1.2988089487551331</v>
      </c>
      <c r="AD96" s="1"/>
      <c r="AE96" s="1"/>
      <c r="AH96" s="34"/>
    </row>
    <row r="97" spans="1:34" x14ac:dyDescent="0.25">
      <c r="A97" s="1">
        <v>94</v>
      </c>
      <c r="B97" s="25">
        <v>44007</v>
      </c>
      <c r="C97" s="10" t="s">
        <v>671</v>
      </c>
      <c r="D97" s="1">
        <v>355.1</v>
      </c>
      <c r="E97" s="30">
        <v>1375</v>
      </c>
      <c r="F97" s="1">
        <v>325</v>
      </c>
      <c r="G97" s="1">
        <v>7.85</v>
      </c>
      <c r="H97" s="1">
        <v>315</v>
      </c>
      <c r="I97" s="1">
        <v>6.4</v>
      </c>
      <c r="J97" s="1">
        <v>67375</v>
      </c>
      <c r="K97" s="1">
        <v>23375</v>
      </c>
      <c r="L97" s="1">
        <v>5.2</v>
      </c>
      <c r="M97" s="1">
        <v>7.6</v>
      </c>
      <c r="N97" s="1">
        <v>31625</v>
      </c>
      <c r="O97" s="9"/>
      <c r="P97" s="7">
        <f t="shared" ca="1" si="25"/>
        <v>0.14499999999999993</v>
      </c>
      <c r="Q97" s="7">
        <f t="shared" ca="1" si="32"/>
        <v>7.2499999999999969E-3</v>
      </c>
      <c r="R97" s="33">
        <f t="shared" ca="1" si="26"/>
        <v>1993.7499999999991</v>
      </c>
      <c r="S97" s="33">
        <f t="shared" ca="1" si="27"/>
        <v>-11756.25</v>
      </c>
      <c r="T97" s="33">
        <f t="shared" ca="1" si="33"/>
        <v>1993.7499999999991</v>
      </c>
      <c r="U97" s="7">
        <f t="shared" ca="1" si="28"/>
        <v>0.16959064327485374</v>
      </c>
      <c r="V97" s="7">
        <f t="shared" ca="1" si="29"/>
        <v>-0.65144451667409664</v>
      </c>
      <c r="W97" s="33">
        <f t="shared" ca="1" si="34"/>
        <v>-11756.25</v>
      </c>
      <c r="X97" s="7">
        <f t="shared" ca="1" si="35"/>
        <v>-1</v>
      </c>
      <c r="Y97" s="7">
        <f t="shared" ca="1" si="36"/>
        <v>-0.83040935672514626</v>
      </c>
      <c r="Z97" s="7">
        <f t="shared" ca="1" si="30"/>
        <v>-0.11494213760588132</v>
      </c>
      <c r="AA97" s="33">
        <f t="shared" ca="1" si="37"/>
        <v>-11756.25</v>
      </c>
      <c r="AB97" s="7">
        <f t="shared" ca="1" si="38"/>
        <v>-5.8965517241379342</v>
      </c>
      <c r="AC97" s="7">
        <f t="shared" ca="1" si="39"/>
        <v>-2.8634805404315404</v>
      </c>
      <c r="AD97" s="1"/>
      <c r="AE97" s="1"/>
      <c r="AH97" s="34"/>
    </row>
    <row r="98" spans="1:34" x14ac:dyDescent="0.25">
      <c r="A98" s="1">
        <v>95</v>
      </c>
      <c r="B98" s="25">
        <v>44007</v>
      </c>
      <c r="C98" s="10" t="s">
        <v>671</v>
      </c>
      <c r="D98" s="1">
        <v>355.1</v>
      </c>
      <c r="E98" s="30">
        <v>1375</v>
      </c>
      <c r="F98" s="1">
        <v>325</v>
      </c>
      <c r="G98" s="1">
        <v>7.85</v>
      </c>
      <c r="H98" s="1">
        <v>320</v>
      </c>
      <c r="I98" s="1">
        <v>6.9</v>
      </c>
      <c r="J98" s="1">
        <v>1696750</v>
      </c>
      <c r="K98" s="1">
        <v>2750</v>
      </c>
      <c r="L98" s="1">
        <v>6.8</v>
      </c>
      <c r="M98" s="1">
        <v>6.9</v>
      </c>
      <c r="N98" s="1">
        <v>8250</v>
      </c>
      <c r="O98" s="9"/>
      <c r="P98" s="7">
        <f t="shared" ca="1" si="25"/>
        <v>0.18999999999999986</v>
      </c>
      <c r="Q98" s="7">
        <f t="shared" ca="1" si="32"/>
        <v>9.4999999999999928E-3</v>
      </c>
      <c r="R98" s="33">
        <f t="shared" ca="1" si="26"/>
        <v>1306.2499999999991</v>
      </c>
      <c r="S98" s="33">
        <f t="shared" ca="1" si="27"/>
        <v>-5568.7500000000009</v>
      </c>
      <c r="T98" s="33">
        <f t="shared" ca="1" si="33"/>
        <v>1306.2499999999991</v>
      </c>
      <c r="U98" s="7">
        <f t="shared" ca="1" si="28"/>
        <v>0.23456790123456769</v>
      </c>
      <c r="V98" s="7">
        <f t="shared" ca="1" si="29"/>
        <v>-0.65144451667409664</v>
      </c>
      <c r="W98" s="33">
        <f t="shared" ca="1" si="34"/>
        <v>-5568.7500000000009</v>
      </c>
      <c r="X98" s="7">
        <f t="shared" ca="1" si="35"/>
        <v>-1</v>
      </c>
      <c r="Y98" s="7">
        <f t="shared" ca="1" si="36"/>
        <v>-0.76543209876543228</v>
      </c>
      <c r="Z98" s="7">
        <f t="shared" ca="1" si="30"/>
        <v>-0.11494213760588132</v>
      </c>
      <c r="AA98" s="33">
        <f t="shared" ca="1" si="37"/>
        <v>-5568.7500000000009</v>
      </c>
      <c r="AB98" s="7">
        <f t="shared" ca="1" si="38"/>
        <v>-4.263157894736846</v>
      </c>
      <c r="AC98" s="7">
        <f t="shared" ca="1" si="39"/>
        <v>-2.014294996751139</v>
      </c>
      <c r="AD98" s="1"/>
      <c r="AE98" s="1"/>
      <c r="AH98" s="34"/>
    </row>
    <row r="99" spans="1:34" x14ac:dyDescent="0.25">
      <c r="A99" s="1">
        <v>96</v>
      </c>
      <c r="B99" s="25">
        <v>44007</v>
      </c>
      <c r="C99" s="10" t="s">
        <v>1649</v>
      </c>
      <c r="D99" s="1">
        <v>358.5</v>
      </c>
      <c r="E99" s="30">
        <v>1350</v>
      </c>
      <c r="F99" s="1">
        <v>330</v>
      </c>
      <c r="G99" s="1">
        <v>6.55</v>
      </c>
      <c r="H99" s="1">
        <v>290</v>
      </c>
      <c r="I99" s="1">
        <v>1.5</v>
      </c>
      <c r="J99" s="1">
        <v>55350</v>
      </c>
      <c r="K99" s="1">
        <v>2700</v>
      </c>
      <c r="L99" s="1">
        <v>1</v>
      </c>
      <c r="M99" s="1">
        <v>2.5</v>
      </c>
      <c r="N99" s="1">
        <v>16200</v>
      </c>
      <c r="O99" s="9"/>
      <c r="P99" s="7">
        <f t="shared" ca="1" si="25"/>
        <v>0.12625</v>
      </c>
      <c r="Q99" s="7">
        <f t="shared" ca="1" si="32"/>
        <v>6.3125000000000004E-3</v>
      </c>
      <c r="R99" s="33">
        <f t="shared" ca="1" si="26"/>
        <v>6817.5</v>
      </c>
      <c r="S99" s="33">
        <f t="shared" ca="1" si="27"/>
        <v>-47182.5</v>
      </c>
      <c r="T99" s="33">
        <f t="shared" ca="1" si="33"/>
        <v>6817.5</v>
      </c>
      <c r="U99" s="7">
        <f t="shared" ca="1" si="28"/>
        <v>0.14449213161659513</v>
      </c>
      <c r="V99" s="7">
        <f t="shared" ca="1" si="29"/>
        <v>-0.51216886037756382</v>
      </c>
      <c r="W99" s="33">
        <f t="shared" ca="1" si="34"/>
        <v>-47182.5</v>
      </c>
      <c r="X99" s="7">
        <f t="shared" ca="1" si="35"/>
        <v>-1</v>
      </c>
      <c r="Y99" s="7">
        <f t="shared" ca="1" si="36"/>
        <v>-0.85550786838340487</v>
      </c>
      <c r="Z99" s="7">
        <f t="shared" ca="1" si="30"/>
        <v>-0.11897556340923642</v>
      </c>
      <c r="AA99" s="33">
        <f t="shared" ca="1" si="37"/>
        <v>-12288.698300985183</v>
      </c>
      <c r="AB99" s="7">
        <f t="shared" ca="1" si="38"/>
        <v>-1.8025226697448014</v>
      </c>
      <c r="AC99" s="7">
        <f t="shared" ca="1" si="39"/>
        <v>-0.82901526906410306</v>
      </c>
      <c r="AD99" s="1"/>
      <c r="AE99" s="1"/>
      <c r="AH99" s="34"/>
    </row>
    <row r="100" spans="1:34" x14ac:dyDescent="0.25">
      <c r="A100" s="1">
        <v>97</v>
      </c>
      <c r="B100" s="25">
        <v>44007</v>
      </c>
      <c r="C100" s="10" t="s">
        <v>1649</v>
      </c>
      <c r="D100" s="1">
        <v>358.5</v>
      </c>
      <c r="E100" s="30">
        <v>1350</v>
      </c>
      <c r="F100" s="1">
        <v>330</v>
      </c>
      <c r="G100" s="1">
        <v>6.55</v>
      </c>
      <c r="H100" s="1">
        <v>300</v>
      </c>
      <c r="I100" s="1">
        <v>2</v>
      </c>
      <c r="J100" s="1">
        <v>183600</v>
      </c>
      <c r="K100" s="1">
        <v>1350</v>
      </c>
      <c r="L100" s="1">
        <v>1.85</v>
      </c>
      <c r="M100" s="1">
        <v>2.0499999999999998</v>
      </c>
      <c r="N100" s="1">
        <v>2700</v>
      </c>
      <c r="O100" s="9"/>
      <c r="P100" s="7">
        <f t="shared" ca="1" si="25"/>
        <v>0.15166666666666667</v>
      </c>
      <c r="Q100" s="7">
        <f t="shared" ca="1" si="32"/>
        <v>7.5833333333333334E-3</v>
      </c>
      <c r="R100" s="33">
        <f t="shared" ca="1" si="26"/>
        <v>6142.5</v>
      </c>
      <c r="S100" s="33">
        <f t="shared" ca="1" si="27"/>
        <v>-34357.5</v>
      </c>
      <c r="T100" s="33">
        <f t="shared" ca="1" si="33"/>
        <v>6142.5</v>
      </c>
      <c r="U100" s="7">
        <f t="shared" ca="1" si="28"/>
        <v>0.1787819253438114</v>
      </c>
      <c r="V100" s="7">
        <f t="shared" ca="1" si="29"/>
        <v>-0.51216886037756382</v>
      </c>
      <c r="W100" s="33">
        <f t="shared" ca="1" si="34"/>
        <v>-34357.5</v>
      </c>
      <c r="X100" s="7">
        <f t="shared" ca="1" si="35"/>
        <v>-1</v>
      </c>
      <c r="Y100" s="7">
        <f t="shared" ca="1" si="36"/>
        <v>-0.82121807465618857</v>
      </c>
      <c r="Z100" s="7">
        <f t="shared" ca="1" si="30"/>
        <v>-0.11897556340923642</v>
      </c>
      <c r="AA100" s="33">
        <f t="shared" ca="1" si="37"/>
        <v>-12963.698300985183</v>
      </c>
      <c r="AB100" s="7">
        <f t="shared" ca="1" si="38"/>
        <v>-2.1104921938925818</v>
      </c>
      <c r="AC100" s="7">
        <f t="shared" ca="1" si="39"/>
        <v>-0.96585513427438519</v>
      </c>
      <c r="AD100" s="1"/>
      <c r="AE100" s="1"/>
      <c r="AH100" s="34"/>
    </row>
    <row r="101" spans="1:34" x14ac:dyDescent="0.25">
      <c r="A101" s="1">
        <v>98</v>
      </c>
      <c r="B101" s="25">
        <v>44007</v>
      </c>
      <c r="C101" s="10" t="s">
        <v>1649</v>
      </c>
      <c r="D101" s="1">
        <v>358.5</v>
      </c>
      <c r="E101" s="30">
        <v>1350</v>
      </c>
      <c r="F101" s="1">
        <v>330</v>
      </c>
      <c r="G101" s="1">
        <v>6.55</v>
      </c>
      <c r="H101" s="1">
        <v>310</v>
      </c>
      <c r="I101" s="1">
        <v>3.05</v>
      </c>
      <c r="J101" s="1">
        <v>56700</v>
      </c>
      <c r="K101" s="1">
        <v>1350</v>
      </c>
      <c r="L101" s="1">
        <v>2.9</v>
      </c>
      <c r="M101" s="1">
        <v>3.05</v>
      </c>
      <c r="N101" s="1">
        <v>1350</v>
      </c>
      <c r="O101" s="9"/>
      <c r="P101" s="7">
        <f t="shared" ca="1" si="25"/>
        <v>0.17499999999999999</v>
      </c>
      <c r="Q101" s="7">
        <f t="shared" ca="1" si="32"/>
        <v>8.7499999999999991E-3</v>
      </c>
      <c r="R101" s="33">
        <f t="shared" ca="1" si="26"/>
        <v>4725</v>
      </c>
      <c r="S101" s="33">
        <f t="shared" ca="1" si="27"/>
        <v>-22275</v>
      </c>
      <c r="T101" s="33">
        <f t="shared" ca="1" si="33"/>
        <v>4725</v>
      </c>
      <c r="U101" s="7">
        <f t="shared" ca="1" si="28"/>
        <v>0.21212121212121213</v>
      </c>
      <c r="V101" s="7">
        <f t="shared" ca="1" si="29"/>
        <v>-0.51216886037756382</v>
      </c>
      <c r="W101" s="33">
        <f t="shared" ca="1" si="34"/>
        <v>-22275</v>
      </c>
      <c r="X101" s="7">
        <f t="shared" ca="1" si="35"/>
        <v>-1</v>
      </c>
      <c r="Y101" s="7">
        <f t="shared" ca="1" si="36"/>
        <v>-0.78787878787878785</v>
      </c>
      <c r="Z101" s="7">
        <f t="shared" ca="1" si="30"/>
        <v>-0.11897556340923642</v>
      </c>
      <c r="AA101" s="33">
        <f t="shared" ca="1" si="37"/>
        <v>-14381.198300985183</v>
      </c>
      <c r="AB101" s="7">
        <f t="shared" ca="1" si="38"/>
        <v>-3.0436398520603563</v>
      </c>
      <c r="AC101" s="7">
        <f t="shared" ca="1" si="39"/>
        <v>-1.4157593199695722</v>
      </c>
      <c r="AD101" s="1"/>
      <c r="AE101" s="1"/>
      <c r="AH101" s="34"/>
    </row>
    <row r="102" spans="1:34" x14ac:dyDescent="0.25">
      <c r="A102" s="1">
        <v>99</v>
      </c>
      <c r="B102" s="25">
        <v>44007</v>
      </c>
      <c r="C102" s="10" t="s">
        <v>1649</v>
      </c>
      <c r="D102" s="1">
        <v>358.5</v>
      </c>
      <c r="E102" s="30">
        <v>1350</v>
      </c>
      <c r="F102" s="1">
        <v>330</v>
      </c>
      <c r="G102" s="1">
        <v>6.55</v>
      </c>
      <c r="H102" s="1">
        <v>320</v>
      </c>
      <c r="I102" s="1">
        <v>4.45</v>
      </c>
      <c r="J102" s="1">
        <v>98550</v>
      </c>
      <c r="K102" s="1">
        <v>2700</v>
      </c>
      <c r="L102" s="1">
        <v>4.3</v>
      </c>
      <c r="M102" s="1">
        <v>4.5</v>
      </c>
      <c r="N102" s="1">
        <v>1350</v>
      </c>
      <c r="O102" s="9"/>
      <c r="P102" s="7">
        <f t="shared" ca="1" si="25"/>
        <v>0.20999999999999996</v>
      </c>
      <c r="Q102" s="7">
        <f t="shared" ca="1" si="32"/>
        <v>1.0499999999999999E-2</v>
      </c>
      <c r="R102" s="33">
        <f t="shared" ca="1" si="26"/>
        <v>2834.9999999999995</v>
      </c>
      <c r="S102" s="33">
        <f t="shared" ca="1" si="27"/>
        <v>-10665</v>
      </c>
      <c r="T102" s="33">
        <f t="shared" ca="1" si="33"/>
        <v>2834.9999999999995</v>
      </c>
      <c r="U102" s="7">
        <f t="shared" ca="1" si="28"/>
        <v>0.26582278481012656</v>
      </c>
      <c r="V102" s="7">
        <f t="shared" ca="1" si="29"/>
        <v>-0.51216886037756382</v>
      </c>
      <c r="W102" s="33">
        <f t="shared" ca="1" si="34"/>
        <v>-10665</v>
      </c>
      <c r="X102" s="7">
        <f t="shared" ca="1" si="35"/>
        <v>-1</v>
      </c>
      <c r="Y102" s="7">
        <f t="shared" ca="1" si="36"/>
        <v>-0.73417721518987344</v>
      </c>
      <c r="Z102" s="7">
        <f t="shared" ca="1" si="30"/>
        <v>-0.11897556340923642</v>
      </c>
      <c r="AA102" s="33">
        <f t="shared" ca="1" si="37"/>
        <v>-10665</v>
      </c>
      <c r="AB102" s="7">
        <f t="shared" ca="1" si="38"/>
        <v>-3.7619047619047623</v>
      </c>
      <c r="AC102" s="7">
        <f t="shared" ca="1" si="39"/>
        <v>-1.7480409885473178</v>
      </c>
      <c r="AD102" s="1"/>
      <c r="AE102" s="1"/>
      <c r="AH102" s="34"/>
    </row>
    <row r="103" spans="1:34" x14ac:dyDescent="0.25">
      <c r="A103" s="1">
        <v>100</v>
      </c>
      <c r="B103" s="25">
        <v>44007</v>
      </c>
      <c r="C103" s="10" t="s">
        <v>1758</v>
      </c>
      <c r="D103" s="1">
        <v>204.8</v>
      </c>
      <c r="E103" s="30">
        <v>1700</v>
      </c>
      <c r="F103" s="1">
        <v>185</v>
      </c>
      <c r="G103" s="1">
        <v>8.35</v>
      </c>
      <c r="H103" s="1">
        <v>130</v>
      </c>
      <c r="I103" s="1">
        <v>0.65</v>
      </c>
      <c r="J103" s="1">
        <v>122400</v>
      </c>
      <c r="K103" s="1">
        <v>3400</v>
      </c>
      <c r="L103" s="1">
        <v>0.7</v>
      </c>
      <c r="M103" s="1">
        <v>0.9</v>
      </c>
      <c r="N103" s="1">
        <v>10200</v>
      </c>
      <c r="O103" s="9"/>
      <c r="P103" s="7">
        <f t="shared" ca="1" si="25"/>
        <v>0.13999999999999999</v>
      </c>
      <c r="Q103" s="7">
        <f t="shared" ca="1" si="32"/>
        <v>6.9999999999999993E-3</v>
      </c>
      <c r="R103" s="33">
        <f t="shared" ca="1" si="26"/>
        <v>13089.999999999998</v>
      </c>
      <c r="S103" s="33">
        <f t="shared" ca="1" si="27"/>
        <v>-80410</v>
      </c>
      <c r="T103" s="33">
        <f t="shared" ca="1" si="33"/>
        <v>13089.999999999998</v>
      </c>
      <c r="U103" s="7">
        <f t="shared" ca="1" si="28"/>
        <v>0.16279069767441859</v>
      </c>
      <c r="V103" s="7">
        <f t="shared" ca="1" si="29"/>
        <v>-0.76791436827105497</v>
      </c>
      <c r="W103" s="33">
        <f t="shared" ca="1" si="34"/>
        <v>-80410</v>
      </c>
      <c r="X103" s="7">
        <f t="shared" ca="1" si="35"/>
        <v>-1</v>
      </c>
      <c r="Y103" s="7">
        <f t="shared" ca="1" si="36"/>
        <v>-0.83720930232558144</v>
      </c>
      <c r="Z103" s="7">
        <f t="shared" ca="1" si="30"/>
        <v>-0.16755568669087059</v>
      </c>
      <c r="AA103" s="33">
        <f t="shared" ca="1" si="37"/>
        <v>-11586.187878293496</v>
      </c>
      <c r="AB103" s="7">
        <f t="shared" ca="1" si="38"/>
        <v>-0.88511748497276532</v>
      </c>
      <c r="AC103" s="7">
        <f t="shared" ca="1" si="39"/>
        <v>-0.36116339364917338</v>
      </c>
      <c r="AD103" s="1"/>
      <c r="AE103" s="1"/>
      <c r="AH103" s="34"/>
    </row>
    <row r="104" spans="1:34" x14ac:dyDescent="0.25">
      <c r="A104" s="1">
        <v>101</v>
      </c>
      <c r="B104" s="25">
        <v>44007</v>
      </c>
      <c r="C104" s="10" t="s">
        <v>1758</v>
      </c>
      <c r="D104" s="1">
        <v>204.8</v>
      </c>
      <c r="E104" s="30">
        <v>1700</v>
      </c>
      <c r="F104" s="1">
        <v>185</v>
      </c>
      <c r="G104" s="1">
        <v>8.35</v>
      </c>
      <c r="H104" s="1">
        <v>140</v>
      </c>
      <c r="I104" s="1">
        <v>1.1499999999999999</v>
      </c>
      <c r="J104" s="1">
        <v>323000</v>
      </c>
      <c r="K104" s="1">
        <v>1700</v>
      </c>
      <c r="L104" s="1">
        <v>1.05</v>
      </c>
      <c r="M104" s="1">
        <v>1.2</v>
      </c>
      <c r="N104" s="1">
        <v>1700</v>
      </c>
      <c r="O104" s="9"/>
      <c r="P104" s="7">
        <f t="shared" ca="1" si="25"/>
        <v>0.15999999999999998</v>
      </c>
      <c r="Q104" s="7">
        <f t="shared" ca="1" si="32"/>
        <v>7.9999999999999984E-3</v>
      </c>
      <c r="R104" s="33">
        <f t="shared" ca="1" si="26"/>
        <v>12239.999999999998</v>
      </c>
      <c r="S104" s="33">
        <f t="shared" ca="1" si="27"/>
        <v>-64260</v>
      </c>
      <c r="T104" s="33">
        <f t="shared" ca="1" si="33"/>
        <v>12239.999999999998</v>
      </c>
      <c r="U104" s="7">
        <f t="shared" ca="1" si="28"/>
        <v>0.19047619047619044</v>
      </c>
      <c r="V104" s="7">
        <f t="shared" ca="1" si="29"/>
        <v>-0.76791436827105497</v>
      </c>
      <c r="W104" s="33">
        <f t="shared" ca="1" si="34"/>
        <v>-64260</v>
      </c>
      <c r="X104" s="7">
        <f t="shared" ca="1" si="35"/>
        <v>-1</v>
      </c>
      <c r="Y104" s="7">
        <f t="shared" ca="1" si="36"/>
        <v>-0.80952380952380953</v>
      </c>
      <c r="Z104" s="7">
        <f t="shared" ca="1" si="30"/>
        <v>-0.16755568669087059</v>
      </c>
      <c r="AA104" s="33">
        <f t="shared" ca="1" si="37"/>
        <v>-12436.187878293496</v>
      </c>
      <c r="AB104" s="7">
        <f t="shared" ca="1" si="38"/>
        <v>-1.0160284214292075</v>
      </c>
      <c r="AC104" s="7">
        <f t="shared" ca="1" si="39"/>
        <v>-0.4127761154765085</v>
      </c>
      <c r="AD104" s="1"/>
      <c r="AE104" s="1"/>
      <c r="AH104" s="34"/>
    </row>
    <row r="105" spans="1:34" x14ac:dyDescent="0.25">
      <c r="A105" s="1">
        <v>102</v>
      </c>
      <c r="B105" s="25">
        <v>44007</v>
      </c>
      <c r="C105" s="10" t="s">
        <v>1758</v>
      </c>
      <c r="D105" s="1">
        <v>204.8</v>
      </c>
      <c r="E105" s="30">
        <v>1700</v>
      </c>
      <c r="F105" s="1">
        <v>185</v>
      </c>
      <c r="G105" s="1">
        <v>8.35</v>
      </c>
      <c r="H105" s="1">
        <v>150</v>
      </c>
      <c r="I105" s="1">
        <v>1.65</v>
      </c>
      <c r="J105" s="1">
        <v>708900</v>
      </c>
      <c r="K105" s="1">
        <v>3400</v>
      </c>
      <c r="L105" s="1">
        <v>1.55</v>
      </c>
      <c r="M105" s="1">
        <v>1.65</v>
      </c>
      <c r="N105" s="1">
        <v>1700</v>
      </c>
      <c r="O105" s="9"/>
      <c r="P105" s="7">
        <f t="shared" ca="1" si="25"/>
        <v>0.19142857142857142</v>
      </c>
      <c r="Q105" s="7">
        <f t="shared" ca="1" si="32"/>
        <v>9.571428571428571E-3</v>
      </c>
      <c r="R105" s="33">
        <f t="shared" ca="1" si="26"/>
        <v>11389.999999999998</v>
      </c>
      <c r="S105" s="33">
        <f t="shared" ca="1" si="27"/>
        <v>-48110</v>
      </c>
      <c r="T105" s="33">
        <f t="shared" ca="1" si="33"/>
        <v>11389.999999999998</v>
      </c>
      <c r="U105" s="7">
        <f t="shared" ca="1" si="28"/>
        <v>0.23674911660777381</v>
      </c>
      <c r="V105" s="7">
        <f t="shared" ca="1" si="29"/>
        <v>-0.76791436827105497</v>
      </c>
      <c r="W105" s="33">
        <f t="shared" ca="1" si="34"/>
        <v>-48110</v>
      </c>
      <c r="X105" s="7">
        <f t="shared" ca="1" si="35"/>
        <v>-1</v>
      </c>
      <c r="Y105" s="7">
        <f t="shared" ca="1" si="36"/>
        <v>-0.76325088339222624</v>
      </c>
      <c r="Z105" s="7">
        <f t="shared" ca="1" si="30"/>
        <v>-0.16755568669087059</v>
      </c>
      <c r="AA105" s="33">
        <f t="shared" ca="1" si="37"/>
        <v>-13286.187878293496</v>
      </c>
      <c r="AB105" s="7">
        <f t="shared" ca="1" si="38"/>
        <v>-1.1664783036254169</v>
      </c>
      <c r="AC105" s="7">
        <f t="shared" ca="1" si="39"/>
        <v>-0.46486459350882159</v>
      </c>
      <c r="AD105" s="1"/>
      <c r="AE105" s="1"/>
      <c r="AH105" s="34"/>
    </row>
    <row r="106" spans="1:34" x14ac:dyDescent="0.25">
      <c r="A106" s="1">
        <v>103</v>
      </c>
      <c r="B106" s="25">
        <v>44007</v>
      </c>
      <c r="C106" s="10" t="s">
        <v>1758</v>
      </c>
      <c r="D106" s="1">
        <v>204.8</v>
      </c>
      <c r="E106" s="30">
        <v>1700</v>
      </c>
      <c r="F106" s="1">
        <v>185</v>
      </c>
      <c r="G106" s="1">
        <v>8.35</v>
      </c>
      <c r="H106" s="1">
        <v>160</v>
      </c>
      <c r="I106" s="1">
        <v>2.4</v>
      </c>
      <c r="J106" s="1">
        <v>987700</v>
      </c>
      <c r="K106" s="1">
        <v>1700</v>
      </c>
      <c r="L106" s="1">
        <v>2.4</v>
      </c>
      <c r="M106" s="1">
        <v>2.5</v>
      </c>
      <c r="N106" s="1">
        <v>1700</v>
      </c>
      <c r="O106" s="9"/>
      <c r="P106" s="7">
        <f t="shared" ca="1" si="25"/>
        <v>0.23799999999999996</v>
      </c>
      <c r="Q106" s="7">
        <f t="shared" ca="1" si="32"/>
        <v>1.1899999999999997E-2</v>
      </c>
      <c r="R106" s="33">
        <f t="shared" ca="1" si="26"/>
        <v>10114.999999999998</v>
      </c>
      <c r="S106" s="33">
        <f t="shared" ca="1" si="27"/>
        <v>-32385</v>
      </c>
      <c r="T106" s="33">
        <f t="shared" ca="1" si="33"/>
        <v>10114.999999999998</v>
      </c>
      <c r="U106" s="7">
        <f t="shared" ca="1" si="28"/>
        <v>0.31233595800524927</v>
      </c>
      <c r="V106" s="7">
        <f t="shared" ca="1" si="29"/>
        <v>-0.76791436827105497</v>
      </c>
      <c r="W106" s="33">
        <f t="shared" ca="1" si="34"/>
        <v>-32385</v>
      </c>
      <c r="X106" s="7">
        <f t="shared" ca="1" si="35"/>
        <v>-1</v>
      </c>
      <c r="Y106" s="7">
        <f t="shared" ca="1" si="36"/>
        <v>-0.68766404199475073</v>
      </c>
      <c r="Z106" s="7">
        <f t="shared" ca="1" si="30"/>
        <v>-0.16755568669087059</v>
      </c>
      <c r="AA106" s="33">
        <f t="shared" ca="1" si="37"/>
        <v>-14561.187878293496</v>
      </c>
      <c r="AB106" s="7">
        <f t="shared" ca="1" si="38"/>
        <v>-1.4395638040824024</v>
      </c>
      <c r="AC106" s="7">
        <f t="shared" ca="1" si="39"/>
        <v>-0.5636139230385766</v>
      </c>
      <c r="AD106" s="1"/>
      <c r="AE106" s="1"/>
      <c r="AH106" s="34"/>
    </row>
    <row r="107" spans="1:34" x14ac:dyDescent="0.25">
      <c r="A107" s="1">
        <v>104</v>
      </c>
      <c r="B107" s="25">
        <v>44007</v>
      </c>
      <c r="C107" s="10" t="s">
        <v>1758</v>
      </c>
      <c r="D107" s="1">
        <v>204.8</v>
      </c>
      <c r="E107" s="30">
        <v>1700</v>
      </c>
      <c r="F107" s="1">
        <v>185</v>
      </c>
      <c r="G107" s="1">
        <v>8.35</v>
      </c>
      <c r="H107" s="1">
        <v>170</v>
      </c>
      <c r="I107" s="1">
        <v>4.25</v>
      </c>
      <c r="J107" s="1">
        <v>741200</v>
      </c>
      <c r="K107" s="1">
        <v>1700</v>
      </c>
      <c r="L107" s="1">
        <v>3.95</v>
      </c>
      <c r="M107" s="1">
        <v>4.1500000000000004</v>
      </c>
      <c r="N107" s="1">
        <v>1700</v>
      </c>
      <c r="O107" s="9"/>
      <c r="P107" s="7">
        <f t="shared" ca="1" si="25"/>
        <v>0.27333333333333332</v>
      </c>
      <c r="Q107" s="7">
        <f t="shared" ca="1" si="32"/>
        <v>1.3666666666666666E-2</v>
      </c>
      <c r="R107" s="33">
        <f t="shared" ca="1" si="26"/>
        <v>6969.9999999999991</v>
      </c>
      <c r="S107" s="33">
        <f t="shared" ca="1" si="27"/>
        <v>-18530</v>
      </c>
      <c r="T107" s="33">
        <f t="shared" ca="1" si="33"/>
        <v>6969.9999999999991</v>
      </c>
      <c r="U107" s="7">
        <f t="shared" ca="1" si="28"/>
        <v>0.37614678899082565</v>
      </c>
      <c r="V107" s="7">
        <f t="shared" ca="1" si="29"/>
        <v>-0.76791436827105497</v>
      </c>
      <c r="W107" s="33">
        <f t="shared" ca="1" si="34"/>
        <v>-18530</v>
      </c>
      <c r="X107" s="7">
        <f t="shared" ca="1" si="35"/>
        <v>-1</v>
      </c>
      <c r="Y107" s="7">
        <f t="shared" ca="1" si="36"/>
        <v>-0.62385321100917435</v>
      </c>
      <c r="Z107" s="7">
        <f t="shared" ca="1" si="30"/>
        <v>-0.16755568669087059</v>
      </c>
      <c r="AA107" s="33">
        <f t="shared" ca="1" si="37"/>
        <v>-17706.187878293495</v>
      </c>
      <c r="AB107" s="7">
        <f t="shared" ca="1" si="38"/>
        <v>-2.5403425937293398</v>
      </c>
      <c r="AC107" s="7">
        <f t="shared" ca="1" si="39"/>
        <v>-1.0820979023692572</v>
      </c>
      <c r="AD107" s="1"/>
      <c r="AE107" s="1"/>
      <c r="AH107" s="34"/>
    </row>
    <row r="108" spans="1:34" x14ac:dyDescent="0.25">
      <c r="A108" s="1">
        <v>105</v>
      </c>
      <c r="B108" s="25">
        <v>44007</v>
      </c>
      <c r="C108" s="10" t="s">
        <v>1758</v>
      </c>
      <c r="D108" s="1">
        <v>204.8</v>
      </c>
      <c r="E108" s="30">
        <v>1700</v>
      </c>
      <c r="F108" s="1">
        <v>185</v>
      </c>
      <c r="G108" s="1">
        <v>8.35</v>
      </c>
      <c r="H108" s="1">
        <v>175</v>
      </c>
      <c r="I108" s="1">
        <v>5.4</v>
      </c>
      <c r="J108" s="1">
        <v>159800</v>
      </c>
      <c r="K108" s="1">
        <v>1700</v>
      </c>
      <c r="L108" s="1">
        <v>5.3</v>
      </c>
      <c r="M108" s="1">
        <v>5.4</v>
      </c>
      <c r="N108" s="1">
        <v>1700</v>
      </c>
      <c r="O108" s="9"/>
      <c r="P108" s="7">
        <f t="shared" ca="1" si="25"/>
        <v>0.29499999999999993</v>
      </c>
      <c r="Q108" s="7">
        <f t="shared" ca="1" si="32"/>
        <v>1.4749999999999996E-2</v>
      </c>
      <c r="R108" s="33">
        <f t="shared" ca="1" si="26"/>
        <v>5014.9999999999991</v>
      </c>
      <c r="S108" s="33">
        <f t="shared" ca="1" si="27"/>
        <v>-11985</v>
      </c>
      <c r="T108" s="33">
        <f t="shared" ca="1" si="33"/>
        <v>5014.9999999999991</v>
      </c>
      <c r="U108" s="7">
        <f t="shared" ca="1" si="28"/>
        <v>0.41843971631205668</v>
      </c>
      <c r="V108" s="7">
        <f t="shared" ca="1" si="29"/>
        <v>-0.76791436827105497</v>
      </c>
      <c r="W108" s="33">
        <f t="shared" ca="1" si="34"/>
        <v>-11985</v>
      </c>
      <c r="X108" s="7">
        <f t="shared" ca="1" si="35"/>
        <v>-1</v>
      </c>
      <c r="Y108" s="7">
        <f t="shared" ca="1" si="36"/>
        <v>-0.58156028368794332</v>
      </c>
      <c r="Z108" s="7">
        <f t="shared" ca="1" si="30"/>
        <v>-0.16755568669087059</v>
      </c>
      <c r="AA108" s="33">
        <f t="shared" ca="1" si="37"/>
        <v>-11985</v>
      </c>
      <c r="AB108" s="7">
        <f t="shared" ca="1" si="38"/>
        <v>-2.3898305084745766</v>
      </c>
      <c r="AC108" s="7">
        <f t="shared" ca="1" si="39"/>
        <v>-0.98569539608126</v>
      </c>
      <c r="AD108" s="1"/>
      <c r="AE108" s="1"/>
      <c r="AH108" s="34"/>
    </row>
    <row r="109" spans="1:34" x14ac:dyDescent="0.25">
      <c r="A109" s="1">
        <v>106</v>
      </c>
      <c r="B109" s="25">
        <v>44007</v>
      </c>
      <c r="C109" s="10" t="s">
        <v>1758</v>
      </c>
      <c r="D109" s="1">
        <v>204.8</v>
      </c>
      <c r="E109" s="30">
        <v>1700</v>
      </c>
      <c r="F109" s="1">
        <v>185</v>
      </c>
      <c r="G109" s="1">
        <v>8.35</v>
      </c>
      <c r="H109" s="1">
        <v>180</v>
      </c>
      <c r="I109" s="1">
        <v>6.8</v>
      </c>
      <c r="J109" s="1">
        <v>528700</v>
      </c>
      <c r="K109" s="1">
        <v>5100</v>
      </c>
      <c r="L109" s="1">
        <v>6.7</v>
      </c>
      <c r="M109" s="1">
        <v>6.8</v>
      </c>
      <c r="N109" s="1">
        <v>3400</v>
      </c>
      <c r="O109" s="9"/>
      <c r="P109" s="7">
        <f t="shared" ca="1" si="25"/>
        <v>0.30999999999999994</v>
      </c>
      <c r="Q109" s="7">
        <f t="shared" ca="1" si="32"/>
        <v>1.5499999999999996E-2</v>
      </c>
      <c r="R109" s="33">
        <f t="shared" ca="1" si="26"/>
        <v>2634.9999999999995</v>
      </c>
      <c r="S109" s="33">
        <f t="shared" ca="1" si="27"/>
        <v>-5865</v>
      </c>
      <c r="T109" s="33">
        <f t="shared" ca="1" si="33"/>
        <v>2634.9999999999995</v>
      </c>
      <c r="U109" s="7">
        <f t="shared" ca="1" si="28"/>
        <v>0.44927536231884052</v>
      </c>
      <c r="V109" s="7">
        <f t="shared" ca="1" si="29"/>
        <v>-0.76791436827105497</v>
      </c>
      <c r="W109" s="33">
        <f t="shared" ca="1" si="34"/>
        <v>-5865</v>
      </c>
      <c r="X109" s="7">
        <f t="shared" ca="1" si="35"/>
        <v>-1</v>
      </c>
      <c r="Y109" s="7">
        <f t="shared" ca="1" si="36"/>
        <v>-0.55072463768115942</v>
      </c>
      <c r="Z109" s="7">
        <f t="shared" ca="1" si="30"/>
        <v>-0.16755568669087059</v>
      </c>
      <c r="AA109" s="33">
        <f t="shared" ca="1" si="37"/>
        <v>-5865</v>
      </c>
      <c r="AB109" s="7">
        <f t="shared" ca="1" si="38"/>
        <v>-2.2258064516129035</v>
      </c>
      <c r="AC109" s="7">
        <f t="shared" ca="1" si="39"/>
        <v>-0.88826554464703145</v>
      </c>
      <c r="AD109" s="1"/>
      <c r="AE109" s="1"/>
      <c r="AH109" s="34"/>
    </row>
    <row r="110" spans="1:34" x14ac:dyDescent="0.25">
      <c r="A110" s="1">
        <v>107</v>
      </c>
      <c r="B110" s="25">
        <v>44007</v>
      </c>
      <c r="C110" s="10" t="s">
        <v>539</v>
      </c>
      <c r="D110" s="1">
        <v>402.85</v>
      </c>
      <c r="E110" s="30">
        <v>1400</v>
      </c>
      <c r="F110" s="1">
        <v>370</v>
      </c>
      <c r="G110" s="1">
        <v>11.05</v>
      </c>
      <c r="H110" s="1">
        <v>300</v>
      </c>
      <c r="I110" s="1">
        <v>0.95</v>
      </c>
      <c r="J110" s="1">
        <v>113400</v>
      </c>
      <c r="K110" s="1">
        <v>1400</v>
      </c>
      <c r="L110" s="1">
        <v>0.8</v>
      </c>
      <c r="M110" s="1">
        <v>0.95</v>
      </c>
      <c r="N110" s="1">
        <v>1400</v>
      </c>
      <c r="O110" s="9"/>
      <c r="P110" s="7">
        <f t="shared" ca="1" si="25"/>
        <v>0.14428571428571429</v>
      </c>
      <c r="Q110" s="7">
        <f t="shared" ca="1" si="32"/>
        <v>7.2142857142857147E-3</v>
      </c>
      <c r="R110" s="33">
        <f t="shared" ca="1" si="26"/>
        <v>14140.000000000002</v>
      </c>
      <c r="S110" s="33">
        <f t="shared" ca="1" si="27"/>
        <v>-83860</v>
      </c>
      <c r="T110" s="33">
        <f t="shared" ca="1" si="33"/>
        <v>14140.000000000002</v>
      </c>
      <c r="U110" s="7">
        <f t="shared" ca="1" si="28"/>
        <v>0.16861435726210353</v>
      </c>
      <c r="V110" s="7">
        <f t="shared" ca="1" si="29"/>
        <v>-0.52539206244811354</v>
      </c>
      <c r="W110" s="33">
        <f t="shared" ca="1" si="34"/>
        <v>-83860</v>
      </c>
      <c r="X110" s="7">
        <f t="shared" ca="1" si="35"/>
        <v>-1</v>
      </c>
      <c r="Y110" s="7">
        <f t="shared" ca="1" si="36"/>
        <v>-0.8313856427378965</v>
      </c>
      <c r="Z110" s="7">
        <f t="shared" ca="1" si="30"/>
        <v>-0.14417502279732947</v>
      </c>
      <c r="AA110" s="33">
        <f t="shared" ca="1" si="37"/>
        <v>-21183.271107465851</v>
      </c>
      <c r="AB110" s="7">
        <f t="shared" ca="1" si="38"/>
        <v>-1.4981096964261562</v>
      </c>
      <c r="AC110" s="7">
        <f t="shared" ca="1" si="39"/>
        <v>-0.66474766958202636</v>
      </c>
      <c r="AD110" s="1"/>
      <c r="AE110" s="1"/>
      <c r="AH110" s="34"/>
    </row>
    <row r="111" spans="1:34" x14ac:dyDescent="0.25">
      <c r="A111" s="1">
        <v>108</v>
      </c>
      <c r="B111" s="25">
        <v>44007</v>
      </c>
      <c r="C111" s="10" t="s">
        <v>539</v>
      </c>
      <c r="D111" s="1">
        <v>402.85</v>
      </c>
      <c r="E111" s="30">
        <v>1400</v>
      </c>
      <c r="F111" s="1">
        <v>370</v>
      </c>
      <c r="G111" s="1">
        <v>11.05</v>
      </c>
      <c r="H111" s="1">
        <v>310</v>
      </c>
      <c r="I111" s="1">
        <v>1.05</v>
      </c>
      <c r="J111" s="1">
        <v>22400</v>
      </c>
      <c r="K111" s="1">
        <v>2800</v>
      </c>
      <c r="L111" s="1">
        <v>1.05</v>
      </c>
      <c r="M111" s="1">
        <v>1.5</v>
      </c>
      <c r="N111" s="1">
        <v>1400</v>
      </c>
      <c r="O111" s="9"/>
      <c r="P111" s="7">
        <f t="shared" ca="1" si="25"/>
        <v>0.16666666666666666</v>
      </c>
      <c r="Q111" s="7">
        <f t="shared" ca="1" si="32"/>
        <v>8.3333333333333332E-3</v>
      </c>
      <c r="R111" s="33">
        <f t="shared" ca="1" si="26"/>
        <v>14000</v>
      </c>
      <c r="S111" s="33">
        <f t="shared" ca="1" si="27"/>
        <v>-70000</v>
      </c>
      <c r="T111" s="33">
        <f t="shared" ca="1" si="33"/>
        <v>14000</v>
      </c>
      <c r="U111" s="7">
        <f t="shared" ca="1" si="28"/>
        <v>0.2</v>
      </c>
      <c r="V111" s="7">
        <f t="shared" ca="1" si="29"/>
        <v>-0.52539206244811354</v>
      </c>
      <c r="W111" s="33">
        <f t="shared" ca="1" si="34"/>
        <v>-70000</v>
      </c>
      <c r="X111" s="7">
        <f t="shared" ca="1" si="35"/>
        <v>-1</v>
      </c>
      <c r="Y111" s="7">
        <f t="shared" ca="1" si="36"/>
        <v>-0.8</v>
      </c>
      <c r="Z111" s="7">
        <f t="shared" ca="1" si="30"/>
        <v>-0.14417502279732947</v>
      </c>
      <c r="AA111" s="33">
        <f t="shared" ca="1" si="37"/>
        <v>-21323.271107465851</v>
      </c>
      <c r="AB111" s="7">
        <f t="shared" ca="1" si="38"/>
        <v>-1.5230907933904179</v>
      </c>
      <c r="AC111" s="7">
        <f t="shared" ca="1" si="39"/>
        <v>-0.66154539669520895</v>
      </c>
      <c r="AD111" s="1"/>
      <c r="AE111" s="1"/>
      <c r="AH111" s="34"/>
    </row>
    <row r="112" spans="1:34" x14ac:dyDescent="0.25">
      <c r="A112" s="1">
        <v>109</v>
      </c>
      <c r="B112" s="25">
        <v>44007</v>
      </c>
      <c r="C112" s="10" t="s">
        <v>539</v>
      </c>
      <c r="D112" s="1">
        <v>402.85</v>
      </c>
      <c r="E112" s="30">
        <v>1400</v>
      </c>
      <c r="F112" s="1">
        <v>370</v>
      </c>
      <c r="G112" s="1">
        <v>11.05</v>
      </c>
      <c r="H112" s="1">
        <v>320</v>
      </c>
      <c r="I112" s="1">
        <v>2.1</v>
      </c>
      <c r="J112" s="1">
        <v>39200</v>
      </c>
      <c r="K112" s="1">
        <v>1400</v>
      </c>
      <c r="L112" s="1">
        <v>1.8</v>
      </c>
      <c r="M112" s="1">
        <v>2.6</v>
      </c>
      <c r="N112" s="1">
        <v>7000</v>
      </c>
      <c r="O112" s="9"/>
      <c r="P112" s="7">
        <f t="shared" ca="1" si="25"/>
        <v>0.17900000000000002</v>
      </c>
      <c r="Q112" s="7">
        <f t="shared" ca="1" si="32"/>
        <v>8.9500000000000014E-3</v>
      </c>
      <c r="R112" s="33">
        <f t="shared" ca="1" si="26"/>
        <v>12530.000000000002</v>
      </c>
      <c r="S112" s="33">
        <f t="shared" ca="1" si="27"/>
        <v>-57470</v>
      </c>
      <c r="T112" s="33">
        <f t="shared" ca="1" si="33"/>
        <v>12530.000000000002</v>
      </c>
      <c r="U112" s="7">
        <f t="shared" ca="1" si="28"/>
        <v>0.21802679658952501</v>
      </c>
      <c r="V112" s="7">
        <f t="shared" ca="1" si="29"/>
        <v>-0.52539206244811354</v>
      </c>
      <c r="W112" s="33">
        <f t="shared" ca="1" si="34"/>
        <v>-57470</v>
      </c>
      <c r="X112" s="7">
        <f t="shared" ca="1" si="35"/>
        <v>-1</v>
      </c>
      <c r="Y112" s="7">
        <f t="shared" ca="1" si="36"/>
        <v>-0.78197320341047494</v>
      </c>
      <c r="Z112" s="7">
        <f t="shared" ca="1" si="30"/>
        <v>-0.14417502279732947</v>
      </c>
      <c r="AA112" s="33">
        <f t="shared" ca="1" si="37"/>
        <v>-22793.271107465851</v>
      </c>
      <c r="AB112" s="7">
        <f t="shared" ca="1" si="38"/>
        <v>-1.8190958585367796</v>
      </c>
      <c r="AC112" s="7">
        <f t="shared" ca="1" si="39"/>
        <v>-0.80053453097362726</v>
      </c>
      <c r="AD112" s="1"/>
      <c r="AE112" s="1"/>
      <c r="AH112" s="34"/>
    </row>
    <row r="113" spans="1:34" x14ac:dyDescent="0.25">
      <c r="A113" s="1">
        <v>110</v>
      </c>
      <c r="B113" s="25">
        <v>44007</v>
      </c>
      <c r="C113" s="10" t="s">
        <v>539</v>
      </c>
      <c r="D113" s="1">
        <v>402.85</v>
      </c>
      <c r="E113" s="30">
        <v>1400</v>
      </c>
      <c r="F113" s="1">
        <v>370</v>
      </c>
      <c r="G113" s="1">
        <v>11.05</v>
      </c>
      <c r="H113" s="1">
        <v>330</v>
      </c>
      <c r="I113" s="1">
        <v>2.2999999999999998</v>
      </c>
      <c r="J113" s="1">
        <v>64400</v>
      </c>
      <c r="K113" s="1">
        <v>1400</v>
      </c>
      <c r="L113" s="1">
        <v>2.35</v>
      </c>
      <c r="M113" s="1">
        <v>4.1500000000000004</v>
      </c>
      <c r="N113" s="1">
        <v>25200</v>
      </c>
      <c r="O113" s="9"/>
      <c r="P113" s="7">
        <f t="shared" ca="1" si="25"/>
        <v>0.21875</v>
      </c>
      <c r="Q113" s="7">
        <f t="shared" ca="1" si="32"/>
        <v>1.0937499999999999E-2</v>
      </c>
      <c r="R113" s="33">
        <f t="shared" ca="1" si="26"/>
        <v>12250</v>
      </c>
      <c r="S113" s="33">
        <f t="shared" ca="1" si="27"/>
        <v>-43750</v>
      </c>
      <c r="T113" s="33">
        <f t="shared" ca="1" si="33"/>
        <v>12250</v>
      </c>
      <c r="U113" s="7">
        <f t="shared" ca="1" si="28"/>
        <v>0.28000000000000003</v>
      </c>
      <c r="V113" s="7">
        <f t="shared" ca="1" si="29"/>
        <v>-0.52539206244811354</v>
      </c>
      <c r="W113" s="33">
        <f t="shared" ca="1" si="34"/>
        <v>-43750</v>
      </c>
      <c r="X113" s="7">
        <f t="shared" ca="1" si="35"/>
        <v>-1</v>
      </c>
      <c r="Y113" s="7">
        <f t="shared" ca="1" si="36"/>
        <v>-0.72</v>
      </c>
      <c r="Z113" s="7">
        <f t="shared" ca="1" si="30"/>
        <v>-0.14417502279732947</v>
      </c>
      <c r="AA113" s="33">
        <f t="shared" ca="1" si="37"/>
        <v>-23073.271107465851</v>
      </c>
      <c r="AB113" s="7">
        <f t="shared" ca="1" si="38"/>
        <v>-1.8835323353033349</v>
      </c>
      <c r="AC113" s="7">
        <f t="shared" ca="1" si="39"/>
        <v>-0.80176616765166742</v>
      </c>
      <c r="AD113" s="1"/>
      <c r="AE113" s="1"/>
      <c r="AH113" s="34"/>
    </row>
    <row r="114" spans="1:34" x14ac:dyDescent="0.25">
      <c r="A114" s="1">
        <v>111</v>
      </c>
      <c r="B114" s="25">
        <v>44007</v>
      </c>
      <c r="C114" s="10" t="s">
        <v>539</v>
      </c>
      <c r="D114" s="1">
        <v>402.85</v>
      </c>
      <c r="E114" s="30">
        <v>1400</v>
      </c>
      <c r="F114" s="1">
        <v>370</v>
      </c>
      <c r="G114" s="1">
        <v>11.05</v>
      </c>
      <c r="H114" s="1">
        <v>340</v>
      </c>
      <c r="I114" s="1">
        <v>3.9</v>
      </c>
      <c r="J114" s="1">
        <v>123200</v>
      </c>
      <c r="K114" s="1">
        <v>1400</v>
      </c>
      <c r="L114" s="1">
        <v>3.8</v>
      </c>
      <c r="M114" s="1">
        <v>4.05</v>
      </c>
      <c r="N114" s="1">
        <v>2800</v>
      </c>
      <c r="O114" s="9"/>
      <c r="P114" s="7">
        <f t="shared" ca="1" si="25"/>
        <v>0.23833333333333334</v>
      </c>
      <c r="Q114" s="7">
        <f t="shared" ca="1" si="32"/>
        <v>1.1916666666666667E-2</v>
      </c>
      <c r="R114" s="33">
        <f t="shared" ca="1" si="26"/>
        <v>10010</v>
      </c>
      <c r="S114" s="33">
        <f t="shared" ca="1" si="27"/>
        <v>-31990</v>
      </c>
      <c r="T114" s="33">
        <f t="shared" ca="1" si="33"/>
        <v>10010</v>
      </c>
      <c r="U114" s="7">
        <f t="shared" ca="1" si="28"/>
        <v>0.31291028446389496</v>
      </c>
      <c r="V114" s="7">
        <f t="shared" ca="1" si="29"/>
        <v>-0.52539206244811354</v>
      </c>
      <c r="W114" s="33">
        <f t="shared" ca="1" si="34"/>
        <v>-31990</v>
      </c>
      <c r="X114" s="7">
        <f t="shared" ca="1" si="35"/>
        <v>-1</v>
      </c>
      <c r="Y114" s="7">
        <f t="shared" ca="1" si="36"/>
        <v>-0.68708971553610509</v>
      </c>
      <c r="Z114" s="7">
        <f t="shared" ca="1" si="30"/>
        <v>-0.14417502279732947</v>
      </c>
      <c r="AA114" s="33">
        <f t="shared" ca="1" si="37"/>
        <v>-25313.271107465851</v>
      </c>
      <c r="AB114" s="7">
        <f t="shared" ca="1" si="38"/>
        <v>-2.5287983124341511</v>
      </c>
      <c r="AC114" s="7">
        <f t="shared" ca="1" si="39"/>
        <v>-1.107944013985128</v>
      </c>
      <c r="AD114" s="1"/>
      <c r="AE114" s="1"/>
      <c r="AH114" s="34"/>
    </row>
    <row r="115" spans="1:34" x14ac:dyDescent="0.25">
      <c r="A115" s="1">
        <v>112</v>
      </c>
      <c r="B115" s="25">
        <v>44007</v>
      </c>
      <c r="C115" s="10" t="s">
        <v>539</v>
      </c>
      <c r="D115" s="1">
        <v>402.85</v>
      </c>
      <c r="E115" s="30">
        <v>1400</v>
      </c>
      <c r="F115" s="1">
        <v>370</v>
      </c>
      <c r="G115" s="1">
        <v>11.05</v>
      </c>
      <c r="H115" s="1">
        <v>350</v>
      </c>
      <c r="I115" s="1">
        <v>5.9</v>
      </c>
      <c r="J115" s="1">
        <v>179200</v>
      </c>
      <c r="K115" s="1">
        <v>1400</v>
      </c>
      <c r="L115" s="1">
        <v>5.55</v>
      </c>
      <c r="M115" s="1">
        <v>5.7</v>
      </c>
      <c r="N115" s="1">
        <v>2800</v>
      </c>
      <c r="O115" s="9"/>
      <c r="P115" s="7">
        <f t="shared" ca="1" si="25"/>
        <v>0.25750000000000001</v>
      </c>
      <c r="Q115" s="7">
        <f t="shared" ca="1" si="32"/>
        <v>1.2875000000000001E-2</v>
      </c>
      <c r="R115" s="33">
        <f t="shared" ca="1" si="26"/>
        <v>7210.0000000000009</v>
      </c>
      <c r="S115" s="33">
        <f t="shared" ca="1" si="27"/>
        <v>-20790</v>
      </c>
      <c r="T115" s="33">
        <f t="shared" ca="1" si="33"/>
        <v>7210.0000000000009</v>
      </c>
      <c r="U115" s="7">
        <f t="shared" ca="1" si="28"/>
        <v>0.34680134680134683</v>
      </c>
      <c r="V115" s="7">
        <f t="shared" ca="1" si="29"/>
        <v>-0.52539206244811354</v>
      </c>
      <c r="W115" s="33">
        <f t="shared" ca="1" si="34"/>
        <v>-20790</v>
      </c>
      <c r="X115" s="7">
        <f t="shared" ca="1" si="35"/>
        <v>-1</v>
      </c>
      <c r="Y115" s="7">
        <f t="shared" ca="1" si="36"/>
        <v>-0.65319865319865311</v>
      </c>
      <c r="Z115" s="7">
        <f t="shared" ca="1" si="30"/>
        <v>-0.14417502279732947</v>
      </c>
      <c r="AA115" s="33">
        <f t="shared" ca="1" si="37"/>
        <v>-20790</v>
      </c>
      <c r="AB115" s="7">
        <f t="shared" ca="1" si="38"/>
        <v>-2.8834951456310676</v>
      </c>
      <c r="AC115" s="7">
        <f t="shared" ca="1" si="39"/>
        <v>-1.2683468994148603</v>
      </c>
      <c r="AD115" s="1"/>
      <c r="AE115" s="1"/>
      <c r="AH115" s="34"/>
    </row>
    <row r="116" spans="1:34" x14ac:dyDescent="0.25">
      <c r="A116" s="1">
        <v>113</v>
      </c>
      <c r="B116" s="25">
        <v>44007</v>
      </c>
      <c r="C116" s="10" t="s">
        <v>539</v>
      </c>
      <c r="D116" s="1">
        <v>402.85</v>
      </c>
      <c r="E116" s="30">
        <v>1400</v>
      </c>
      <c r="F116" s="1">
        <v>370</v>
      </c>
      <c r="G116" s="1">
        <v>11.05</v>
      </c>
      <c r="H116" s="1">
        <v>360</v>
      </c>
      <c r="I116" s="1">
        <v>8</v>
      </c>
      <c r="J116" s="1">
        <v>93800</v>
      </c>
      <c r="K116" s="1">
        <v>1400</v>
      </c>
      <c r="L116" s="1">
        <v>7.55</v>
      </c>
      <c r="M116" s="1">
        <v>7.75</v>
      </c>
      <c r="N116" s="1">
        <v>1400</v>
      </c>
      <c r="O116" s="9"/>
      <c r="P116" s="7">
        <f t="shared" ca="1" si="25"/>
        <v>0.30500000000000005</v>
      </c>
      <c r="Q116" s="7">
        <f t="shared" ca="1" si="32"/>
        <v>1.5250000000000003E-2</v>
      </c>
      <c r="R116" s="33">
        <f t="shared" ca="1" si="26"/>
        <v>4270.0000000000009</v>
      </c>
      <c r="S116" s="33">
        <f t="shared" ca="1" si="27"/>
        <v>-9730</v>
      </c>
      <c r="T116" s="33">
        <f t="shared" ca="1" si="33"/>
        <v>4270.0000000000009</v>
      </c>
      <c r="U116" s="7">
        <f t="shared" ca="1" si="28"/>
        <v>0.43884892086330946</v>
      </c>
      <c r="V116" s="7">
        <f t="shared" ca="1" si="29"/>
        <v>-0.52539206244811354</v>
      </c>
      <c r="W116" s="33">
        <f t="shared" ca="1" si="34"/>
        <v>-9730</v>
      </c>
      <c r="X116" s="7">
        <f t="shared" ca="1" si="35"/>
        <v>-1</v>
      </c>
      <c r="Y116" s="7">
        <f t="shared" ca="1" si="36"/>
        <v>-0.56115107913669049</v>
      </c>
      <c r="Z116" s="7">
        <f t="shared" ca="1" si="30"/>
        <v>-0.14417502279732947</v>
      </c>
      <c r="AA116" s="33">
        <f t="shared" ca="1" si="37"/>
        <v>-9730</v>
      </c>
      <c r="AB116" s="7">
        <f t="shared" ca="1" si="38"/>
        <v>-2.2786885245901636</v>
      </c>
      <c r="AC116" s="7">
        <f t="shared" ca="1" si="39"/>
        <v>-0.91991980186342703</v>
      </c>
      <c r="AD116" s="1"/>
      <c r="AE116" s="1"/>
      <c r="AH116" s="34"/>
    </row>
    <row r="117" spans="1:34" x14ac:dyDescent="0.25">
      <c r="A117" s="1">
        <v>114</v>
      </c>
      <c r="B117" s="25">
        <v>44007</v>
      </c>
      <c r="C117" s="10" t="s">
        <v>1530</v>
      </c>
      <c r="D117" s="1">
        <v>502.95</v>
      </c>
      <c r="E117" s="30">
        <v>1250</v>
      </c>
      <c r="F117" s="1">
        <v>460</v>
      </c>
      <c r="G117" s="1">
        <v>8</v>
      </c>
      <c r="H117" s="1">
        <v>390</v>
      </c>
      <c r="I117" s="1">
        <v>0.65</v>
      </c>
      <c r="J117" s="1">
        <v>20000</v>
      </c>
      <c r="K117" s="1">
        <v>3750</v>
      </c>
      <c r="L117" s="1">
        <v>0.55000000000000004</v>
      </c>
      <c r="M117" s="1">
        <v>0.8</v>
      </c>
      <c r="N117" s="1">
        <v>1250</v>
      </c>
      <c r="O117" s="9"/>
      <c r="P117" s="7">
        <f t="shared" ca="1" si="25"/>
        <v>0.105</v>
      </c>
      <c r="Q117" s="7">
        <f t="shared" ca="1" si="32"/>
        <v>5.2499999999999995E-3</v>
      </c>
      <c r="R117" s="33">
        <f t="shared" ca="1" si="26"/>
        <v>9187.5</v>
      </c>
      <c r="S117" s="33">
        <f t="shared" ca="1" si="27"/>
        <v>-78312.5</v>
      </c>
      <c r="T117" s="33">
        <f t="shared" ca="1" si="33"/>
        <v>9187.5</v>
      </c>
      <c r="U117" s="7">
        <f t="shared" ca="1" si="28"/>
        <v>0.11731843575418995</v>
      </c>
      <c r="V117" s="7">
        <f t="shared" ca="1" si="29"/>
        <v>-0.2180148596262366</v>
      </c>
      <c r="W117" s="33">
        <f t="shared" ca="1" si="34"/>
        <v>-74188.217061269577</v>
      </c>
      <c r="X117" s="7">
        <f t="shared" ca="1" si="35"/>
        <v>-0.94733557300902893</v>
      </c>
      <c r="Y117" s="7">
        <f t="shared" ca="1" si="36"/>
        <v>-0.83001713725483894</v>
      </c>
      <c r="Z117" s="7">
        <f t="shared" ca="1" si="30"/>
        <v>-6.4674176011004544E-2</v>
      </c>
      <c r="AA117" s="33">
        <f t="shared" ca="1" si="37"/>
        <v>9187.5</v>
      </c>
      <c r="AB117" s="7">
        <f t="shared" ca="1" si="38"/>
        <v>1</v>
      </c>
      <c r="AC117" s="7">
        <f t="shared" ca="1" si="39"/>
        <v>0.55865921787709494</v>
      </c>
      <c r="AD117" s="1"/>
      <c r="AE117" s="1"/>
      <c r="AH117" s="34"/>
    </row>
    <row r="118" spans="1:34" x14ac:dyDescent="0.25">
      <c r="A118" s="1">
        <v>115</v>
      </c>
      <c r="B118" s="25">
        <v>44007</v>
      </c>
      <c r="C118" s="10" t="s">
        <v>1530</v>
      </c>
      <c r="D118" s="1">
        <v>502.95</v>
      </c>
      <c r="E118" s="30">
        <v>1250</v>
      </c>
      <c r="F118" s="1">
        <v>460</v>
      </c>
      <c r="G118" s="1">
        <v>8</v>
      </c>
      <c r="H118" s="1">
        <v>400</v>
      </c>
      <c r="I118" s="1">
        <v>0.8</v>
      </c>
      <c r="J118" s="1">
        <v>878750</v>
      </c>
      <c r="K118" s="1">
        <v>5000</v>
      </c>
      <c r="L118" s="1">
        <v>0.75</v>
      </c>
      <c r="M118" s="1">
        <v>0.8</v>
      </c>
      <c r="N118" s="1">
        <v>3750</v>
      </c>
      <c r="O118" s="9"/>
      <c r="P118" s="7">
        <f t="shared" ca="1" si="25"/>
        <v>0.12000000000000001</v>
      </c>
      <c r="Q118" s="7">
        <f t="shared" ca="1" si="32"/>
        <v>6.0000000000000001E-3</v>
      </c>
      <c r="R118" s="33">
        <f t="shared" ca="1" si="26"/>
        <v>9000</v>
      </c>
      <c r="S118" s="33">
        <f t="shared" ca="1" si="27"/>
        <v>-66000</v>
      </c>
      <c r="T118" s="33">
        <f t="shared" ca="1" si="33"/>
        <v>9000</v>
      </c>
      <c r="U118" s="7">
        <f t="shared" ca="1" si="28"/>
        <v>0.13636363636363635</v>
      </c>
      <c r="V118" s="7">
        <f t="shared" ca="1" si="29"/>
        <v>-0.2180148596262366</v>
      </c>
      <c r="W118" s="33">
        <f t="shared" ca="1" si="34"/>
        <v>-66000</v>
      </c>
      <c r="X118" s="7">
        <f t="shared" ca="1" si="35"/>
        <v>-1</v>
      </c>
      <c r="Y118" s="7">
        <f t="shared" ca="1" si="36"/>
        <v>-0.86363636363636365</v>
      </c>
      <c r="Z118" s="7">
        <f t="shared" ca="1" si="30"/>
        <v>-6.4674176011004544E-2</v>
      </c>
      <c r="AA118" s="33">
        <f t="shared" ca="1" si="37"/>
        <v>9000</v>
      </c>
      <c r="AB118" s="7">
        <f t="shared" ca="1" si="38"/>
        <v>1</v>
      </c>
      <c r="AC118" s="7">
        <f t="shared" ca="1" si="39"/>
        <v>0.56818181818181812</v>
      </c>
      <c r="AD118" s="1"/>
      <c r="AE118" s="1"/>
      <c r="AH118" s="34"/>
    </row>
    <row r="119" spans="1:34" x14ac:dyDescent="0.25">
      <c r="A119" s="1">
        <v>116</v>
      </c>
      <c r="B119" s="25">
        <v>44007</v>
      </c>
      <c r="C119" s="10" t="s">
        <v>1530</v>
      </c>
      <c r="D119" s="1">
        <v>502.95</v>
      </c>
      <c r="E119" s="30">
        <v>1250</v>
      </c>
      <c r="F119" s="1">
        <v>460</v>
      </c>
      <c r="G119" s="1">
        <v>8</v>
      </c>
      <c r="H119" s="1">
        <v>410</v>
      </c>
      <c r="I119" s="1">
        <v>1.2</v>
      </c>
      <c r="J119" s="1">
        <v>116250</v>
      </c>
      <c r="K119" s="1">
        <v>1250</v>
      </c>
      <c r="L119" s="1">
        <v>1.2</v>
      </c>
      <c r="M119" s="1">
        <v>1.35</v>
      </c>
      <c r="N119" s="1">
        <v>2500</v>
      </c>
      <c r="O119" s="9"/>
      <c r="P119" s="7">
        <f t="shared" ca="1" si="25"/>
        <v>0.13600000000000001</v>
      </c>
      <c r="Q119" s="7">
        <f t="shared" ca="1" si="32"/>
        <v>6.8000000000000005E-3</v>
      </c>
      <c r="R119" s="33">
        <f t="shared" ca="1" si="26"/>
        <v>8500</v>
      </c>
      <c r="S119" s="33">
        <f t="shared" ca="1" si="27"/>
        <v>-54000</v>
      </c>
      <c r="T119" s="33">
        <f t="shared" ca="1" si="33"/>
        <v>8500</v>
      </c>
      <c r="U119" s="7">
        <f t="shared" ca="1" si="28"/>
        <v>0.15740740740740741</v>
      </c>
      <c r="V119" s="7">
        <f t="shared" ca="1" si="29"/>
        <v>-0.2180148596262366</v>
      </c>
      <c r="W119" s="33">
        <f t="shared" ca="1" si="34"/>
        <v>-54000</v>
      </c>
      <c r="X119" s="7">
        <f t="shared" ca="1" si="35"/>
        <v>-1</v>
      </c>
      <c r="Y119" s="7">
        <f t="shared" ca="1" si="36"/>
        <v>-0.84259259259259256</v>
      </c>
      <c r="Z119" s="7">
        <f t="shared" ca="1" si="30"/>
        <v>-6.4674176011004544E-2</v>
      </c>
      <c r="AA119" s="33">
        <f t="shared" ca="1" si="37"/>
        <v>8500</v>
      </c>
      <c r="AB119" s="7">
        <f t="shared" ca="1" si="38"/>
        <v>1</v>
      </c>
      <c r="AC119" s="7">
        <f t="shared" ca="1" si="39"/>
        <v>0.57870370370370372</v>
      </c>
      <c r="AD119" s="1"/>
      <c r="AE119" s="1"/>
      <c r="AH119" s="34"/>
    </row>
    <row r="120" spans="1:34" x14ac:dyDescent="0.25">
      <c r="A120" s="1">
        <v>117</v>
      </c>
      <c r="B120" s="25">
        <v>44007</v>
      </c>
      <c r="C120" s="10" t="s">
        <v>1530</v>
      </c>
      <c r="D120" s="1">
        <v>502.95</v>
      </c>
      <c r="E120" s="30">
        <v>1250</v>
      </c>
      <c r="F120" s="1">
        <v>460</v>
      </c>
      <c r="G120" s="1">
        <v>8</v>
      </c>
      <c r="H120" s="1">
        <v>420</v>
      </c>
      <c r="I120" s="1">
        <v>2.1</v>
      </c>
      <c r="J120" s="1">
        <v>301250</v>
      </c>
      <c r="K120" s="1">
        <v>3750</v>
      </c>
      <c r="L120" s="1">
        <v>2.1</v>
      </c>
      <c r="M120" s="1">
        <v>2.25</v>
      </c>
      <c r="N120" s="1">
        <v>2500</v>
      </c>
      <c r="O120" s="9"/>
      <c r="P120" s="7">
        <f t="shared" ca="1" si="25"/>
        <v>0.14750000000000002</v>
      </c>
      <c r="Q120" s="7">
        <f t="shared" ca="1" si="32"/>
        <v>7.3750000000000013E-3</v>
      </c>
      <c r="R120" s="33">
        <f t="shared" ca="1" si="26"/>
        <v>7375</v>
      </c>
      <c r="S120" s="33">
        <f t="shared" ca="1" si="27"/>
        <v>-42625</v>
      </c>
      <c r="T120" s="33">
        <f t="shared" ca="1" si="33"/>
        <v>7375</v>
      </c>
      <c r="U120" s="7">
        <f t="shared" ca="1" si="28"/>
        <v>0.17302052785923755</v>
      </c>
      <c r="V120" s="7">
        <f t="shared" ca="1" si="29"/>
        <v>-0.2180148596262366</v>
      </c>
      <c r="W120" s="33">
        <f t="shared" ca="1" si="34"/>
        <v>-42625</v>
      </c>
      <c r="X120" s="7">
        <f t="shared" ca="1" si="35"/>
        <v>-1</v>
      </c>
      <c r="Y120" s="7">
        <f t="shared" ca="1" si="36"/>
        <v>-0.82697947214076239</v>
      </c>
      <c r="Z120" s="7">
        <f t="shared" ca="1" si="30"/>
        <v>-6.4674176011004544E-2</v>
      </c>
      <c r="AA120" s="33">
        <f t="shared" ca="1" si="37"/>
        <v>7375</v>
      </c>
      <c r="AB120" s="7">
        <f t="shared" ca="1" si="38"/>
        <v>1</v>
      </c>
      <c r="AC120" s="7">
        <f t="shared" ca="1" si="39"/>
        <v>0.5865102639296188</v>
      </c>
      <c r="AD120" s="1"/>
      <c r="AE120" s="1"/>
      <c r="AH120" s="34"/>
    </row>
    <row r="121" spans="1:34" x14ac:dyDescent="0.25">
      <c r="A121" s="1">
        <v>118</v>
      </c>
      <c r="B121" s="25">
        <v>44007</v>
      </c>
      <c r="C121" s="10" t="s">
        <v>1530</v>
      </c>
      <c r="D121" s="1">
        <v>502.95</v>
      </c>
      <c r="E121" s="30">
        <v>1250</v>
      </c>
      <c r="F121" s="1">
        <v>460</v>
      </c>
      <c r="G121" s="1">
        <v>8</v>
      </c>
      <c r="H121" s="1">
        <v>430</v>
      </c>
      <c r="I121" s="1">
        <v>2.85</v>
      </c>
      <c r="J121" s="1">
        <v>241250</v>
      </c>
      <c r="K121" s="1">
        <v>6250</v>
      </c>
      <c r="L121" s="1">
        <v>2.9</v>
      </c>
      <c r="M121" s="1">
        <v>3.05</v>
      </c>
      <c r="N121" s="1">
        <v>1250</v>
      </c>
      <c r="O121" s="9"/>
      <c r="P121" s="7">
        <f t="shared" ca="1" si="25"/>
        <v>0.17166666666666669</v>
      </c>
      <c r="Q121" s="7">
        <f t="shared" ca="1" si="32"/>
        <v>8.5833333333333352E-3</v>
      </c>
      <c r="R121" s="33">
        <f t="shared" ca="1" si="26"/>
        <v>6437.5</v>
      </c>
      <c r="S121" s="33">
        <f t="shared" ca="1" si="27"/>
        <v>-31062.5</v>
      </c>
      <c r="T121" s="33">
        <f t="shared" ca="1" si="33"/>
        <v>6437.5</v>
      </c>
      <c r="U121" s="7">
        <f t="shared" ca="1" si="28"/>
        <v>0.20724346076458752</v>
      </c>
      <c r="V121" s="7">
        <f t="shared" ca="1" si="29"/>
        <v>-0.2180148596262366</v>
      </c>
      <c r="W121" s="33">
        <f t="shared" ca="1" si="34"/>
        <v>-31062.5</v>
      </c>
      <c r="X121" s="7">
        <f t="shared" ca="1" si="35"/>
        <v>-1</v>
      </c>
      <c r="Y121" s="7">
        <f t="shared" ca="1" si="36"/>
        <v>-0.79275653923541245</v>
      </c>
      <c r="Z121" s="7">
        <f t="shared" ca="1" si="30"/>
        <v>-6.4674176011004544E-2</v>
      </c>
      <c r="AA121" s="33">
        <f t="shared" ca="1" si="37"/>
        <v>6437.5</v>
      </c>
      <c r="AB121" s="7">
        <f t="shared" ca="1" si="38"/>
        <v>1</v>
      </c>
      <c r="AC121" s="7">
        <f t="shared" ca="1" si="39"/>
        <v>0.60362173038229372</v>
      </c>
      <c r="AD121" s="1"/>
      <c r="AE121" s="1"/>
      <c r="AH121" s="34"/>
    </row>
    <row r="122" spans="1:34" x14ac:dyDescent="0.25">
      <c r="A122" s="1">
        <v>119</v>
      </c>
      <c r="B122" s="25">
        <v>44007</v>
      </c>
      <c r="C122" s="10" t="s">
        <v>1530</v>
      </c>
      <c r="D122" s="1">
        <v>502.95</v>
      </c>
      <c r="E122" s="30">
        <v>1250</v>
      </c>
      <c r="F122" s="1">
        <v>460</v>
      </c>
      <c r="G122" s="1">
        <v>8</v>
      </c>
      <c r="H122" s="1">
        <v>440</v>
      </c>
      <c r="I122" s="1">
        <v>4.25</v>
      </c>
      <c r="J122" s="1">
        <v>331250</v>
      </c>
      <c r="K122" s="1">
        <v>6250</v>
      </c>
      <c r="L122" s="1">
        <v>4.2</v>
      </c>
      <c r="M122" s="1">
        <v>4.3</v>
      </c>
      <c r="N122" s="1">
        <v>1250</v>
      </c>
      <c r="O122" s="9"/>
      <c r="P122" s="7">
        <f t="shared" ca="1" si="25"/>
        <v>0.1875</v>
      </c>
      <c r="Q122" s="7">
        <f t="shared" ca="1" si="32"/>
        <v>9.3749999999999997E-3</v>
      </c>
      <c r="R122" s="33">
        <f t="shared" ca="1" si="26"/>
        <v>4687.5</v>
      </c>
      <c r="S122" s="33">
        <f t="shared" ca="1" si="27"/>
        <v>-20312.5</v>
      </c>
      <c r="T122" s="33">
        <f t="shared" ca="1" si="33"/>
        <v>4687.5</v>
      </c>
      <c r="U122" s="7">
        <f t="shared" ca="1" si="28"/>
        <v>0.23076923076923078</v>
      </c>
      <c r="V122" s="7">
        <f t="shared" ca="1" si="29"/>
        <v>-0.2180148596262366</v>
      </c>
      <c r="W122" s="33">
        <f t="shared" ca="1" si="34"/>
        <v>-20312.5</v>
      </c>
      <c r="X122" s="7">
        <f t="shared" ca="1" si="35"/>
        <v>-1</v>
      </c>
      <c r="Y122" s="7">
        <f t="shared" ca="1" si="36"/>
        <v>-0.76923076923076916</v>
      </c>
      <c r="Z122" s="7">
        <f t="shared" ca="1" si="30"/>
        <v>-6.4674176011004544E-2</v>
      </c>
      <c r="AA122" s="33">
        <f t="shared" ca="1" si="37"/>
        <v>4687.5</v>
      </c>
      <c r="AB122" s="7">
        <f t="shared" ca="1" si="38"/>
        <v>1</v>
      </c>
      <c r="AC122" s="7">
        <f t="shared" ca="1" si="39"/>
        <v>0.61538461538461542</v>
      </c>
      <c r="AD122" s="1"/>
      <c r="AE122" s="1"/>
      <c r="AH122" s="34"/>
    </row>
    <row r="123" spans="1:34" x14ac:dyDescent="0.25">
      <c r="A123" s="1">
        <v>120</v>
      </c>
      <c r="B123" s="25">
        <v>44007</v>
      </c>
      <c r="C123" s="10" t="s">
        <v>1530</v>
      </c>
      <c r="D123" s="1">
        <v>502.95</v>
      </c>
      <c r="E123" s="30">
        <v>1250</v>
      </c>
      <c r="F123" s="1">
        <v>460</v>
      </c>
      <c r="G123" s="1">
        <v>8</v>
      </c>
      <c r="H123" s="1">
        <v>450</v>
      </c>
      <c r="I123" s="1">
        <v>6.1</v>
      </c>
      <c r="J123" s="1">
        <v>536250</v>
      </c>
      <c r="K123" s="1">
        <v>3750</v>
      </c>
      <c r="L123" s="1">
        <v>6.05</v>
      </c>
      <c r="M123" s="1">
        <v>6.15</v>
      </c>
      <c r="N123" s="1">
        <v>3750</v>
      </c>
      <c r="O123" s="9"/>
      <c r="P123" s="7">
        <f t="shared" ca="1" si="25"/>
        <v>0.19000000000000003</v>
      </c>
      <c r="Q123" s="7">
        <f t="shared" ca="1" si="32"/>
        <v>9.5000000000000015E-3</v>
      </c>
      <c r="R123" s="33">
        <f t="shared" ca="1" si="26"/>
        <v>2375.0000000000005</v>
      </c>
      <c r="S123" s="33">
        <f t="shared" ca="1" si="27"/>
        <v>-10125</v>
      </c>
      <c r="T123" s="33">
        <f t="shared" ca="1" si="33"/>
        <v>2375.0000000000005</v>
      </c>
      <c r="U123" s="7">
        <f t="shared" ca="1" si="28"/>
        <v>0.23456790123456794</v>
      </c>
      <c r="V123" s="7">
        <f t="shared" ca="1" si="29"/>
        <v>-0.2180148596262366</v>
      </c>
      <c r="W123" s="33">
        <f t="shared" ca="1" si="34"/>
        <v>-10125</v>
      </c>
      <c r="X123" s="7">
        <f t="shared" ca="1" si="35"/>
        <v>-1</v>
      </c>
      <c r="Y123" s="7">
        <f t="shared" ca="1" si="36"/>
        <v>-0.76543209876543206</v>
      </c>
      <c r="Z123" s="7">
        <f t="shared" ca="1" si="30"/>
        <v>-6.4674176011004544E-2</v>
      </c>
      <c r="AA123" s="33">
        <f t="shared" ca="1" si="37"/>
        <v>2375.0000000000005</v>
      </c>
      <c r="AB123" s="7">
        <f t="shared" ca="1" si="38"/>
        <v>1</v>
      </c>
      <c r="AC123" s="7">
        <f t="shared" ca="1" si="39"/>
        <v>0.61728395061728403</v>
      </c>
      <c r="AD123" s="1"/>
      <c r="AE123" s="1"/>
      <c r="AH123" s="34"/>
    </row>
    <row r="124" spans="1:34" x14ac:dyDescent="0.25">
      <c r="A124" s="1">
        <v>121</v>
      </c>
      <c r="B124" s="25">
        <v>44007</v>
      </c>
      <c r="C124" s="10" t="s">
        <v>1199</v>
      </c>
      <c r="D124" s="1">
        <v>1499</v>
      </c>
      <c r="E124" s="30">
        <v>500</v>
      </c>
      <c r="F124" s="1">
        <v>1360</v>
      </c>
      <c r="G124" s="1">
        <v>14.35</v>
      </c>
      <c r="H124" s="1">
        <v>1300</v>
      </c>
      <c r="I124" s="1">
        <v>3.85</v>
      </c>
      <c r="J124" s="1">
        <v>36500</v>
      </c>
      <c r="K124" s="1">
        <v>1000</v>
      </c>
      <c r="L124" s="1">
        <v>3.9</v>
      </c>
      <c r="M124" s="1">
        <v>4.2</v>
      </c>
      <c r="N124" s="1">
        <v>1000</v>
      </c>
      <c r="O124" s="9"/>
      <c r="P124" s="7">
        <f t="shared" ca="1" si="25"/>
        <v>0.17499999999999999</v>
      </c>
      <c r="Q124" s="7">
        <f t="shared" ca="1" si="32"/>
        <v>8.7499999999999991E-3</v>
      </c>
      <c r="R124" s="33">
        <f t="shared" ca="1" si="26"/>
        <v>5250</v>
      </c>
      <c r="S124" s="33">
        <f t="shared" ca="1" si="27"/>
        <v>-24750</v>
      </c>
      <c r="T124" s="33">
        <f t="shared" ca="1" si="33"/>
        <v>5250</v>
      </c>
      <c r="U124" s="7">
        <f t="shared" ca="1" si="28"/>
        <v>0.21212121212121213</v>
      </c>
      <c r="V124" s="7">
        <f t="shared" ca="1" si="29"/>
        <v>-0.2353883687224618</v>
      </c>
      <c r="W124" s="33">
        <f t="shared" ca="1" si="34"/>
        <v>-24750</v>
      </c>
      <c r="X124" s="7">
        <f t="shared" ca="1" si="35"/>
        <v>-1</v>
      </c>
      <c r="Y124" s="7">
        <f t="shared" ca="1" si="36"/>
        <v>-0.78787878787878785</v>
      </c>
      <c r="Z124" s="7">
        <f t="shared" ca="1" si="30"/>
        <v>-5.9151626479802856E-2</v>
      </c>
      <c r="AA124" s="33">
        <f t="shared" ca="1" si="37"/>
        <v>5250</v>
      </c>
      <c r="AB124" s="7">
        <f t="shared" ca="1" si="38"/>
        <v>1</v>
      </c>
      <c r="AC124" s="7">
        <f t="shared" ca="1" si="39"/>
        <v>0.60606060606060608</v>
      </c>
      <c r="AD124" s="1"/>
      <c r="AE124" s="1"/>
      <c r="AH124" s="34"/>
    </row>
    <row r="125" spans="1:34" x14ac:dyDescent="0.25">
      <c r="A125" s="1">
        <v>122</v>
      </c>
      <c r="B125" s="25">
        <v>44007</v>
      </c>
      <c r="C125" s="10" t="s">
        <v>339</v>
      </c>
      <c r="D125" s="1">
        <v>404.85</v>
      </c>
      <c r="E125" s="30">
        <v>1563</v>
      </c>
      <c r="F125" s="1">
        <v>360</v>
      </c>
      <c r="G125" s="1">
        <v>7.05</v>
      </c>
      <c r="H125" s="1">
        <v>340</v>
      </c>
      <c r="I125" s="1">
        <v>3</v>
      </c>
      <c r="J125" s="1">
        <v>25008</v>
      </c>
      <c r="K125" s="1">
        <v>1563</v>
      </c>
      <c r="L125" s="1">
        <v>2.65</v>
      </c>
      <c r="M125" s="1">
        <v>3.65</v>
      </c>
      <c r="N125" s="1">
        <v>1563</v>
      </c>
      <c r="O125" s="9"/>
      <c r="P125" s="7">
        <f t="shared" ca="1" si="25"/>
        <v>0.20249999999999999</v>
      </c>
      <c r="Q125" s="7">
        <f t="shared" ca="1" si="32"/>
        <v>1.0124999999999999E-2</v>
      </c>
      <c r="R125" s="33">
        <f t="shared" ca="1" si="26"/>
        <v>6330.15</v>
      </c>
      <c r="S125" s="33">
        <f t="shared" ca="1" si="27"/>
        <v>-24929.85</v>
      </c>
      <c r="T125" s="33">
        <f t="shared" ca="1" si="33"/>
        <v>6330.15</v>
      </c>
      <c r="U125" s="7">
        <f t="shared" ca="1" si="28"/>
        <v>0.25391849529780564</v>
      </c>
      <c r="V125" s="7">
        <f t="shared" ca="1" si="29"/>
        <v>-0.67754370728028701</v>
      </c>
      <c r="W125" s="33">
        <f t="shared" ca="1" si="34"/>
        <v>-24929.85</v>
      </c>
      <c r="X125" s="7">
        <f t="shared" ca="1" si="35"/>
        <v>-1</v>
      </c>
      <c r="Y125" s="7">
        <f t="shared" ca="1" si="36"/>
        <v>-0.74608150470219436</v>
      </c>
      <c r="Z125" s="7">
        <f t="shared" ca="1" si="30"/>
        <v>-0.12448226450790305</v>
      </c>
      <c r="AA125" s="33">
        <f t="shared" ca="1" si="37"/>
        <v>-2339.2558005562951</v>
      </c>
      <c r="AB125" s="7">
        <f t="shared" ca="1" si="38"/>
        <v>-0.36954192247518547</v>
      </c>
      <c r="AC125" s="7">
        <f t="shared" ca="1" si="39"/>
        <v>-5.7811713588689917E-2</v>
      </c>
      <c r="AD125" s="1"/>
      <c r="AE125" s="1"/>
      <c r="AH125" s="34"/>
    </row>
    <row r="126" spans="1:34" x14ac:dyDescent="0.25">
      <c r="A126" s="1">
        <v>123</v>
      </c>
      <c r="B126" s="25">
        <v>44007</v>
      </c>
      <c r="C126" s="10" t="s">
        <v>339</v>
      </c>
      <c r="D126" s="1">
        <v>404.85</v>
      </c>
      <c r="E126" s="30">
        <v>1563</v>
      </c>
      <c r="F126" s="1">
        <v>360</v>
      </c>
      <c r="G126" s="1">
        <v>7.05</v>
      </c>
      <c r="H126" s="1">
        <v>350</v>
      </c>
      <c r="I126" s="1">
        <v>4.25</v>
      </c>
      <c r="J126" s="1">
        <v>31260</v>
      </c>
      <c r="K126" s="1">
        <v>4689</v>
      </c>
      <c r="L126" s="1">
        <v>3.9</v>
      </c>
      <c r="M126" s="1">
        <v>6</v>
      </c>
      <c r="N126" s="1">
        <v>26571</v>
      </c>
      <c r="O126" s="9"/>
      <c r="P126" s="7">
        <f t="shared" ca="1" si="25"/>
        <v>0.27999999999999997</v>
      </c>
      <c r="Q126" s="7">
        <f t="shared" ca="1" si="32"/>
        <v>1.3999999999999999E-2</v>
      </c>
      <c r="R126" s="33">
        <f t="shared" ca="1" si="26"/>
        <v>4376.3999999999996</v>
      </c>
      <c r="S126" s="33">
        <f t="shared" ca="1" si="27"/>
        <v>-11253.6</v>
      </c>
      <c r="T126" s="33">
        <f t="shared" ca="1" si="33"/>
        <v>4376.3999999999996</v>
      </c>
      <c r="U126" s="7">
        <f t="shared" ca="1" si="28"/>
        <v>0.38888888888888884</v>
      </c>
      <c r="V126" s="7">
        <f t="shared" ca="1" si="29"/>
        <v>-0.67754370728028701</v>
      </c>
      <c r="W126" s="33">
        <f t="shared" ca="1" si="34"/>
        <v>-11253.6</v>
      </c>
      <c r="X126" s="7">
        <f t="shared" ca="1" si="35"/>
        <v>-1</v>
      </c>
      <c r="Y126" s="7">
        <f t="shared" ca="1" si="36"/>
        <v>-0.61111111111111116</v>
      </c>
      <c r="Z126" s="7">
        <f t="shared" ca="1" si="30"/>
        <v>-0.12448226450790305</v>
      </c>
      <c r="AA126" s="33">
        <f t="shared" ca="1" si="37"/>
        <v>-4293.0058005562951</v>
      </c>
      <c r="AB126" s="7">
        <f t="shared" ca="1" si="38"/>
        <v>-0.98094456643732186</v>
      </c>
      <c r="AC126" s="7">
        <f t="shared" ca="1" si="39"/>
        <v>-0.29602783877421651</v>
      </c>
      <c r="AD126" s="1"/>
      <c r="AE126" s="1"/>
      <c r="AH126" s="34"/>
    </row>
    <row r="127" spans="1:34" x14ac:dyDescent="0.25">
      <c r="A127" s="1">
        <v>124</v>
      </c>
      <c r="B127" s="25">
        <v>44007</v>
      </c>
      <c r="C127" s="10" t="s">
        <v>196</v>
      </c>
      <c r="D127" s="1">
        <v>1150</v>
      </c>
      <c r="E127" s="30">
        <v>800</v>
      </c>
      <c r="F127" s="1">
        <v>1080</v>
      </c>
      <c r="G127" s="1">
        <v>26.05</v>
      </c>
      <c r="H127" s="1">
        <v>1000</v>
      </c>
      <c r="I127" s="1">
        <v>8.5</v>
      </c>
      <c r="J127" s="1">
        <v>32000</v>
      </c>
      <c r="K127" s="1">
        <v>2400</v>
      </c>
      <c r="L127" s="1">
        <v>7.9</v>
      </c>
      <c r="M127" s="1">
        <v>10.7</v>
      </c>
      <c r="N127" s="1">
        <v>11200</v>
      </c>
      <c r="O127" s="9"/>
      <c r="P127" s="7">
        <f t="shared" ca="1" si="25"/>
        <v>0.21937500000000001</v>
      </c>
      <c r="Q127" s="7">
        <f t="shared" ca="1" si="32"/>
        <v>1.0968750000000001E-2</v>
      </c>
      <c r="R127" s="33">
        <f t="shared" ca="1" si="26"/>
        <v>14040</v>
      </c>
      <c r="S127" s="33">
        <f t="shared" ca="1" si="27"/>
        <v>-49960</v>
      </c>
      <c r="T127" s="33">
        <f t="shared" ca="1" si="33"/>
        <v>14040</v>
      </c>
      <c r="U127" s="7">
        <f t="shared" ca="1" si="28"/>
        <v>0.28102481985588473</v>
      </c>
      <c r="V127" s="7">
        <f t="shared" ca="1" si="29"/>
        <v>-0.58959159093894109</v>
      </c>
      <c r="W127" s="33">
        <f t="shared" ca="1" si="34"/>
        <v>-49960</v>
      </c>
      <c r="X127" s="7">
        <f t="shared" ca="1" si="35"/>
        <v>-1</v>
      </c>
      <c r="Y127" s="7">
        <f t="shared" ca="1" si="36"/>
        <v>-0.71897518014411532</v>
      </c>
      <c r="Z127" s="7">
        <f t="shared" ca="1" si="30"/>
        <v>-0.12248630968294284</v>
      </c>
      <c r="AA127" s="33">
        <f t="shared" ca="1" si="37"/>
        <v>-42647.404908307421</v>
      </c>
      <c r="AB127" s="7">
        <f t="shared" ca="1" si="38"/>
        <v>-3.037564452158648</v>
      </c>
      <c r="AC127" s="7">
        <f t="shared" ca="1" si="39"/>
        <v>-1.3782698161513816</v>
      </c>
      <c r="AD127" s="1"/>
      <c r="AE127" s="1"/>
      <c r="AH127" s="34"/>
    </row>
    <row r="128" spans="1:34" x14ac:dyDescent="0.25">
      <c r="A128" s="1">
        <v>125</v>
      </c>
      <c r="B128" s="25">
        <v>44007</v>
      </c>
      <c r="C128" s="10" t="s">
        <v>220</v>
      </c>
      <c r="D128" s="1">
        <v>73.75</v>
      </c>
      <c r="E128" s="30">
        <v>6000</v>
      </c>
      <c r="F128" s="1">
        <v>70</v>
      </c>
      <c r="G128" s="1">
        <v>2.2999999999999998</v>
      </c>
      <c r="H128" s="1">
        <v>57.5</v>
      </c>
      <c r="I128" s="1">
        <v>0.2</v>
      </c>
      <c r="J128" s="1">
        <v>138000</v>
      </c>
      <c r="K128" s="1">
        <v>36000</v>
      </c>
      <c r="L128" s="1">
        <v>0.2</v>
      </c>
      <c r="M128" s="1">
        <v>0.25</v>
      </c>
      <c r="N128" s="1">
        <v>12000</v>
      </c>
      <c r="O128" s="9"/>
      <c r="P128" s="7">
        <f t="shared" ca="1" si="25"/>
        <v>0.16799999999999998</v>
      </c>
      <c r="Q128" s="7">
        <f t="shared" ca="1" si="32"/>
        <v>8.3999999999999995E-3</v>
      </c>
      <c r="R128" s="33">
        <f t="shared" ca="1" si="26"/>
        <v>12599.999999999998</v>
      </c>
      <c r="S128" s="33">
        <f t="shared" ca="1" si="27"/>
        <v>-62400</v>
      </c>
      <c r="T128" s="33">
        <f t="shared" ca="1" si="33"/>
        <v>12599.999999999998</v>
      </c>
      <c r="U128" s="7">
        <f t="shared" ca="1" si="28"/>
        <v>0.2019230769230769</v>
      </c>
      <c r="V128" s="7">
        <f t="shared" ca="1" si="29"/>
        <v>-0.39255059370414086</v>
      </c>
      <c r="W128" s="33">
        <f t="shared" ca="1" si="34"/>
        <v>-62400</v>
      </c>
      <c r="X128" s="7">
        <f t="shared" ca="1" si="35"/>
        <v>-1</v>
      </c>
      <c r="Y128" s="7">
        <f t="shared" ca="1" si="36"/>
        <v>-0.79807692307692313</v>
      </c>
      <c r="Z128" s="7">
        <f t="shared" ca="1" si="30"/>
        <v>-0.10742437417328328</v>
      </c>
      <c r="AA128" s="33">
        <f t="shared" ca="1" si="37"/>
        <v>-12435.285571677834</v>
      </c>
      <c r="AB128" s="7">
        <f t="shared" ca="1" si="38"/>
        <v>-0.98692742632363772</v>
      </c>
      <c r="AC128" s="7">
        <f t="shared" ca="1" si="39"/>
        <v>-0.39250217470028043</v>
      </c>
      <c r="AD128" s="1"/>
      <c r="AE128" s="1"/>
      <c r="AH128" s="34"/>
    </row>
    <row r="129" spans="1:34" x14ac:dyDescent="0.25">
      <c r="A129" s="1">
        <v>126</v>
      </c>
      <c r="B129" s="25">
        <v>44007</v>
      </c>
      <c r="C129" s="10" t="s">
        <v>220</v>
      </c>
      <c r="D129" s="1">
        <v>73.75</v>
      </c>
      <c r="E129" s="30">
        <v>6000</v>
      </c>
      <c r="F129" s="1">
        <v>70</v>
      </c>
      <c r="G129" s="1">
        <v>2.2999999999999998</v>
      </c>
      <c r="H129" s="1">
        <v>60</v>
      </c>
      <c r="I129" s="1">
        <v>0.4</v>
      </c>
      <c r="J129" s="1">
        <v>612000</v>
      </c>
      <c r="K129" s="1">
        <v>12000</v>
      </c>
      <c r="L129" s="1">
        <v>0.35</v>
      </c>
      <c r="M129" s="1">
        <v>0.4</v>
      </c>
      <c r="N129" s="1">
        <v>6000</v>
      </c>
      <c r="O129" s="9"/>
      <c r="P129" s="7">
        <f t="shared" ca="1" si="25"/>
        <v>0.19</v>
      </c>
      <c r="Q129" s="7">
        <f t="shared" ca="1" si="32"/>
        <v>9.4999999999999998E-3</v>
      </c>
      <c r="R129" s="33">
        <f t="shared" ca="1" si="26"/>
        <v>11400</v>
      </c>
      <c r="S129" s="33">
        <f t="shared" ca="1" si="27"/>
        <v>-48600</v>
      </c>
      <c r="T129" s="33">
        <f t="shared" ca="1" si="33"/>
        <v>11400</v>
      </c>
      <c r="U129" s="7">
        <f t="shared" ca="1" si="28"/>
        <v>0.23456790123456789</v>
      </c>
      <c r="V129" s="7">
        <f t="shared" ca="1" si="29"/>
        <v>-0.39255059370414086</v>
      </c>
      <c r="W129" s="33">
        <f t="shared" ca="1" si="34"/>
        <v>-48600</v>
      </c>
      <c r="X129" s="7">
        <f t="shared" ca="1" si="35"/>
        <v>-1</v>
      </c>
      <c r="Y129" s="7">
        <f t="shared" ca="1" si="36"/>
        <v>-0.76543209876543217</v>
      </c>
      <c r="Z129" s="7">
        <f t="shared" ca="1" si="30"/>
        <v>-0.10742437417328328</v>
      </c>
      <c r="AA129" s="33">
        <f t="shared" ca="1" si="37"/>
        <v>-13635.285571677832</v>
      </c>
      <c r="AB129" s="7">
        <f t="shared" ca="1" si="38"/>
        <v>-1.1960776817261256</v>
      </c>
      <c r="AC129" s="7">
        <f t="shared" ca="1" si="39"/>
        <v>-0.48075489024577889</v>
      </c>
      <c r="AD129" s="1"/>
      <c r="AE129" s="1"/>
      <c r="AH129" s="34"/>
    </row>
    <row r="130" spans="1:34" x14ac:dyDescent="0.25">
      <c r="A130" s="1">
        <v>127</v>
      </c>
      <c r="B130" s="25">
        <v>44007</v>
      </c>
      <c r="C130" s="10" t="s">
        <v>220</v>
      </c>
      <c r="D130" s="1">
        <v>73.75</v>
      </c>
      <c r="E130" s="30">
        <v>6000</v>
      </c>
      <c r="F130" s="1">
        <v>70</v>
      </c>
      <c r="G130" s="1">
        <v>2.2999999999999998</v>
      </c>
      <c r="H130" s="1">
        <v>62.5</v>
      </c>
      <c r="I130" s="1">
        <v>0.6</v>
      </c>
      <c r="J130" s="1">
        <v>96000</v>
      </c>
      <c r="K130" s="1">
        <v>54000</v>
      </c>
      <c r="L130" s="1">
        <v>0.35</v>
      </c>
      <c r="M130" s="1">
        <v>0.6</v>
      </c>
      <c r="N130" s="1">
        <v>6000</v>
      </c>
      <c r="O130" s="9"/>
      <c r="P130" s="7">
        <f t="shared" ca="1" si="25"/>
        <v>0.22666666666666663</v>
      </c>
      <c r="Q130" s="7">
        <f t="shared" ca="1" si="32"/>
        <v>1.1333333333333331E-2</v>
      </c>
      <c r="R130" s="33">
        <f t="shared" ca="1" si="26"/>
        <v>10199.999999999998</v>
      </c>
      <c r="S130" s="33">
        <f t="shared" ca="1" si="27"/>
        <v>-34800</v>
      </c>
      <c r="T130" s="33">
        <f t="shared" ca="1" si="33"/>
        <v>10199.999999999998</v>
      </c>
      <c r="U130" s="7">
        <f t="shared" ca="1" si="28"/>
        <v>0.29310344827586204</v>
      </c>
      <c r="V130" s="7">
        <f t="shared" ca="1" si="29"/>
        <v>-0.39255059370414086</v>
      </c>
      <c r="W130" s="33">
        <f t="shared" ca="1" si="34"/>
        <v>-34800</v>
      </c>
      <c r="X130" s="7">
        <f t="shared" ca="1" si="35"/>
        <v>-1</v>
      </c>
      <c r="Y130" s="7">
        <f t="shared" ca="1" si="36"/>
        <v>-0.7068965517241379</v>
      </c>
      <c r="Z130" s="7">
        <f t="shared" ca="1" si="30"/>
        <v>-0.10742437417328328</v>
      </c>
      <c r="AA130" s="33">
        <f t="shared" ca="1" si="37"/>
        <v>-14835.285571677834</v>
      </c>
      <c r="AB130" s="7">
        <f t="shared" ca="1" si="38"/>
        <v>-1.4544397619291998</v>
      </c>
      <c r="AC130" s="7">
        <f t="shared" ca="1" si="39"/>
        <v>-0.58066815682666884</v>
      </c>
      <c r="AD130" s="1"/>
      <c r="AE130" s="1"/>
      <c r="AH130" s="34"/>
    </row>
    <row r="131" spans="1:34" x14ac:dyDescent="0.25">
      <c r="A131" s="1">
        <v>128</v>
      </c>
      <c r="B131" s="25">
        <v>44007</v>
      </c>
      <c r="C131" s="10" t="s">
        <v>220</v>
      </c>
      <c r="D131" s="1">
        <v>73.75</v>
      </c>
      <c r="E131" s="30">
        <v>6000</v>
      </c>
      <c r="F131" s="1">
        <v>70</v>
      </c>
      <c r="G131" s="1">
        <v>2.2999999999999998</v>
      </c>
      <c r="H131" s="1">
        <v>65</v>
      </c>
      <c r="I131" s="1">
        <v>0.9</v>
      </c>
      <c r="J131" s="1">
        <v>828000</v>
      </c>
      <c r="K131" s="1">
        <v>6000</v>
      </c>
      <c r="L131" s="1">
        <v>0.9</v>
      </c>
      <c r="M131" s="1">
        <v>0.95</v>
      </c>
      <c r="N131" s="1">
        <v>12000</v>
      </c>
      <c r="O131" s="9"/>
      <c r="P131" s="7">
        <f t="shared" ca="1" si="25"/>
        <v>0.27999999999999997</v>
      </c>
      <c r="Q131" s="7">
        <f t="shared" ca="1" si="32"/>
        <v>1.3999999999999999E-2</v>
      </c>
      <c r="R131" s="33">
        <f t="shared" ca="1" si="26"/>
        <v>8400</v>
      </c>
      <c r="S131" s="33">
        <f t="shared" ca="1" si="27"/>
        <v>-21600</v>
      </c>
      <c r="T131" s="33">
        <f t="shared" ca="1" si="33"/>
        <v>8400</v>
      </c>
      <c r="U131" s="7">
        <f t="shared" ca="1" si="28"/>
        <v>0.3888888888888889</v>
      </c>
      <c r="V131" s="7">
        <f t="shared" ca="1" si="29"/>
        <v>-0.39255059370414086</v>
      </c>
      <c r="W131" s="33">
        <f t="shared" ca="1" si="34"/>
        <v>-21600</v>
      </c>
      <c r="X131" s="7">
        <f t="shared" ca="1" si="35"/>
        <v>-1</v>
      </c>
      <c r="Y131" s="7">
        <f t="shared" ca="1" si="36"/>
        <v>-0.61111111111111116</v>
      </c>
      <c r="Z131" s="7">
        <f t="shared" ca="1" si="30"/>
        <v>-0.10742437417328328</v>
      </c>
      <c r="AA131" s="33">
        <f t="shared" ca="1" si="37"/>
        <v>-16635.285571677832</v>
      </c>
      <c r="AB131" s="7">
        <f t="shared" ca="1" si="38"/>
        <v>-1.9803911394854563</v>
      </c>
      <c r="AC131" s="7">
        <f t="shared" ca="1" si="39"/>
        <v>-0.79575112529828373</v>
      </c>
      <c r="AD131" s="1"/>
      <c r="AE131" s="1"/>
      <c r="AH131" s="34"/>
    </row>
    <row r="132" spans="1:34" x14ac:dyDescent="0.25">
      <c r="A132" s="1">
        <v>129</v>
      </c>
      <c r="B132" s="25">
        <v>44007</v>
      </c>
      <c r="C132" s="10" t="s">
        <v>220</v>
      </c>
      <c r="D132" s="1">
        <v>73.75</v>
      </c>
      <c r="E132" s="30">
        <v>6000</v>
      </c>
      <c r="F132" s="1">
        <v>70</v>
      </c>
      <c r="G132" s="1">
        <v>2.2999999999999998</v>
      </c>
      <c r="H132" s="1">
        <v>67.5</v>
      </c>
      <c r="I132" s="1">
        <v>1.5</v>
      </c>
      <c r="J132" s="1">
        <v>204000</v>
      </c>
      <c r="K132" s="1">
        <v>18000</v>
      </c>
      <c r="L132" s="1">
        <v>1.4</v>
      </c>
      <c r="M132" s="1">
        <v>1.5</v>
      </c>
      <c r="N132" s="1">
        <v>6000</v>
      </c>
      <c r="O132" s="9"/>
      <c r="P132" s="7">
        <f t="shared" ref="P132:P195" ca="1" si="40">($G132-$I132)/($F132-$H132)</f>
        <v>0.31999999999999995</v>
      </c>
      <c r="Q132" s="7">
        <f t="shared" ca="1" si="32"/>
        <v>1.5999999999999997E-2</v>
      </c>
      <c r="R132" s="33">
        <f t="shared" ref="R132:R195" ca="1" si="41">$E132*($G132-$I132)</f>
        <v>4799.9999999999991</v>
      </c>
      <c r="S132" s="33">
        <f t="shared" ref="S132:S195" ca="1" si="42">-(($F132-$H132)*$E132-$R132)</f>
        <v>-10200</v>
      </c>
      <c r="T132" s="33">
        <f t="shared" ca="1" si="33"/>
        <v>4799.9999999999991</v>
      </c>
      <c r="U132" s="7">
        <f t="shared" ref="U132:U195" ca="1" si="43">ABS($T132/$S132)</f>
        <v>0.47058823529411759</v>
      </c>
      <c r="V132" s="7">
        <f t="shared" ref="V132:V195" ca="1" si="44">mrigxl_max_drawdown($C132,INT($B132-TODAY()))</f>
        <v>-0.39255059370414086</v>
      </c>
      <c r="W132" s="33">
        <f t="shared" ca="1" si="34"/>
        <v>-10200</v>
      </c>
      <c r="X132" s="7">
        <f t="shared" ca="1" si="35"/>
        <v>-1</v>
      </c>
      <c r="Y132" s="7">
        <f t="shared" ca="1" si="36"/>
        <v>-0.52941176470588247</v>
      </c>
      <c r="Z132" s="7">
        <f t="shared" ref="Z132:Z195" ca="1" si="45">mrigxl_avg_drawdown($C132,INT($B132-TODAY()))</f>
        <v>-0.10742437417328328</v>
      </c>
      <c r="AA132" s="33">
        <f t="shared" ca="1" si="37"/>
        <v>-10200</v>
      </c>
      <c r="AB132" s="7">
        <f t="shared" ca="1" si="38"/>
        <v>-2.1250000000000004</v>
      </c>
      <c r="AC132" s="7">
        <f t="shared" ca="1" si="39"/>
        <v>-0.82720588235294146</v>
      </c>
      <c r="AD132" s="1"/>
      <c r="AE132" s="1"/>
      <c r="AH132" s="34"/>
    </row>
    <row r="133" spans="1:34" x14ac:dyDescent="0.25">
      <c r="A133" s="1">
        <v>130</v>
      </c>
      <c r="B133" s="25">
        <v>44007</v>
      </c>
      <c r="C133" s="10" t="s">
        <v>220</v>
      </c>
      <c r="D133" s="1">
        <v>73.75</v>
      </c>
      <c r="E133" s="30">
        <v>6000</v>
      </c>
      <c r="F133" s="1">
        <v>70</v>
      </c>
      <c r="G133" s="1">
        <v>2.2999999999999998</v>
      </c>
      <c r="H133" s="1">
        <v>68</v>
      </c>
      <c r="I133" s="1">
        <v>1.7</v>
      </c>
      <c r="J133" s="1">
        <v>54000</v>
      </c>
      <c r="K133" s="1">
        <v>6000</v>
      </c>
      <c r="L133" s="1">
        <v>1.5</v>
      </c>
      <c r="M133" s="1">
        <v>1.65</v>
      </c>
      <c r="N133" s="1">
        <v>6000</v>
      </c>
      <c r="O133" s="9"/>
      <c r="P133" s="7">
        <f t="shared" ca="1" si="40"/>
        <v>0.29999999999999993</v>
      </c>
      <c r="Q133" s="7">
        <f t="shared" ca="1" si="32"/>
        <v>1.4999999999999996E-2</v>
      </c>
      <c r="R133" s="33">
        <f t="shared" ca="1" si="41"/>
        <v>3599.9999999999991</v>
      </c>
      <c r="S133" s="33">
        <f t="shared" ca="1" si="42"/>
        <v>-8400</v>
      </c>
      <c r="T133" s="33">
        <f t="shared" ca="1" si="33"/>
        <v>3599.9999999999991</v>
      </c>
      <c r="U133" s="7">
        <f t="shared" ca="1" si="43"/>
        <v>0.42857142857142844</v>
      </c>
      <c r="V133" s="7">
        <f t="shared" ca="1" si="44"/>
        <v>-0.39255059370414086</v>
      </c>
      <c r="W133" s="33">
        <f t="shared" ca="1" si="34"/>
        <v>-8400</v>
      </c>
      <c r="X133" s="7">
        <f t="shared" ca="1" si="35"/>
        <v>-1</v>
      </c>
      <c r="Y133" s="7">
        <f t="shared" ca="1" si="36"/>
        <v>-0.57142857142857162</v>
      </c>
      <c r="Z133" s="7">
        <f t="shared" ca="1" si="45"/>
        <v>-0.10742437417328328</v>
      </c>
      <c r="AA133" s="33">
        <f t="shared" ca="1" si="37"/>
        <v>-8400</v>
      </c>
      <c r="AB133" s="7">
        <f t="shared" ca="1" si="38"/>
        <v>-2.3333333333333339</v>
      </c>
      <c r="AC133" s="7">
        <f t="shared" ca="1" si="39"/>
        <v>-0.95238095238095277</v>
      </c>
      <c r="AD133" s="1"/>
      <c r="AE133" s="1"/>
      <c r="AH133" s="34"/>
    </row>
    <row r="134" spans="1:34" x14ac:dyDescent="0.25">
      <c r="A134" s="1">
        <v>131</v>
      </c>
      <c r="B134" s="25">
        <v>44007</v>
      </c>
      <c r="C134" s="10" t="s">
        <v>220</v>
      </c>
      <c r="D134" s="1">
        <v>73.75</v>
      </c>
      <c r="E134" s="30">
        <v>6000</v>
      </c>
      <c r="F134" s="1">
        <v>70</v>
      </c>
      <c r="G134" s="1">
        <v>2.2999999999999998</v>
      </c>
      <c r="H134" s="1">
        <v>69</v>
      </c>
      <c r="I134" s="1">
        <v>1.9</v>
      </c>
      <c r="J134" s="1">
        <v>60000</v>
      </c>
      <c r="K134" s="1">
        <v>12000</v>
      </c>
      <c r="L134" s="1">
        <v>1.85</v>
      </c>
      <c r="M134" s="1">
        <v>1.9</v>
      </c>
      <c r="N134" s="1">
        <v>6000</v>
      </c>
      <c r="O134" s="9"/>
      <c r="P134" s="7">
        <f t="shared" ca="1" si="40"/>
        <v>0.39999999999999991</v>
      </c>
      <c r="Q134" s="7">
        <f t="shared" ca="1" si="32"/>
        <v>1.9999999999999997E-2</v>
      </c>
      <c r="R134" s="33">
        <f t="shared" ca="1" si="41"/>
        <v>2399.9999999999995</v>
      </c>
      <c r="S134" s="33">
        <f t="shared" ca="1" si="42"/>
        <v>-3600.0000000000005</v>
      </c>
      <c r="T134" s="33">
        <f t="shared" ca="1" si="33"/>
        <v>2399.9999999999995</v>
      </c>
      <c r="U134" s="7">
        <f t="shared" ca="1" si="43"/>
        <v>0.66666666666666641</v>
      </c>
      <c r="V134" s="7">
        <f t="shared" ca="1" si="44"/>
        <v>-0.39255059370414086</v>
      </c>
      <c r="W134" s="33">
        <f t="shared" ca="1" si="34"/>
        <v>-3600.0000000000005</v>
      </c>
      <c r="X134" s="7">
        <f t="shared" ca="1" si="35"/>
        <v>-1</v>
      </c>
      <c r="Y134" s="7">
        <f t="shared" ca="1" si="36"/>
        <v>-0.33333333333333359</v>
      </c>
      <c r="Z134" s="7">
        <f t="shared" ca="1" si="45"/>
        <v>-0.10742437417328328</v>
      </c>
      <c r="AA134" s="33">
        <f t="shared" ca="1" si="37"/>
        <v>-3600.0000000000005</v>
      </c>
      <c r="AB134" s="7">
        <f t="shared" ca="1" si="38"/>
        <v>-1.5000000000000004</v>
      </c>
      <c r="AC134" s="7">
        <f t="shared" ca="1" si="39"/>
        <v>-0.41666666666666702</v>
      </c>
      <c r="AD134" s="1"/>
      <c r="AE134" s="1"/>
      <c r="AH134" s="34"/>
    </row>
    <row r="135" spans="1:34" x14ac:dyDescent="0.25">
      <c r="A135" s="1">
        <v>132</v>
      </c>
      <c r="B135" s="25">
        <v>44007</v>
      </c>
      <c r="C135" s="10" t="s">
        <v>266</v>
      </c>
      <c r="D135" s="1">
        <v>367.2</v>
      </c>
      <c r="E135" s="30">
        <v>1800</v>
      </c>
      <c r="F135" s="1">
        <v>335</v>
      </c>
      <c r="G135" s="1">
        <v>8.15</v>
      </c>
      <c r="H135" s="1">
        <v>280</v>
      </c>
      <c r="I135" s="1">
        <v>1.3</v>
      </c>
      <c r="J135" s="1">
        <v>133200</v>
      </c>
      <c r="K135" s="1">
        <v>1800</v>
      </c>
      <c r="L135" s="1">
        <v>1.1000000000000001</v>
      </c>
      <c r="M135" s="1">
        <v>1.4</v>
      </c>
      <c r="N135" s="1">
        <v>1800</v>
      </c>
      <c r="O135" s="9"/>
      <c r="P135" s="7">
        <f t="shared" ca="1" si="40"/>
        <v>0.12454545454545456</v>
      </c>
      <c r="Q135" s="7">
        <f t="shared" ca="1" si="32"/>
        <v>6.227272727272728E-3</v>
      </c>
      <c r="R135" s="33">
        <f t="shared" ca="1" si="41"/>
        <v>12330.000000000002</v>
      </c>
      <c r="S135" s="33">
        <f t="shared" ca="1" si="42"/>
        <v>-86670</v>
      </c>
      <c r="T135" s="33">
        <f t="shared" ca="1" si="33"/>
        <v>12330.000000000002</v>
      </c>
      <c r="U135" s="7">
        <f t="shared" ca="1" si="43"/>
        <v>0.14226375908618902</v>
      </c>
      <c r="V135" s="7">
        <f t="shared" ca="1" si="44"/>
        <v>-0.58486565698320259</v>
      </c>
      <c r="W135" s="33">
        <f t="shared" ca="1" si="34"/>
        <v>-86670</v>
      </c>
      <c r="X135" s="7">
        <f t="shared" ca="1" si="35"/>
        <v>-1</v>
      </c>
      <c r="Y135" s="7">
        <f t="shared" ca="1" si="36"/>
        <v>-0.85773624091381095</v>
      </c>
      <c r="Z135" s="7">
        <f t="shared" ca="1" si="45"/>
        <v>-0.10311929611130166</v>
      </c>
      <c r="AA135" s="33">
        <f t="shared" ca="1" si="37"/>
        <v>2132.2700422740072</v>
      </c>
      <c r="AB135" s="7">
        <f t="shared" ca="1" si="38"/>
        <v>0.17293349896788376</v>
      </c>
      <c r="AC135" s="7">
        <f t="shared" ca="1" si="39"/>
        <v>0.15759862902703639</v>
      </c>
      <c r="AD135" s="1"/>
      <c r="AE135" s="1"/>
      <c r="AH135" s="34"/>
    </row>
    <row r="136" spans="1:34" x14ac:dyDescent="0.25">
      <c r="A136" s="1">
        <v>133</v>
      </c>
      <c r="B136" s="25">
        <v>44007</v>
      </c>
      <c r="C136" s="10" t="s">
        <v>266</v>
      </c>
      <c r="D136" s="1">
        <v>367.2</v>
      </c>
      <c r="E136" s="30">
        <v>1800</v>
      </c>
      <c r="F136" s="1">
        <v>335</v>
      </c>
      <c r="G136" s="1">
        <v>8.15</v>
      </c>
      <c r="H136" s="1">
        <v>290</v>
      </c>
      <c r="I136" s="1">
        <v>1.7</v>
      </c>
      <c r="J136" s="1">
        <v>93600</v>
      </c>
      <c r="K136" s="1">
        <v>1800</v>
      </c>
      <c r="L136" s="1">
        <v>1.5</v>
      </c>
      <c r="M136" s="1">
        <v>1.7</v>
      </c>
      <c r="N136" s="1">
        <v>1800</v>
      </c>
      <c r="O136" s="9"/>
      <c r="P136" s="7">
        <f t="shared" ca="1" si="40"/>
        <v>0.14333333333333334</v>
      </c>
      <c r="Q136" s="7">
        <f t="shared" ca="1" si="32"/>
        <v>7.1666666666666667E-3</v>
      </c>
      <c r="R136" s="33">
        <f t="shared" ca="1" si="41"/>
        <v>11610</v>
      </c>
      <c r="S136" s="33">
        <f t="shared" ca="1" si="42"/>
        <v>-69390</v>
      </c>
      <c r="T136" s="33">
        <f t="shared" ca="1" si="33"/>
        <v>11610</v>
      </c>
      <c r="U136" s="7">
        <f t="shared" ca="1" si="43"/>
        <v>0.16731517509727625</v>
      </c>
      <c r="V136" s="7">
        <f t="shared" ca="1" si="44"/>
        <v>-0.58486565698320259</v>
      </c>
      <c r="W136" s="33">
        <f t="shared" ca="1" si="34"/>
        <v>-69390</v>
      </c>
      <c r="X136" s="7">
        <f t="shared" ca="1" si="35"/>
        <v>-1</v>
      </c>
      <c r="Y136" s="7">
        <f t="shared" ca="1" si="36"/>
        <v>-0.83268482490272377</v>
      </c>
      <c r="Z136" s="7">
        <f t="shared" ca="1" si="45"/>
        <v>-0.10311929611130166</v>
      </c>
      <c r="AA136" s="33">
        <f t="shared" ca="1" si="37"/>
        <v>1412.2700422740054</v>
      </c>
      <c r="AB136" s="7">
        <f t="shared" ca="1" si="38"/>
        <v>0.12164255316744232</v>
      </c>
      <c r="AC136" s="7">
        <f t="shared" ca="1" si="39"/>
        <v>0.14447886413235927</v>
      </c>
      <c r="AD136" s="1"/>
      <c r="AE136" s="1"/>
      <c r="AH136" s="34"/>
    </row>
    <row r="137" spans="1:34" x14ac:dyDescent="0.25">
      <c r="A137" s="1">
        <v>134</v>
      </c>
      <c r="B137" s="25">
        <v>44007</v>
      </c>
      <c r="C137" s="10" t="s">
        <v>266</v>
      </c>
      <c r="D137" s="1">
        <v>367.2</v>
      </c>
      <c r="E137" s="30">
        <v>1800</v>
      </c>
      <c r="F137" s="1">
        <v>335</v>
      </c>
      <c r="G137" s="1">
        <v>8.15</v>
      </c>
      <c r="H137" s="1">
        <v>300</v>
      </c>
      <c r="I137" s="1">
        <v>2.5499999999999998</v>
      </c>
      <c r="J137" s="1">
        <v>475200</v>
      </c>
      <c r="K137" s="1">
        <v>1800</v>
      </c>
      <c r="L137" s="1">
        <v>2.4500000000000002</v>
      </c>
      <c r="M137" s="1">
        <v>2.5499999999999998</v>
      </c>
      <c r="N137" s="1">
        <v>5400</v>
      </c>
      <c r="O137" s="9"/>
      <c r="P137" s="7">
        <f t="shared" ca="1" si="40"/>
        <v>0.16</v>
      </c>
      <c r="Q137" s="7">
        <f t="shared" ca="1" si="32"/>
        <v>8.0000000000000002E-3</v>
      </c>
      <c r="R137" s="33">
        <f t="shared" ca="1" si="41"/>
        <v>10080.000000000002</v>
      </c>
      <c r="S137" s="33">
        <f t="shared" ca="1" si="42"/>
        <v>-52920</v>
      </c>
      <c r="T137" s="33">
        <f t="shared" ca="1" si="33"/>
        <v>10080.000000000002</v>
      </c>
      <c r="U137" s="7">
        <f t="shared" ca="1" si="43"/>
        <v>0.19047619047619052</v>
      </c>
      <c r="V137" s="7">
        <f t="shared" ca="1" si="44"/>
        <v>-0.58486565698320259</v>
      </c>
      <c r="W137" s="33">
        <f t="shared" ca="1" si="34"/>
        <v>-52920</v>
      </c>
      <c r="X137" s="7">
        <f t="shared" ca="1" si="35"/>
        <v>-1</v>
      </c>
      <c r="Y137" s="7">
        <f t="shared" ca="1" si="36"/>
        <v>-0.80952380952380953</v>
      </c>
      <c r="Z137" s="7">
        <f t="shared" ca="1" si="45"/>
        <v>-0.10311929611130166</v>
      </c>
      <c r="AA137" s="33">
        <f t="shared" ca="1" si="37"/>
        <v>-117.72995772599279</v>
      </c>
      <c r="AB137" s="7">
        <f t="shared" ca="1" si="38"/>
        <v>-1.1679559298213568E-2</v>
      </c>
      <c r="AC137" s="7">
        <f t="shared" ca="1" si="39"/>
        <v>8.9398315588988475E-2</v>
      </c>
      <c r="AD137" s="1"/>
      <c r="AE137" s="1"/>
      <c r="AH137" s="34"/>
    </row>
    <row r="138" spans="1:34" x14ac:dyDescent="0.25">
      <c r="A138" s="1">
        <v>135</v>
      </c>
      <c r="B138" s="25">
        <v>44007</v>
      </c>
      <c r="C138" s="10" t="s">
        <v>266</v>
      </c>
      <c r="D138" s="1">
        <v>367.2</v>
      </c>
      <c r="E138" s="30">
        <v>1800</v>
      </c>
      <c r="F138" s="1">
        <v>335</v>
      </c>
      <c r="G138" s="1">
        <v>8.15</v>
      </c>
      <c r="H138" s="1">
        <v>310</v>
      </c>
      <c r="I138" s="1">
        <v>3.4</v>
      </c>
      <c r="J138" s="1">
        <v>187200</v>
      </c>
      <c r="K138" s="1">
        <v>3600</v>
      </c>
      <c r="L138" s="1">
        <v>3.35</v>
      </c>
      <c r="M138" s="1">
        <v>3.55</v>
      </c>
      <c r="N138" s="1">
        <v>1800</v>
      </c>
      <c r="O138" s="9"/>
      <c r="P138" s="7">
        <f t="shared" ca="1" si="40"/>
        <v>0.19</v>
      </c>
      <c r="Q138" s="7">
        <f t="shared" ca="1" si="32"/>
        <v>9.4999999999999998E-3</v>
      </c>
      <c r="R138" s="33">
        <f t="shared" ca="1" si="41"/>
        <v>8550</v>
      </c>
      <c r="S138" s="33">
        <f t="shared" ca="1" si="42"/>
        <v>-36450</v>
      </c>
      <c r="T138" s="33">
        <f t="shared" ca="1" si="33"/>
        <v>8550</v>
      </c>
      <c r="U138" s="7">
        <f t="shared" ca="1" si="43"/>
        <v>0.23456790123456789</v>
      </c>
      <c r="V138" s="7">
        <f t="shared" ca="1" si="44"/>
        <v>-0.58486565698320259</v>
      </c>
      <c r="W138" s="33">
        <f t="shared" ca="1" si="34"/>
        <v>-36450</v>
      </c>
      <c r="X138" s="7">
        <f t="shared" ca="1" si="35"/>
        <v>-1</v>
      </c>
      <c r="Y138" s="7">
        <f t="shared" ca="1" si="36"/>
        <v>-0.76543209876543217</v>
      </c>
      <c r="Z138" s="7">
        <f t="shared" ca="1" si="45"/>
        <v>-0.10311929611130166</v>
      </c>
      <c r="AA138" s="33">
        <f t="shared" ca="1" si="37"/>
        <v>-1647.7299577259946</v>
      </c>
      <c r="AB138" s="7">
        <f t="shared" ca="1" si="38"/>
        <v>-0.19271695411999937</v>
      </c>
      <c r="AC138" s="7">
        <f t="shared" ca="1" si="39"/>
        <v>2.092547355728426E-2</v>
      </c>
      <c r="AD138" s="1"/>
      <c r="AE138" s="1"/>
      <c r="AH138" s="34"/>
    </row>
    <row r="139" spans="1:34" x14ac:dyDescent="0.25">
      <c r="A139" s="1">
        <v>136</v>
      </c>
      <c r="B139" s="25">
        <v>44007</v>
      </c>
      <c r="C139" s="10" t="s">
        <v>266</v>
      </c>
      <c r="D139" s="1">
        <v>367.2</v>
      </c>
      <c r="E139" s="30">
        <v>1800</v>
      </c>
      <c r="F139" s="1">
        <v>335</v>
      </c>
      <c r="G139" s="1">
        <v>8.15</v>
      </c>
      <c r="H139" s="1">
        <v>320</v>
      </c>
      <c r="I139" s="1">
        <v>4.6500000000000004</v>
      </c>
      <c r="J139" s="1">
        <v>421200</v>
      </c>
      <c r="K139" s="1">
        <v>5400</v>
      </c>
      <c r="L139" s="1">
        <v>4.6500000000000004</v>
      </c>
      <c r="M139" s="1">
        <v>4.9000000000000004</v>
      </c>
      <c r="N139" s="1">
        <v>5400</v>
      </c>
      <c r="O139" s="9"/>
      <c r="P139" s="7">
        <f t="shared" ca="1" si="40"/>
        <v>0.23333333333333334</v>
      </c>
      <c r="Q139" s="7">
        <f t="shared" ca="1" si="32"/>
        <v>1.1666666666666667E-2</v>
      </c>
      <c r="R139" s="33">
        <f t="shared" ca="1" si="41"/>
        <v>6300</v>
      </c>
      <c r="S139" s="33">
        <f t="shared" ca="1" si="42"/>
        <v>-20700</v>
      </c>
      <c r="T139" s="33">
        <f t="shared" ca="1" si="33"/>
        <v>6300</v>
      </c>
      <c r="U139" s="7">
        <f t="shared" ca="1" si="43"/>
        <v>0.30434782608695654</v>
      </c>
      <c r="V139" s="7">
        <f t="shared" ca="1" si="44"/>
        <v>-0.58486565698320259</v>
      </c>
      <c r="W139" s="33">
        <f t="shared" ca="1" si="34"/>
        <v>-20700</v>
      </c>
      <c r="X139" s="7">
        <f t="shared" ca="1" si="35"/>
        <v>-1</v>
      </c>
      <c r="Y139" s="7">
        <f t="shared" ca="1" si="36"/>
        <v>-0.69565217391304346</v>
      </c>
      <c r="Z139" s="7">
        <f t="shared" ca="1" si="45"/>
        <v>-0.10311929611130166</v>
      </c>
      <c r="AA139" s="33">
        <f t="shared" ca="1" si="37"/>
        <v>-3897.7299577259946</v>
      </c>
      <c r="AB139" s="7">
        <f t="shared" ca="1" si="38"/>
        <v>-0.61868729487714202</v>
      </c>
      <c r="AC139" s="7">
        <f t="shared" ca="1" si="39"/>
        <v>-0.15716973439509274</v>
      </c>
      <c r="AD139" s="1"/>
      <c r="AE139" s="1"/>
      <c r="AH139" s="34"/>
    </row>
    <row r="140" spans="1:34" x14ac:dyDescent="0.25">
      <c r="A140" s="1">
        <v>137</v>
      </c>
      <c r="B140" s="25">
        <v>44007</v>
      </c>
      <c r="C140" s="10" t="s">
        <v>266</v>
      </c>
      <c r="D140" s="1">
        <v>367.2</v>
      </c>
      <c r="E140" s="30">
        <v>1800</v>
      </c>
      <c r="F140" s="1">
        <v>335</v>
      </c>
      <c r="G140" s="1">
        <v>8.15</v>
      </c>
      <c r="H140" s="1">
        <v>325</v>
      </c>
      <c r="I140" s="1">
        <v>5.9</v>
      </c>
      <c r="J140" s="1">
        <v>55800</v>
      </c>
      <c r="K140" s="1">
        <v>1800</v>
      </c>
      <c r="L140" s="1">
        <v>5.65</v>
      </c>
      <c r="M140" s="1">
        <v>5.95</v>
      </c>
      <c r="N140" s="1">
        <v>1800</v>
      </c>
      <c r="O140" s="9"/>
      <c r="P140" s="7">
        <f t="shared" ca="1" si="40"/>
        <v>0.22500000000000001</v>
      </c>
      <c r="Q140" s="7">
        <f t="shared" ca="1" si="32"/>
        <v>1.125E-2</v>
      </c>
      <c r="R140" s="33">
        <f t="shared" ca="1" si="41"/>
        <v>4050</v>
      </c>
      <c r="S140" s="33">
        <f t="shared" ca="1" si="42"/>
        <v>-13950</v>
      </c>
      <c r="T140" s="33">
        <f t="shared" ca="1" si="33"/>
        <v>4050</v>
      </c>
      <c r="U140" s="7">
        <f t="shared" ca="1" si="43"/>
        <v>0.29032258064516131</v>
      </c>
      <c r="V140" s="7">
        <f t="shared" ca="1" si="44"/>
        <v>-0.58486565698320259</v>
      </c>
      <c r="W140" s="33">
        <f t="shared" ca="1" si="34"/>
        <v>-13950</v>
      </c>
      <c r="X140" s="7">
        <f t="shared" ca="1" si="35"/>
        <v>-1</v>
      </c>
      <c r="Y140" s="7">
        <f t="shared" ca="1" si="36"/>
        <v>-0.70967741935483875</v>
      </c>
      <c r="Z140" s="7">
        <f t="shared" ca="1" si="45"/>
        <v>-0.10311929611130166</v>
      </c>
      <c r="AA140" s="33">
        <f t="shared" ca="1" si="37"/>
        <v>-6147.7299577259946</v>
      </c>
      <c r="AB140" s="7">
        <f t="shared" ca="1" si="38"/>
        <v>-1.517958014253332</v>
      </c>
      <c r="AC140" s="7">
        <f t="shared" ca="1" si="39"/>
        <v>-0.61381771680408537</v>
      </c>
      <c r="AD140" s="1"/>
      <c r="AE140" s="1"/>
      <c r="AH140" s="34"/>
    </row>
    <row r="141" spans="1:34" x14ac:dyDescent="0.25">
      <c r="A141" s="1">
        <v>138</v>
      </c>
      <c r="B141" s="25">
        <v>44007</v>
      </c>
      <c r="C141" s="10" t="s">
        <v>266</v>
      </c>
      <c r="D141" s="1">
        <v>367.2</v>
      </c>
      <c r="E141" s="30">
        <v>1800</v>
      </c>
      <c r="F141" s="1">
        <v>335</v>
      </c>
      <c r="G141" s="1">
        <v>8.15</v>
      </c>
      <c r="H141" s="1">
        <v>330</v>
      </c>
      <c r="I141" s="1">
        <v>6.8</v>
      </c>
      <c r="J141" s="1">
        <v>291600</v>
      </c>
      <c r="K141" s="1">
        <v>3600</v>
      </c>
      <c r="L141" s="1">
        <v>6.65</v>
      </c>
      <c r="M141" s="1">
        <v>6.8</v>
      </c>
      <c r="N141" s="1">
        <v>1800</v>
      </c>
      <c r="O141" s="9"/>
      <c r="P141" s="7">
        <f t="shared" ca="1" si="40"/>
        <v>0.27000000000000013</v>
      </c>
      <c r="Q141" s="7">
        <f t="shared" ca="1" si="32"/>
        <v>1.3500000000000007E-2</v>
      </c>
      <c r="R141" s="33">
        <f t="shared" ca="1" si="41"/>
        <v>2430.0000000000009</v>
      </c>
      <c r="S141" s="33">
        <f t="shared" ca="1" si="42"/>
        <v>-6569.9999999999991</v>
      </c>
      <c r="T141" s="33">
        <f t="shared" ca="1" si="33"/>
        <v>2430.0000000000009</v>
      </c>
      <c r="U141" s="7">
        <f t="shared" ca="1" si="43"/>
        <v>0.36986301369863034</v>
      </c>
      <c r="V141" s="7">
        <f t="shared" ca="1" si="44"/>
        <v>-0.58486565698320259</v>
      </c>
      <c r="W141" s="33">
        <f t="shared" ca="1" si="34"/>
        <v>-6569.9999999999991</v>
      </c>
      <c r="X141" s="7">
        <f t="shared" ca="1" si="35"/>
        <v>-1</v>
      </c>
      <c r="Y141" s="7">
        <f t="shared" ca="1" si="36"/>
        <v>-0.63013698630136972</v>
      </c>
      <c r="Z141" s="7">
        <f t="shared" ca="1" si="45"/>
        <v>-0.10311929611130166</v>
      </c>
      <c r="AA141" s="33">
        <f t="shared" ca="1" si="37"/>
        <v>-6569.9999999999991</v>
      </c>
      <c r="AB141" s="7">
        <f t="shared" ca="1" si="38"/>
        <v>-2.7037037037037024</v>
      </c>
      <c r="AC141" s="7">
        <f t="shared" ca="1" si="39"/>
        <v>-1.1669203450025361</v>
      </c>
      <c r="AD141" s="1"/>
      <c r="AE141" s="1"/>
      <c r="AH141" s="34"/>
    </row>
    <row r="142" spans="1:34" x14ac:dyDescent="0.25">
      <c r="A142" s="1">
        <v>139</v>
      </c>
      <c r="B142" s="25">
        <v>44007</v>
      </c>
      <c r="C142" s="10" t="s">
        <v>14</v>
      </c>
      <c r="D142" s="1">
        <v>89.2</v>
      </c>
      <c r="E142" s="30">
        <v>4000</v>
      </c>
      <c r="F142" s="1">
        <v>84</v>
      </c>
      <c r="G142" s="1">
        <v>1.85</v>
      </c>
      <c r="H142" s="1">
        <v>67.5</v>
      </c>
      <c r="I142" s="1">
        <v>0.1</v>
      </c>
      <c r="J142" s="1">
        <v>92000</v>
      </c>
      <c r="K142" s="1">
        <v>12000</v>
      </c>
      <c r="L142" s="1">
        <v>0.1</v>
      </c>
      <c r="M142" s="1">
        <v>0.3</v>
      </c>
      <c r="N142" s="1">
        <v>4000</v>
      </c>
      <c r="O142" s="9"/>
      <c r="P142" s="7">
        <f t="shared" ca="1" si="40"/>
        <v>0.10606060606060606</v>
      </c>
      <c r="Q142" s="7">
        <f t="shared" ca="1" si="32"/>
        <v>5.3030303030303034E-3</v>
      </c>
      <c r="R142" s="33">
        <f t="shared" ca="1" si="41"/>
        <v>7000</v>
      </c>
      <c r="S142" s="33">
        <f t="shared" ca="1" si="42"/>
        <v>-59000</v>
      </c>
      <c r="T142" s="33">
        <f t="shared" ca="1" si="33"/>
        <v>7000</v>
      </c>
      <c r="U142" s="7">
        <f t="shared" ca="1" si="43"/>
        <v>0.11864406779661017</v>
      </c>
      <c r="V142" s="7">
        <f t="shared" ca="1" si="44"/>
        <v>-0.35068400902344804</v>
      </c>
      <c r="W142" s="33">
        <f t="shared" ca="1" si="34"/>
        <v>-59000</v>
      </c>
      <c r="X142" s="7">
        <f t="shared" ca="1" si="35"/>
        <v>-1</v>
      </c>
      <c r="Y142" s="7">
        <f t="shared" ca="1" si="36"/>
        <v>-0.88135593220338981</v>
      </c>
      <c r="Z142" s="7">
        <f t="shared" ca="1" si="45"/>
        <v>-9.7847861106441752E-2</v>
      </c>
      <c r="AA142" s="33">
        <f t="shared" ca="1" si="37"/>
        <v>-7112.1168427783923</v>
      </c>
      <c r="AB142" s="7">
        <f t="shared" ca="1" si="38"/>
        <v>-1.0160166918254847</v>
      </c>
      <c r="AC142" s="7">
        <f t="shared" ca="1" si="39"/>
        <v>-0.44868631201443726</v>
      </c>
      <c r="AD142" s="1"/>
      <c r="AE142" s="1"/>
      <c r="AH142" s="34"/>
    </row>
    <row r="143" spans="1:34" x14ac:dyDescent="0.25">
      <c r="A143" s="1">
        <v>140</v>
      </c>
      <c r="B143" s="25">
        <v>44007</v>
      </c>
      <c r="C143" s="10" t="s">
        <v>14</v>
      </c>
      <c r="D143" s="1">
        <v>89.2</v>
      </c>
      <c r="E143" s="30">
        <v>4000</v>
      </c>
      <c r="F143" s="1">
        <v>84</v>
      </c>
      <c r="G143" s="1">
        <v>1.85</v>
      </c>
      <c r="H143" s="1">
        <v>70</v>
      </c>
      <c r="I143" s="1">
        <v>0.15</v>
      </c>
      <c r="J143" s="1">
        <v>368000</v>
      </c>
      <c r="K143" s="1">
        <v>140000</v>
      </c>
      <c r="L143" s="1">
        <v>0.15</v>
      </c>
      <c r="M143" s="1">
        <v>0.2</v>
      </c>
      <c r="N143" s="1">
        <v>52000</v>
      </c>
      <c r="O143" s="9"/>
      <c r="P143" s="7">
        <f t="shared" ca="1" si="40"/>
        <v>0.12142857142857144</v>
      </c>
      <c r="Q143" s="7">
        <f t="shared" ca="1" si="32"/>
        <v>6.0714285714285722E-3</v>
      </c>
      <c r="R143" s="33">
        <f t="shared" ca="1" si="41"/>
        <v>6800.0000000000009</v>
      </c>
      <c r="S143" s="33">
        <f t="shared" ca="1" si="42"/>
        <v>-49200</v>
      </c>
      <c r="T143" s="33">
        <f t="shared" ca="1" si="33"/>
        <v>6800.0000000000009</v>
      </c>
      <c r="U143" s="7">
        <f t="shared" ca="1" si="43"/>
        <v>0.13821138211382117</v>
      </c>
      <c r="V143" s="7">
        <f t="shared" ca="1" si="44"/>
        <v>-0.35068400902344804</v>
      </c>
      <c r="W143" s="33">
        <f t="shared" ca="1" si="34"/>
        <v>-49200</v>
      </c>
      <c r="X143" s="7">
        <f t="shared" ca="1" si="35"/>
        <v>-1</v>
      </c>
      <c r="Y143" s="7">
        <f t="shared" ca="1" si="36"/>
        <v>-0.86178861788617889</v>
      </c>
      <c r="Z143" s="7">
        <f t="shared" ca="1" si="45"/>
        <v>-9.7847861106441752E-2</v>
      </c>
      <c r="AA143" s="33">
        <f t="shared" ca="1" si="37"/>
        <v>-7312.1168427783914</v>
      </c>
      <c r="AB143" s="7">
        <f t="shared" ca="1" si="38"/>
        <v>-1.0753113004085868</v>
      </c>
      <c r="AC143" s="7">
        <f t="shared" ca="1" si="39"/>
        <v>-0.46854995914738284</v>
      </c>
      <c r="AD143" s="1"/>
      <c r="AE143" s="1"/>
      <c r="AH143" s="34"/>
    </row>
    <row r="144" spans="1:34" x14ac:dyDescent="0.25">
      <c r="A144" s="1">
        <v>141</v>
      </c>
      <c r="B144" s="25">
        <v>44007</v>
      </c>
      <c r="C144" s="10" t="s">
        <v>14</v>
      </c>
      <c r="D144" s="1">
        <v>89.2</v>
      </c>
      <c r="E144" s="30">
        <v>4000</v>
      </c>
      <c r="F144" s="1">
        <v>84</v>
      </c>
      <c r="G144" s="1">
        <v>1.85</v>
      </c>
      <c r="H144" s="1">
        <v>72.5</v>
      </c>
      <c r="I144" s="1">
        <v>0.25</v>
      </c>
      <c r="J144" s="1">
        <v>96000</v>
      </c>
      <c r="K144" s="1">
        <v>64000</v>
      </c>
      <c r="L144" s="1">
        <v>0.2</v>
      </c>
      <c r="M144" s="1">
        <v>0.45</v>
      </c>
      <c r="N144" s="1">
        <v>28000</v>
      </c>
      <c r="O144" s="9"/>
      <c r="P144" s="7">
        <f t="shared" ca="1" si="40"/>
        <v>0.1391304347826087</v>
      </c>
      <c r="Q144" s="7">
        <f t="shared" ca="1" si="32"/>
        <v>6.956521739130435E-3</v>
      </c>
      <c r="R144" s="33">
        <f t="shared" ca="1" si="41"/>
        <v>6400</v>
      </c>
      <c r="S144" s="33">
        <f t="shared" ca="1" si="42"/>
        <v>-39600</v>
      </c>
      <c r="T144" s="33">
        <f t="shared" ca="1" si="33"/>
        <v>6400</v>
      </c>
      <c r="U144" s="7">
        <f t="shared" ca="1" si="43"/>
        <v>0.16161616161616163</v>
      </c>
      <c r="V144" s="7">
        <f t="shared" ca="1" si="44"/>
        <v>-0.35068400902344804</v>
      </c>
      <c r="W144" s="33">
        <f t="shared" ca="1" si="34"/>
        <v>-39600</v>
      </c>
      <c r="X144" s="7">
        <f t="shared" ca="1" si="35"/>
        <v>-1</v>
      </c>
      <c r="Y144" s="7">
        <f t="shared" ca="1" si="36"/>
        <v>-0.83838383838383834</v>
      </c>
      <c r="Z144" s="7">
        <f t="shared" ca="1" si="45"/>
        <v>-9.7847861106441752E-2</v>
      </c>
      <c r="AA144" s="33">
        <f t="shared" ca="1" si="37"/>
        <v>-7712.1168427783923</v>
      </c>
      <c r="AB144" s="7">
        <f t="shared" ca="1" si="38"/>
        <v>-1.2050182566841239</v>
      </c>
      <c r="AC144" s="7">
        <f t="shared" ca="1" si="39"/>
        <v>-0.52170104753398117</v>
      </c>
      <c r="AD144" s="1"/>
      <c r="AE144" s="1"/>
      <c r="AH144" s="34"/>
    </row>
    <row r="145" spans="1:34" x14ac:dyDescent="0.25">
      <c r="A145" s="1">
        <v>142</v>
      </c>
      <c r="B145" s="25">
        <v>44007</v>
      </c>
      <c r="C145" s="10" t="s">
        <v>14</v>
      </c>
      <c r="D145" s="1">
        <v>89.2</v>
      </c>
      <c r="E145" s="30">
        <v>4000</v>
      </c>
      <c r="F145" s="1">
        <v>84</v>
      </c>
      <c r="G145" s="1">
        <v>1.85</v>
      </c>
      <c r="H145" s="1">
        <v>75</v>
      </c>
      <c r="I145" s="1">
        <v>0.4</v>
      </c>
      <c r="J145" s="1">
        <v>668000</v>
      </c>
      <c r="K145" s="1">
        <v>8000</v>
      </c>
      <c r="L145" s="1">
        <v>0.4</v>
      </c>
      <c r="M145" s="1">
        <v>0.45</v>
      </c>
      <c r="N145" s="1">
        <v>16000</v>
      </c>
      <c r="O145" s="9"/>
      <c r="P145" s="7">
        <f t="shared" ca="1" si="40"/>
        <v>0.16111111111111112</v>
      </c>
      <c r="Q145" s="7">
        <f t="shared" ca="1" si="32"/>
        <v>8.0555555555555554E-3</v>
      </c>
      <c r="R145" s="33">
        <f t="shared" ca="1" si="41"/>
        <v>5800.0000000000009</v>
      </c>
      <c r="S145" s="33">
        <f t="shared" ca="1" si="42"/>
        <v>-30200</v>
      </c>
      <c r="T145" s="33">
        <f t="shared" ca="1" si="33"/>
        <v>5800.0000000000009</v>
      </c>
      <c r="U145" s="7">
        <f t="shared" ca="1" si="43"/>
        <v>0.19205298013245037</v>
      </c>
      <c r="V145" s="7">
        <f t="shared" ca="1" si="44"/>
        <v>-0.35068400902344804</v>
      </c>
      <c r="W145" s="33">
        <f t="shared" ca="1" si="34"/>
        <v>-30200</v>
      </c>
      <c r="X145" s="7">
        <f t="shared" ca="1" si="35"/>
        <v>-1</v>
      </c>
      <c r="Y145" s="7">
        <f t="shared" ca="1" si="36"/>
        <v>-0.80794701986754958</v>
      </c>
      <c r="Z145" s="7">
        <f t="shared" ca="1" si="45"/>
        <v>-9.7847861106441752E-2</v>
      </c>
      <c r="AA145" s="33">
        <f t="shared" ca="1" si="37"/>
        <v>-8312.1168427783923</v>
      </c>
      <c r="AB145" s="7">
        <f t="shared" ca="1" si="38"/>
        <v>-1.4331235935824813</v>
      </c>
      <c r="AC145" s="7">
        <f t="shared" ca="1" si="39"/>
        <v>-0.62053530672501545</v>
      </c>
      <c r="AD145" s="1"/>
      <c r="AE145" s="1"/>
      <c r="AH145" s="34"/>
    </row>
    <row r="146" spans="1:34" x14ac:dyDescent="0.25">
      <c r="A146" s="1">
        <v>143</v>
      </c>
      <c r="B146" s="25">
        <v>44007</v>
      </c>
      <c r="C146" s="10" t="s">
        <v>14</v>
      </c>
      <c r="D146" s="1">
        <v>89.2</v>
      </c>
      <c r="E146" s="30">
        <v>4000</v>
      </c>
      <c r="F146" s="1">
        <v>84</v>
      </c>
      <c r="G146" s="1">
        <v>1.85</v>
      </c>
      <c r="H146" s="1">
        <v>77.5</v>
      </c>
      <c r="I146" s="1">
        <v>0.65</v>
      </c>
      <c r="J146" s="1">
        <v>248000</v>
      </c>
      <c r="K146" s="1">
        <v>8000</v>
      </c>
      <c r="L146" s="1">
        <v>0.5</v>
      </c>
      <c r="M146" s="1">
        <v>0.9</v>
      </c>
      <c r="N146" s="1">
        <v>64000</v>
      </c>
      <c r="O146" s="9"/>
      <c r="P146" s="7">
        <f t="shared" ca="1" si="40"/>
        <v>0.18461538461538465</v>
      </c>
      <c r="Q146" s="7">
        <f t="shared" ca="1" si="32"/>
        <v>9.2307692307692334E-3</v>
      </c>
      <c r="R146" s="33">
        <f t="shared" ca="1" si="41"/>
        <v>4800.0000000000009</v>
      </c>
      <c r="S146" s="33">
        <f t="shared" ca="1" si="42"/>
        <v>-21200</v>
      </c>
      <c r="T146" s="33">
        <f t="shared" ca="1" si="33"/>
        <v>4800.0000000000009</v>
      </c>
      <c r="U146" s="7">
        <f t="shared" ca="1" si="43"/>
        <v>0.22641509433962267</v>
      </c>
      <c r="V146" s="7">
        <f t="shared" ca="1" si="44"/>
        <v>-0.35068400902344804</v>
      </c>
      <c r="W146" s="33">
        <f t="shared" ca="1" si="34"/>
        <v>-21200</v>
      </c>
      <c r="X146" s="7">
        <f t="shared" ca="1" si="35"/>
        <v>-1</v>
      </c>
      <c r="Y146" s="7">
        <f t="shared" ca="1" si="36"/>
        <v>-0.7735849056603773</v>
      </c>
      <c r="Z146" s="7">
        <f t="shared" ca="1" si="45"/>
        <v>-9.7847861106441752E-2</v>
      </c>
      <c r="AA146" s="33">
        <f t="shared" ca="1" si="37"/>
        <v>-9312.1168427783923</v>
      </c>
      <c r="AB146" s="7">
        <f t="shared" ca="1" si="38"/>
        <v>-1.9400243422454981</v>
      </c>
      <c r="AC146" s="7">
        <f t="shared" ca="1" si="39"/>
        <v>-0.85680462395293777</v>
      </c>
      <c r="AD146" s="1"/>
      <c r="AE146" s="1"/>
      <c r="AH146" s="34"/>
    </row>
    <row r="147" spans="1:34" x14ac:dyDescent="0.25">
      <c r="A147" s="1">
        <v>144</v>
      </c>
      <c r="B147" s="25">
        <v>44007</v>
      </c>
      <c r="C147" s="10" t="s">
        <v>14</v>
      </c>
      <c r="D147" s="1">
        <v>89.2</v>
      </c>
      <c r="E147" s="30">
        <v>4000</v>
      </c>
      <c r="F147" s="1">
        <v>84</v>
      </c>
      <c r="G147" s="1">
        <v>1.85</v>
      </c>
      <c r="H147" s="1">
        <v>80</v>
      </c>
      <c r="I147" s="1">
        <v>1</v>
      </c>
      <c r="J147" s="1">
        <v>1008000</v>
      </c>
      <c r="K147" s="1">
        <v>16000</v>
      </c>
      <c r="L147" s="1">
        <v>0.95</v>
      </c>
      <c r="M147" s="1">
        <v>1.05</v>
      </c>
      <c r="N147" s="1">
        <v>16000</v>
      </c>
      <c r="O147" s="9"/>
      <c r="P147" s="7">
        <f t="shared" ca="1" si="40"/>
        <v>0.21250000000000002</v>
      </c>
      <c r="Q147" s="7">
        <f t="shared" ca="1" si="32"/>
        <v>1.0625000000000001E-2</v>
      </c>
      <c r="R147" s="33">
        <f t="shared" ca="1" si="41"/>
        <v>3400.0000000000005</v>
      </c>
      <c r="S147" s="33">
        <f t="shared" ca="1" si="42"/>
        <v>-12600</v>
      </c>
      <c r="T147" s="33">
        <f t="shared" ca="1" si="33"/>
        <v>3400.0000000000005</v>
      </c>
      <c r="U147" s="7">
        <f t="shared" ca="1" si="43"/>
        <v>0.26984126984126988</v>
      </c>
      <c r="V147" s="7">
        <f t="shared" ca="1" si="44"/>
        <v>-0.35068400902344804</v>
      </c>
      <c r="W147" s="33">
        <f t="shared" ca="1" si="34"/>
        <v>-12600</v>
      </c>
      <c r="X147" s="7">
        <f t="shared" ca="1" si="35"/>
        <v>-1</v>
      </c>
      <c r="Y147" s="7">
        <f t="shared" ca="1" si="36"/>
        <v>-0.73015873015873012</v>
      </c>
      <c r="Z147" s="7">
        <f t="shared" ca="1" si="45"/>
        <v>-9.7847861106441752E-2</v>
      </c>
      <c r="AA147" s="33">
        <f t="shared" ca="1" si="37"/>
        <v>-10712.116842778392</v>
      </c>
      <c r="AB147" s="7">
        <f t="shared" ca="1" si="38"/>
        <v>-3.1506226008171736</v>
      </c>
      <c r="AC147" s="7">
        <f t="shared" ca="1" si="39"/>
        <v>-1.4403906654879519</v>
      </c>
      <c r="AD147" s="1"/>
      <c r="AE147" s="1"/>
      <c r="AH147" s="34"/>
    </row>
    <row r="148" spans="1:34" x14ac:dyDescent="0.25">
      <c r="A148" s="1">
        <v>145</v>
      </c>
      <c r="B148" s="25">
        <v>44007</v>
      </c>
      <c r="C148" s="10" t="s">
        <v>14</v>
      </c>
      <c r="D148" s="1">
        <v>89.2</v>
      </c>
      <c r="E148" s="30">
        <v>4000</v>
      </c>
      <c r="F148" s="1">
        <v>84</v>
      </c>
      <c r="G148" s="1">
        <v>1.85</v>
      </c>
      <c r="H148" s="1">
        <v>82.5</v>
      </c>
      <c r="I148" s="1">
        <v>1.5</v>
      </c>
      <c r="J148" s="1">
        <v>124000</v>
      </c>
      <c r="K148" s="1">
        <v>8000</v>
      </c>
      <c r="L148" s="1">
        <v>1.45</v>
      </c>
      <c r="M148" s="1">
        <v>1.6</v>
      </c>
      <c r="N148" s="1">
        <v>8000</v>
      </c>
      <c r="O148" s="9"/>
      <c r="P148" s="7">
        <f t="shared" ca="1" si="40"/>
        <v>0.23333333333333339</v>
      </c>
      <c r="Q148" s="7">
        <f t="shared" ca="1" si="32"/>
        <v>1.1666666666666669E-2</v>
      </c>
      <c r="R148" s="33">
        <f t="shared" ca="1" si="41"/>
        <v>1400.0000000000005</v>
      </c>
      <c r="S148" s="33">
        <f t="shared" ca="1" si="42"/>
        <v>-4600</v>
      </c>
      <c r="T148" s="33">
        <f t="shared" ca="1" si="33"/>
        <v>1400.0000000000005</v>
      </c>
      <c r="U148" s="7">
        <f t="shared" ca="1" si="43"/>
        <v>0.3043478260869566</v>
      </c>
      <c r="V148" s="7">
        <f t="shared" ca="1" si="44"/>
        <v>-0.35068400902344804</v>
      </c>
      <c r="W148" s="33">
        <f t="shared" ca="1" si="34"/>
        <v>-4600</v>
      </c>
      <c r="X148" s="7">
        <f t="shared" ca="1" si="35"/>
        <v>-1</v>
      </c>
      <c r="Y148" s="7">
        <f t="shared" ca="1" si="36"/>
        <v>-0.69565217391304346</v>
      </c>
      <c r="Z148" s="7">
        <f t="shared" ca="1" si="45"/>
        <v>-9.7847861106441752E-2</v>
      </c>
      <c r="AA148" s="33">
        <f t="shared" ca="1" si="37"/>
        <v>-4600</v>
      </c>
      <c r="AB148" s="7">
        <f t="shared" ca="1" si="38"/>
        <v>-3.2857142857142847</v>
      </c>
      <c r="AC148" s="7">
        <f t="shared" ca="1" si="39"/>
        <v>-1.4906832298136641</v>
      </c>
      <c r="AD148" s="1"/>
      <c r="AE148" s="1"/>
      <c r="AH148" s="34"/>
    </row>
    <row r="149" spans="1:34" x14ac:dyDescent="0.25">
      <c r="A149" s="1">
        <v>146</v>
      </c>
      <c r="B149" s="25">
        <v>44007</v>
      </c>
      <c r="C149" s="10" t="s">
        <v>14</v>
      </c>
      <c r="D149" s="1">
        <v>89.2</v>
      </c>
      <c r="E149" s="30">
        <v>4000</v>
      </c>
      <c r="F149" s="1">
        <v>84</v>
      </c>
      <c r="G149" s="1">
        <v>1.85</v>
      </c>
      <c r="H149" s="1">
        <v>83</v>
      </c>
      <c r="I149" s="1">
        <v>1.65</v>
      </c>
      <c r="J149" s="1">
        <v>80000</v>
      </c>
      <c r="K149" s="1">
        <v>4000</v>
      </c>
      <c r="L149" s="1">
        <v>1.6</v>
      </c>
      <c r="M149" s="1">
        <v>1.7</v>
      </c>
      <c r="N149" s="1">
        <v>8000</v>
      </c>
      <c r="O149" s="9"/>
      <c r="P149" s="7">
        <f t="shared" ca="1" si="40"/>
        <v>0.20000000000000018</v>
      </c>
      <c r="Q149" s="7">
        <f t="shared" ca="1" si="32"/>
        <v>1.0000000000000009E-2</v>
      </c>
      <c r="R149" s="33">
        <f t="shared" ca="1" si="41"/>
        <v>800.00000000000068</v>
      </c>
      <c r="S149" s="33">
        <f t="shared" ca="1" si="42"/>
        <v>-3199.9999999999991</v>
      </c>
      <c r="T149" s="33">
        <f t="shared" ca="1" si="33"/>
        <v>800.00000000000068</v>
      </c>
      <c r="U149" s="7">
        <f t="shared" ca="1" si="43"/>
        <v>0.25000000000000028</v>
      </c>
      <c r="V149" s="7">
        <f t="shared" ca="1" si="44"/>
        <v>-0.35068400902344804</v>
      </c>
      <c r="W149" s="33">
        <f t="shared" ca="1" si="34"/>
        <v>-3199.9999999999991</v>
      </c>
      <c r="X149" s="7">
        <f t="shared" ca="1" si="35"/>
        <v>-1</v>
      </c>
      <c r="Y149" s="7">
        <f t="shared" ca="1" si="36"/>
        <v>-0.74999999999999978</v>
      </c>
      <c r="Z149" s="7">
        <f t="shared" ca="1" si="45"/>
        <v>-9.7847861106441752E-2</v>
      </c>
      <c r="AA149" s="33">
        <f t="shared" ca="1" si="37"/>
        <v>-3199.9999999999991</v>
      </c>
      <c r="AB149" s="7">
        <f t="shared" ca="1" si="38"/>
        <v>-3.9999999999999956</v>
      </c>
      <c r="AC149" s="7">
        <f t="shared" ca="1" si="39"/>
        <v>-1.8749999999999976</v>
      </c>
      <c r="AD149" s="1"/>
      <c r="AE149" s="1"/>
      <c r="AH149" s="34"/>
    </row>
    <row r="150" spans="1:34" x14ac:dyDescent="0.25">
      <c r="A150" s="1">
        <v>147</v>
      </c>
      <c r="B150" s="25">
        <v>44007</v>
      </c>
      <c r="C150" s="10" t="s">
        <v>785</v>
      </c>
      <c r="D150" s="1">
        <v>144.94999999999999</v>
      </c>
      <c r="E150" s="30">
        <v>5000</v>
      </c>
      <c r="F150" s="1">
        <v>137.5</v>
      </c>
      <c r="G150" s="1">
        <v>6.3</v>
      </c>
      <c r="H150" s="1">
        <v>80</v>
      </c>
      <c r="I150" s="1">
        <v>0.2</v>
      </c>
      <c r="J150" s="1">
        <v>185000</v>
      </c>
      <c r="K150" s="1">
        <v>65000</v>
      </c>
      <c r="L150" s="1">
        <v>0.15</v>
      </c>
      <c r="M150" s="1">
        <v>0.2</v>
      </c>
      <c r="N150" s="1">
        <v>5000</v>
      </c>
      <c r="O150" s="9"/>
      <c r="P150" s="7">
        <f t="shared" ca="1" si="40"/>
        <v>0.10608695652173912</v>
      </c>
      <c r="Q150" s="7">
        <f t="shared" ca="1" si="32"/>
        <v>5.3043478260869558E-3</v>
      </c>
      <c r="R150" s="33">
        <f t="shared" ca="1" si="41"/>
        <v>30500</v>
      </c>
      <c r="S150" s="33">
        <f t="shared" ca="1" si="42"/>
        <v>-257000</v>
      </c>
      <c r="T150" s="33">
        <f t="shared" ca="1" si="33"/>
        <v>30500</v>
      </c>
      <c r="U150" s="7">
        <f t="shared" ca="1" si="43"/>
        <v>0.11867704280155641</v>
      </c>
      <c r="V150" s="7">
        <f t="shared" ca="1" si="44"/>
        <v>-0.93371523676536727</v>
      </c>
      <c r="W150" s="33">
        <f t="shared" ca="1" si="34"/>
        <v>-257000</v>
      </c>
      <c r="X150" s="7">
        <f t="shared" ca="1" si="35"/>
        <v>-1</v>
      </c>
      <c r="Y150" s="7">
        <f t="shared" ca="1" si="36"/>
        <v>-0.88132295719844356</v>
      </c>
      <c r="Z150" s="7">
        <f t="shared" ca="1" si="45"/>
        <v>-0.22237651959635754</v>
      </c>
      <c r="AA150" s="33">
        <f t="shared" ca="1" si="37"/>
        <v>-93417.382577460128</v>
      </c>
      <c r="AB150" s="7">
        <f t="shared" ca="1" si="38"/>
        <v>-3.0628650025396764</v>
      </c>
      <c r="AC150" s="7">
        <f t="shared" ca="1" si="39"/>
        <v>-1.47209397986906</v>
      </c>
      <c r="AD150" s="1"/>
      <c r="AE150" s="1"/>
      <c r="AH150" s="34"/>
    </row>
    <row r="151" spans="1:34" x14ac:dyDescent="0.25">
      <c r="A151" s="1">
        <v>148</v>
      </c>
      <c r="B151" s="25">
        <v>44007</v>
      </c>
      <c r="C151" s="10" t="s">
        <v>785</v>
      </c>
      <c r="D151" s="1">
        <v>144.94999999999999</v>
      </c>
      <c r="E151" s="30">
        <v>5000</v>
      </c>
      <c r="F151" s="1">
        <v>137.5</v>
      </c>
      <c r="G151" s="1">
        <v>6.3</v>
      </c>
      <c r="H151" s="1">
        <v>85</v>
      </c>
      <c r="I151" s="1">
        <v>0.25</v>
      </c>
      <c r="J151" s="1">
        <v>120000</v>
      </c>
      <c r="K151" s="1">
        <v>30000</v>
      </c>
      <c r="L151" s="1">
        <v>0.15</v>
      </c>
      <c r="M151" s="1">
        <v>0.25</v>
      </c>
      <c r="N151" s="1">
        <v>15000</v>
      </c>
      <c r="O151" s="9"/>
      <c r="P151" s="7">
        <f t="shared" ca="1" si="40"/>
        <v>0.11523809523809524</v>
      </c>
      <c r="Q151" s="7">
        <f t="shared" ca="1" si="32"/>
        <v>5.7619047619047615E-3</v>
      </c>
      <c r="R151" s="33">
        <f t="shared" ca="1" si="41"/>
        <v>30250</v>
      </c>
      <c r="S151" s="33">
        <f t="shared" ca="1" si="42"/>
        <v>-232250</v>
      </c>
      <c r="T151" s="33">
        <f t="shared" ca="1" si="33"/>
        <v>30250</v>
      </c>
      <c r="U151" s="7">
        <f t="shared" ca="1" si="43"/>
        <v>0.1302475780409042</v>
      </c>
      <c r="V151" s="7">
        <f t="shared" ca="1" si="44"/>
        <v>-0.93371523676536727</v>
      </c>
      <c r="W151" s="33">
        <f t="shared" ca="1" si="34"/>
        <v>-232250</v>
      </c>
      <c r="X151" s="7">
        <f t="shared" ca="1" si="35"/>
        <v>-1</v>
      </c>
      <c r="Y151" s="7">
        <f t="shared" ca="1" si="36"/>
        <v>-0.86975242195909575</v>
      </c>
      <c r="Z151" s="7">
        <f t="shared" ca="1" si="45"/>
        <v>-0.22237651959635754</v>
      </c>
      <c r="AA151" s="33">
        <f t="shared" ca="1" si="37"/>
        <v>-93667.382577460128</v>
      </c>
      <c r="AB151" s="7">
        <f t="shared" ca="1" si="38"/>
        <v>-3.0964423992548804</v>
      </c>
      <c r="AC151" s="7">
        <f t="shared" ca="1" si="39"/>
        <v>-1.4830974106069881</v>
      </c>
      <c r="AD151" s="1"/>
      <c r="AE151" s="1"/>
      <c r="AH151" s="34"/>
    </row>
    <row r="152" spans="1:34" x14ac:dyDescent="0.25">
      <c r="A152" s="1">
        <v>149</v>
      </c>
      <c r="B152" s="25">
        <v>44007</v>
      </c>
      <c r="C152" s="10" t="s">
        <v>785</v>
      </c>
      <c r="D152" s="1">
        <v>144.94999999999999</v>
      </c>
      <c r="E152" s="30">
        <v>5000</v>
      </c>
      <c r="F152" s="1">
        <v>137.5</v>
      </c>
      <c r="G152" s="1">
        <v>6.3</v>
      </c>
      <c r="H152" s="1">
        <v>90</v>
      </c>
      <c r="I152" s="1">
        <v>0.3</v>
      </c>
      <c r="J152" s="1">
        <v>650000</v>
      </c>
      <c r="K152" s="1">
        <v>170000</v>
      </c>
      <c r="L152" s="1">
        <v>0.2</v>
      </c>
      <c r="M152" s="1">
        <v>0.3</v>
      </c>
      <c r="N152" s="1">
        <v>70000</v>
      </c>
      <c r="O152" s="9"/>
      <c r="P152" s="7">
        <f t="shared" ca="1" si="40"/>
        <v>0.12631578947368421</v>
      </c>
      <c r="Q152" s="7">
        <f t="shared" ca="1" si="32"/>
        <v>6.3157894736842104E-3</v>
      </c>
      <c r="R152" s="33">
        <f t="shared" ca="1" si="41"/>
        <v>30000</v>
      </c>
      <c r="S152" s="33">
        <f t="shared" ca="1" si="42"/>
        <v>-207500</v>
      </c>
      <c r="T152" s="33">
        <f t="shared" ca="1" si="33"/>
        <v>30000</v>
      </c>
      <c r="U152" s="7">
        <f t="shared" ca="1" si="43"/>
        <v>0.14457831325301204</v>
      </c>
      <c r="V152" s="7">
        <f t="shared" ca="1" si="44"/>
        <v>-0.93371523676536727</v>
      </c>
      <c r="W152" s="33">
        <f t="shared" ca="1" si="34"/>
        <v>-207500</v>
      </c>
      <c r="X152" s="7">
        <f t="shared" ca="1" si="35"/>
        <v>-1</v>
      </c>
      <c r="Y152" s="7">
        <f t="shared" ca="1" si="36"/>
        <v>-0.85542168674698793</v>
      </c>
      <c r="Z152" s="7">
        <f t="shared" ca="1" si="45"/>
        <v>-0.22237651959635754</v>
      </c>
      <c r="AA152" s="33">
        <f t="shared" ca="1" si="37"/>
        <v>-93917.382577460128</v>
      </c>
      <c r="AB152" s="7">
        <f t="shared" ca="1" si="38"/>
        <v>-3.1305794192486709</v>
      </c>
      <c r="AC152" s="7">
        <f t="shared" ca="1" si="39"/>
        <v>-1.4930005529978294</v>
      </c>
      <c r="AD152" s="1"/>
      <c r="AE152" s="1"/>
      <c r="AH152" s="34"/>
    </row>
    <row r="153" spans="1:34" x14ac:dyDescent="0.25">
      <c r="A153" s="1">
        <v>150</v>
      </c>
      <c r="B153" s="25">
        <v>44007</v>
      </c>
      <c r="C153" s="10" t="s">
        <v>785</v>
      </c>
      <c r="D153" s="1">
        <v>144.94999999999999</v>
      </c>
      <c r="E153" s="30">
        <v>5000</v>
      </c>
      <c r="F153" s="1">
        <v>137.5</v>
      </c>
      <c r="G153" s="1">
        <v>6.3</v>
      </c>
      <c r="H153" s="1">
        <v>95</v>
      </c>
      <c r="I153" s="1">
        <v>0.45</v>
      </c>
      <c r="J153" s="1">
        <v>285000</v>
      </c>
      <c r="K153" s="1">
        <v>15000</v>
      </c>
      <c r="L153" s="1">
        <v>0.35</v>
      </c>
      <c r="M153" s="1">
        <v>0.5</v>
      </c>
      <c r="N153" s="1">
        <v>25000</v>
      </c>
      <c r="O153" s="9"/>
      <c r="P153" s="7">
        <f t="shared" ca="1" si="40"/>
        <v>0.1376470588235294</v>
      </c>
      <c r="Q153" s="7">
        <f t="shared" ca="1" si="32"/>
        <v>6.8823529411764697E-3</v>
      </c>
      <c r="R153" s="33">
        <f t="shared" ca="1" si="41"/>
        <v>29250</v>
      </c>
      <c r="S153" s="33">
        <f t="shared" ca="1" si="42"/>
        <v>-183250</v>
      </c>
      <c r="T153" s="33">
        <f t="shared" ca="1" si="33"/>
        <v>29250</v>
      </c>
      <c r="U153" s="7">
        <f t="shared" ca="1" si="43"/>
        <v>0.15961800818553887</v>
      </c>
      <c r="V153" s="7">
        <f t="shared" ca="1" si="44"/>
        <v>-0.93371523676536727</v>
      </c>
      <c r="W153" s="33">
        <f t="shared" ca="1" si="34"/>
        <v>-183250</v>
      </c>
      <c r="X153" s="7">
        <f t="shared" ca="1" si="35"/>
        <v>-1</v>
      </c>
      <c r="Y153" s="7">
        <f t="shared" ca="1" si="36"/>
        <v>-0.84038199181446116</v>
      </c>
      <c r="Z153" s="7">
        <f t="shared" ca="1" si="45"/>
        <v>-0.22237651959635754</v>
      </c>
      <c r="AA153" s="33">
        <f t="shared" ca="1" si="37"/>
        <v>-94667.382577460128</v>
      </c>
      <c r="AB153" s="7">
        <f t="shared" ca="1" si="38"/>
        <v>-3.236491712049919</v>
      </c>
      <c r="AC153" s="7">
        <f t="shared" ca="1" si="39"/>
        <v>-1.53843685193219</v>
      </c>
      <c r="AD153" s="1"/>
      <c r="AE153" s="1"/>
      <c r="AH153" s="34"/>
    </row>
    <row r="154" spans="1:34" x14ac:dyDescent="0.25">
      <c r="A154" s="1">
        <v>151</v>
      </c>
      <c r="B154" s="25">
        <v>44007</v>
      </c>
      <c r="C154" s="10" t="s">
        <v>785</v>
      </c>
      <c r="D154" s="1">
        <v>144.94999999999999</v>
      </c>
      <c r="E154" s="30">
        <v>5000</v>
      </c>
      <c r="F154" s="1">
        <v>137.5</v>
      </c>
      <c r="G154" s="1">
        <v>6.3</v>
      </c>
      <c r="H154" s="1">
        <v>100</v>
      </c>
      <c r="I154" s="1">
        <v>0.55000000000000004</v>
      </c>
      <c r="J154" s="1">
        <v>1795000</v>
      </c>
      <c r="K154" s="1">
        <v>15000</v>
      </c>
      <c r="L154" s="1">
        <v>0.55000000000000004</v>
      </c>
      <c r="M154" s="1">
        <v>0.6</v>
      </c>
      <c r="N154" s="1">
        <v>5000</v>
      </c>
      <c r="O154" s="9"/>
      <c r="P154" s="7">
        <f t="shared" ca="1" si="40"/>
        <v>0.15333333333333332</v>
      </c>
      <c r="Q154" s="7">
        <f t="shared" ca="1" si="32"/>
        <v>7.6666666666666662E-3</v>
      </c>
      <c r="R154" s="33">
        <f t="shared" ca="1" si="41"/>
        <v>28750</v>
      </c>
      <c r="S154" s="33">
        <f t="shared" ca="1" si="42"/>
        <v>-158750</v>
      </c>
      <c r="T154" s="33">
        <f t="shared" ca="1" si="33"/>
        <v>28750</v>
      </c>
      <c r="U154" s="7">
        <f t="shared" ca="1" si="43"/>
        <v>0.18110236220472442</v>
      </c>
      <c r="V154" s="7">
        <f t="shared" ca="1" si="44"/>
        <v>-0.93371523676536727</v>
      </c>
      <c r="W154" s="33">
        <f t="shared" ca="1" si="34"/>
        <v>-158750</v>
      </c>
      <c r="X154" s="7">
        <f t="shared" ca="1" si="35"/>
        <v>-1</v>
      </c>
      <c r="Y154" s="7">
        <f t="shared" ca="1" si="36"/>
        <v>-0.81889763779527558</v>
      </c>
      <c r="Z154" s="7">
        <f t="shared" ca="1" si="45"/>
        <v>-0.22237651959635754</v>
      </c>
      <c r="AA154" s="33">
        <f t="shared" ca="1" si="37"/>
        <v>-95167.382577460128</v>
      </c>
      <c r="AB154" s="7">
        <f t="shared" ca="1" si="38"/>
        <v>-3.310169828781222</v>
      </c>
      <c r="AC154" s="7">
        <f t="shared" ca="1" si="39"/>
        <v>-1.5645337332882487</v>
      </c>
      <c r="AD154" s="1"/>
      <c r="AE154" s="1"/>
      <c r="AH154" s="34"/>
    </row>
    <row r="155" spans="1:34" x14ac:dyDescent="0.25">
      <c r="A155" s="1">
        <v>152</v>
      </c>
      <c r="B155" s="25">
        <v>44007</v>
      </c>
      <c r="C155" s="10" t="s">
        <v>785</v>
      </c>
      <c r="D155" s="1">
        <v>144.94999999999999</v>
      </c>
      <c r="E155" s="30">
        <v>5000</v>
      </c>
      <c r="F155" s="1">
        <v>137.5</v>
      </c>
      <c r="G155" s="1">
        <v>6.3</v>
      </c>
      <c r="H155" s="1">
        <v>105</v>
      </c>
      <c r="I155" s="1">
        <v>0.85</v>
      </c>
      <c r="J155" s="1">
        <v>520000</v>
      </c>
      <c r="K155" s="1">
        <v>10000</v>
      </c>
      <c r="L155" s="1">
        <v>0.8</v>
      </c>
      <c r="M155" s="1">
        <v>0.9</v>
      </c>
      <c r="N155" s="1">
        <v>5000</v>
      </c>
      <c r="O155" s="9"/>
      <c r="P155" s="7">
        <f t="shared" ca="1" si="40"/>
        <v>0.1676923076923077</v>
      </c>
      <c r="Q155" s="7">
        <f t="shared" ref="Q155:Q218" ca="1" si="46">P155/($B155-TODAY())</f>
        <v>8.3846153846153845E-3</v>
      </c>
      <c r="R155" s="33">
        <f t="shared" ca="1" si="41"/>
        <v>27250</v>
      </c>
      <c r="S155" s="33">
        <f t="shared" ca="1" si="42"/>
        <v>-135250</v>
      </c>
      <c r="T155" s="33">
        <f t="shared" ref="T155:T218" ca="1" si="47">R155</f>
        <v>27250</v>
      </c>
      <c r="U155" s="7">
        <f t="shared" ca="1" si="43"/>
        <v>0.20147874306839186</v>
      </c>
      <c r="V155" s="7">
        <f t="shared" ca="1" si="44"/>
        <v>-0.93371523676536727</v>
      </c>
      <c r="W155" s="33">
        <f t="shared" ref="W155:W218" ca="1" si="48">-(MAX(($F155-MAX($D155*(1+V155),$H155)),0)*$E155-$R155)</f>
        <v>-135250</v>
      </c>
      <c r="X155" s="7">
        <f t="shared" ref="X155:X218" ca="1" si="49">W155/ABS($S155)</f>
        <v>-1</v>
      </c>
      <c r="Y155" s="7">
        <f t="shared" ref="Y155:Y218" ca="1" si="50">$U155+X155</f>
        <v>-0.79852125693160814</v>
      </c>
      <c r="Z155" s="7">
        <f t="shared" ca="1" si="45"/>
        <v>-0.22237651959635754</v>
      </c>
      <c r="AA155" s="33">
        <f t="shared" ref="AA155:AA218" ca="1" si="51">-(MAX(($F155-MAX($D155*(1+Z155),$H155)),0)*$E155-$R155)</f>
        <v>-96667.382577460128</v>
      </c>
      <c r="AB155" s="7">
        <f t="shared" ref="AB155:AB218" ca="1" si="52">AA155/$R155</f>
        <v>-3.5474268835765184</v>
      </c>
      <c r="AC155" s="7">
        <f t="shared" ref="AC155:AC218" ca="1" si="53">AVERAGE($U155,AB155)</f>
        <v>-1.6729740702540632</v>
      </c>
      <c r="AD155" s="1"/>
      <c r="AE155" s="1"/>
      <c r="AH155" s="34"/>
    </row>
    <row r="156" spans="1:34" x14ac:dyDescent="0.25">
      <c r="A156" s="1">
        <v>153</v>
      </c>
      <c r="B156" s="25">
        <v>44007</v>
      </c>
      <c r="C156" s="10" t="s">
        <v>785</v>
      </c>
      <c r="D156" s="1">
        <v>144.94999999999999</v>
      </c>
      <c r="E156" s="30">
        <v>5000</v>
      </c>
      <c r="F156" s="1">
        <v>137.5</v>
      </c>
      <c r="G156" s="1">
        <v>6.3</v>
      </c>
      <c r="H156" s="1">
        <v>110</v>
      </c>
      <c r="I156" s="1">
        <v>1.1499999999999999</v>
      </c>
      <c r="J156" s="1">
        <v>1060000</v>
      </c>
      <c r="K156" s="1">
        <v>10000</v>
      </c>
      <c r="L156" s="1">
        <v>1.1499999999999999</v>
      </c>
      <c r="M156" s="1">
        <v>1.3</v>
      </c>
      <c r="N156" s="1">
        <v>10000</v>
      </c>
      <c r="O156" s="9"/>
      <c r="P156" s="7">
        <f t="shared" ca="1" si="40"/>
        <v>0.18727272727272729</v>
      </c>
      <c r="Q156" s="7">
        <f t="shared" ca="1" si="46"/>
        <v>9.3636363636363639E-3</v>
      </c>
      <c r="R156" s="33">
        <f t="shared" ca="1" si="41"/>
        <v>25750</v>
      </c>
      <c r="S156" s="33">
        <f t="shared" ca="1" si="42"/>
        <v>-111750</v>
      </c>
      <c r="T156" s="33">
        <f t="shared" ca="1" si="47"/>
        <v>25750</v>
      </c>
      <c r="U156" s="7">
        <f t="shared" ca="1" si="43"/>
        <v>0.23042505592841164</v>
      </c>
      <c r="V156" s="7">
        <f t="shared" ca="1" si="44"/>
        <v>-0.93371523676536727</v>
      </c>
      <c r="W156" s="33">
        <f t="shared" ca="1" si="48"/>
        <v>-111750</v>
      </c>
      <c r="X156" s="7">
        <f t="shared" ca="1" si="49"/>
        <v>-1</v>
      </c>
      <c r="Y156" s="7">
        <f t="shared" ca="1" si="50"/>
        <v>-0.76957494407158833</v>
      </c>
      <c r="Z156" s="7">
        <f t="shared" ca="1" si="45"/>
        <v>-0.22237651959635754</v>
      </c>
      <c r="AA156" s="33">
        <f t="shared" ca="1" si="51"/>
        <v>-98167.382577460128</v>
      </c>
      <c r="AB156" s="7">
        <f t="shared" ca="1" si="52"/>
        <v>-3.8123255369887428</v>
      </c>
      <c r="AC156" s="7">
        <f t="shared" ca="1" si="53"/>
        <v>-1.7909502405301656</v>
      </c>
      <c r="AD156" s="1"/>
      <c r="AE156" s="1"/>
      <c r="AH156" s="34"/>
    </row>
    <row r="157" spans="1:34" x14ac:dyDescent="0.25">
      <c r="A157" s="1">
        <v>154</v>
      </c>
      <c r="B157" s="25">
        <v>44007</v>
      </c>
      <c r="C157" s="10" t="s">
        <v>785</v>
      </c>
      <c r="D157" s="1">
        <v>144.94999999999999</v>
      </c>
      <c r="E157" s="30">
        <v>5000</v>
      </c>
      <c r="F157" s="1">
        <v>137.5</v>
      </c>
      <c r="G157" s="1">
        <v>6.3</v>
      </c>
      <c r="H157" s="1">
        <v>115</v>
      </c>
      <c r="I157" s="1">
        <v>1.6</v>
      </c>
      <c r="J157" s="1">
        <v>535000</v>
      </c>
      <c r="K157" s="1">
        <v>10000</v>
      </c>
      <c r="L157" s="1">
        <v>1.55</v>
      </c>
      <c r="M157" s="1">
        <v>1.65</v>
      </c>
      <c r="N157" s="1">
        <v>5000</v>
      </c>
      <c r="O157" s="9"/>
      <c r="P157" s="7">
        <f t="shared" ca="1" si="40"/>
        <v>0.20888888888888885</v>
      </c>
      <c r="Q157" s="7">
        <f t="shared" ca="1" si="46"/>
        <v>1.0444444444444442E-2</v>
      </c>
      <c r="R157" s="33">
        <f t="shared" ca="1" si="41"/>
        <v>23499.999999999996</v>
      </c>
      <c r="S157" s="33">
        <f t="shared" ca="1" si="42"/>
        <v>-89000</v>
      </c>
      <c r="T157" s="33">
        <f t="shared" ca="1" si="47"/>
        <v>23499.999999999996</v>
      </c>
      <c r="U157" s="7">
        <f t="shared" ca="1" si="43"/>
        <v>0.2640449438202247</v>
      </c>
      <c r="V157" s="7">
        <f t="shared" ca="1" si="44"/>
        <v>-0.93371523676536727</v>
      </c>
      <c r="W157" s="33">
        <f t="shared" ca="1" si="48"/>
        <v>-89000</v>
      </c>
      <c r="X157" s="7">
        <f t="shared" ca="1" si="49"/>
        <v>-1</v>
      </c>
      <c r="Y157" s="7">
        <f t="shared" ca="1" si="50"/>
        <v>-0.7359550561797753</v>
      </c>
      <c r="Z157" s="7">
        <f t="shared" ca="1" si="45"/>
        <v>-0.22237651959635754</v>
      </c>
      <c r="AA157" s="33">
        <f t="shared" ca="1" si="51"/>
        <v>-89000</v>
      </c>
      <c r="AB157" s="7">
        <f t="shared" ca="1" si="52"/>
        <v>-3.7872340425531923</v>
      </c>
      <c r="AC157" s="7">
        <f t="shared" ca="1" si="53"/>
        <v>-1.7615945493664837</v>
      </c>
      <c r="AD157" s="1"/>
      <c r="AE157" s="1"/>
      <c r="AH157" s="34"/>
    </row>
    <row r="158" spans="1:34" x14ac:dyDescent="0.25">
      <c r="A158" s="1">
        <v>155</v>
      </c>
      <c r="B158" s="25">
        <v>44007</v>
      </c>
      <c r="C158" s="10" t="s">
        <v>785</v>
      </c>
      <c r="D158" s="1">
        <v>144.94999999999999</v>
      </c>
      <c r="E158" s="30">
        <v>5000</v>
      </c>
      <c r="F158" s="1">
        <v>137.5</v>
      </c>
      <c r="G158" s="1">
        <v>6.3</v>
      </c>
      <c r="H158" s="1">
        <v>117.5</v>
      </c>
      <c r="I158" s="1">
        <v>2.35</v>
      </c>
      <c r="J158" s="1">
        <v>25000</v>
      </c>
      <c r="K158" s="1">
        <v>70000</v>
      </c>
      <c r="L158" s="1">
        <v>1.55</v>
      </c>
      <c r="M158" s="1">
        <v>2.4500000000000002</v>
      </c>
      <c r="N158" s="1">
        <v>60000</v>
      </c>
      <c r="O158" s="9"/>
      <c r="P158" s="7">
        <f t="shared" ca="1" si="40"/>
        <v>0.19749999999999998</v>
      </c>
      <c r="Q158" s="7">
        <f t="shared" ca="1" si="46"/>
        <v>9.8749999999999984E-3</v>
      </c>
      <c r="R158" s="33">
        <f t="shared" ca="1" si="41"/>
        <v>19750</v>
      </c>
      <c r="S158" s="33">
        <f t="shared" ca="1" si="42"/>
        <v>-80250</v>
      </c>
      <c r="T158" s="33">
        <f t="shared" ca="1" si="47"/>
        <v>19750</v>
      </c>
      <c r="U158" s="7">
        <f t="shared" ca="1" si="43"/>
        <v>0.24610591900311526</v>
      </c>
      <c r="V158" s="7">
        <f t="shared" ca="1" si="44"/>
        <v>-0.93371523676536727</v>
      </c>
      <c r="W158" s="33">
        <f t="shared" ca="1" si="48"/>
        <v>-80250</v>
      </c>
      <c r="X158" s="7">
        <f t="shared" ca="1" si="49"/>
        <v>-1</v>
      </c>
      <c r="Y158" s="7">
        <f t="shared" ca="1" si="50"/>
        <v>-0.75389408099688471</v>
      </c>
      <c r="Z158" s="7">
        <f t="shared" ca="1" si="45"/>
        <v>-0.22237651959635754</v>
      </c>
      <c r="AA158" s="33">
        <f t="shared" ca="1" si="51"/>
        <v>-80250</v>
      </c>
      <c r="AB158" s="7">
        <f t="shared" ca="1" si="52"/>
        <v>-4.0632911392405067</v>
      </c>
      <c r="AC158" s="7">
        <f t="shared" ca="1" si="53"/>
        <v>-1.9085926101186956</v>
      </c>
      <c r="AD158" s="1"/>
      <c r="AE158" s="1"/>
      <c r="AH158" s="34"/>
    </row>
    <row r="159" spans="1:34" x14ac:dyDescent="0.25">
      <c r="A159" s="1">
        <v>156</v>
      </c>
      <c r="B159" s="25">
        <v>44007</v>
      </c>
      <c r="C159" s="10" t="s">
        <v>785</v>
      </c>
      <c r="D159" s="1">
        <v>144.94999999999999</v>
      </c>
      <c r="E159" s="30">
        <v>5000</v>
      </c>
      <c r="F159" s="1">
        <v>137.5</v>
      </c>
      <c r="G159" s="1">
        <v>6.3</v>
      </c>
      <c r="H159" s="1">
        <v>120</v>
      </c>
      <c r="I159" s="1">
        <v>2.25</v>
      </c>
      <c r="J159" s="1">
        <v>1375000</v>
      </c>
      <c r="K159" s="1">
        <v>15000</v>
      </c>
      <c r="L159" s="1">
        <v>2.2000000000000002</v>
      </c>
      <c r="M159" s="1">
        <v>2.35</v>
      </c>
      <c r="N159" s="1">
        <v>10000</v>
      </c>
      <c r="O159" s="9"/>
      <c r="P159" s="7">
        <f t="shared" ca="1" si="40"/>
        <v>0.23142857142857143</v>
      </c>
      <c r="Q159" s="7">
        <f t="shared" ca="1" si="46"/>
        <v>1.1571428571428571E-2</v>
      </c>
      <c r="R159" s="33">
        <f t="shared" ca="1" si="41"/>
        <v>20250</v>
      </c>
      <c r="S159" s="33">
        <f t="shared" ca="1" si="42"/>
        <v>-67250</v>
      </c>
      <c r="T159" s="33">
        <f t="shared" ca="1" si="47"/>
        <v>20250</v>
      </c>
      <c r="U159" s="7">
        <f t="shared" ca="1" si="43"/>
        <v>0.30111524163568776</v>
      </c>
      <c r="V159" s="7">
        <f t="shared" ca="1" si="44"/>
        <v>-0.93371523676536727</v>
      </c>
      <c r="W159" s="33">
        <f t="shared" ca="1" si="48"/>
        <v>-67250</v>
      </c>
      <c r="X159" s="7">
        <f t="shared" ca="1" si="49"/>
        <v>-1</v>
      </c>
      <c r="Y159" s="7">
        <f t="shared" ca="1" si="50"/>
        <v>-0.6988847583643123</v>
      </c>
      <c r="Z159" s="7">
        <f t="shared" ca="1" si="45"/>
        <v>-0.22237651959635754</v>
      </c>
      <c r="AA159" s="33">
        <f t="shared" ca="1" si="51"/>
        <v>-67250</v>
      </c>
      <c r="AB159" s="7">
        <f t="shared" ca="1" si="52"/>
        <v>-3.3209876543209877</v>
      </c>
      <c r="AC159" s="7">
        <f t="shared" ca="1" si="53"/>
        <v>-1.50993620634265</v>
      </c>
      <c r="AD159" s="1"/>
      <c r="AE159" s="1"/>
      <c r="AH159" s="34"/>
    </row>
    <row r="160" spans="1:34" x14ac:dyDescent="0.25">
      <c r="A160" s="1">
        <v>157</v>
      </c>
      <c r="B160" s="25">
        <v>44007</v>
      </c>
      <c r="C160" s="10" t="s">
        <v>785</v>
      </c>
      <c r="D160" s="1">
        <v>144.94999999999999</v>
      </c>
      <c r="E160" s="30">
        <v>5000</v>
      </c>
      <c r="F160" s="1">
        <v>137.5</v>
      </c>
      <c r="G160" s="1">
        <v>6.3</v>
      </c>
      <c r="H160" s="1">
        <v>122.5</v>
      </c>
      <c r="I160" s="1">
        <v>2.5</v>
      </c>
      <c r="J160" s="1">
        <v>75000</v>
      </c>
      <c r="K160" s="1">
        <v>30000</v>
      </c>
      <c r="L160" s="1">
        <v>2.4500000000000002</v>
      </c>
      <c r="M160" s="1">
        <v>2.85</v>
      </c>
      <c r="N160" s="1">
        <v>15000</v>
      </c>
      <c r="O160" s="9"/>
      <c r="P160" s="7">
        <f t="shared" ca="1" si="40"/>
        <v>0.2533333333333333</v>
      </c>
      <c r="Q160" s="7">
        <f t="shared" ca="1" si="46"/>
        <v>1.2666666666666665E-2</v>
      </c>
      <c r="R160" s="33">
        <f t="shared" ca="1" si="41"/>
        <v>19000</v>
      </c>
      <c r="S160" s="33">
        <f t="shared" ca="1" si="42"/>
        <v>-56000</v>
      </c>
      <c r="T160" s="33">
        <f t="shared" ca="1" si="47"/>
        <v>19000</v>
      </c>
      <c r="U160" s="7">
        <f t="shared" ca="1" si="43"/>
        <v>0.3392857142857143</v>
      </c>
      <c r="V160" s="7">
        <f t="shared" ca="1" si="44"/>
        <v>-0.93371523676536727</v>
      </c>
      <c r="W160" s="33">
        <f t="shared" ca="1" si="48"/>
        <v>-56000</v>
      </c>
      <c r="X160" s="7">
        <f t="shared" ca="1" si="49"/>
        <v>-1</v>
      </c>
      <c r="Y160" s="7">
        <f t="shared" ca="1" si="50"/>
        <v>-0.6607142857142857</v>
      </c>
      <c r="Z160" s="7">
        <f t="shared" ca="1" si="45"/>
        <v>-0.22237651959635754</v>
      </c>
      <c r="AA160" s="33">
        <f t="shared" ca="1" si="51"/>
        <v>-56000</v>
      </c>
      <c r="AB160" s="7">
        <f t="shared" ca="1" si="52"/>
        <v>-2.9473684210526314</v>
      </c>
      <c r="AC160" s="7">
        <f t="shared" ca="1" si="53"/>
        <v>-1.3040413533834585</v>
      </c>
      <c r="AD160" s="1"/>
      <c r="AE160" s="1"/>
      <c r="AH160" s="34"/>
    </row>
    <row r="161" spans="1:34" x14ac:dyDescent="0.25">
      <c r="A161" s="1">
        <v>158</v>
      </c>
      <c r="B161" s="25">
        <v>44007</v>
      </c>
      <c r="C161" s="10" t="s">
        <v>785</v>
      </c>
      <c r="D161" s="1">
        <v>144.94999999999999</v>
      </c>
      <c r="E161" s="30">
        <v>5000</v>
      </c>
      <c r="F161" s="1">
        <v>137.5</v>
      </c>
      <c r="G161" s="1">
        <v>6.3</v>
      </c>
      <c r="H161" s="1">
        <v>125</v>
      </c>
      <c r="I161" s="1">
        <v>3</v>
      </c>
      <c r="J161" s="1">
        <v>790000</v>
      </c>
      <c r="K161" s="1">
        <v>5000</v>
      </c>
      <c r="L161" s="1">
        <v>3.05</v>
      </c>
      <c r="M161" s="1">
        <v>3.15</v>
      </c>
      <c r="N161" s="1">
        <v>10000</v>
      </c>
      <c r="O161" s="9"/>
      <c r="P161" s="7">
        <f t="shared" ca="1" si="40"/>
        <v>0.26400000000000001</v>
      </c>
      <c r="Q161" s="7">
        <f t="shared" ca="1" si="46"/>
        <v>1.32E-2</v>
      </c>
      <c r="R161" s="33">
        <f t="shared" ca="1" si="41"/>
        <v>16500</v>
      </c>
      <c r="S161" s="33">
        <f t="shared" ca="1" si="42"/>
        <v>-46000</v>
      </c>
      <c r="T161" s="33">
        <f t="shared" ca="1" si="47"/>
        <v>16500</v>
      </c>
      <c r="U161" s="7">
        <f t="shared" ca="1" si="43"/>
        <v>0.35869565217391303</v>
      </c>
      <c r="V161" s="7">
        <f t="shared" ca="1" si="44"/>
        <v>-0.93371523676536727</v>
      </c>
      <c r="W161" s="33">
        <f t="shared" ca="1" si="48"/>
        <v>-46000</v>
      </c>
      <c r="X161" s="7">
        <f t="shared" ca="1" si="49"/>
        <v>-1</v>
      </c>
      <c r="Y161" s="7">
        <f t="shared" ca="1" si="50"/>
        <v>-0.64130434782608692</v>
      </c>
      <c r="Z161" s="7">
        <f t="shared" ca="1" si="45"/>
        <v>-0.22237651959635754</v>
      </c>
      <c r="AA161" s="33">
        <f t="shared" ca="1" si="51"/>
        <v>-46000</v>
      </c>
      <c r="AB161" s="7">
        <f t="shared" ca="1" si="52"/>
        <v>-2.7878787878787881</v>
      </c>
      <c r="AC161" s="7">
        <f t="shared" ca="1" si="53"/>
        <v>-1.2145915678524375</v>
      </c>
      <c r="AD161" s="1"/>
      <c r="AE161" s="1"/>
      <c r="AH161" s="34"/>
    </row>
    <row r="162" spans="1:34" x14ac:dyDescent="0.25">
      <c r="A162" s="1">
        <v>159</v>
      </c>
      <c r="B162" s="25">
        <v>44007</v>
      </c>
      <c r="C162" s="10" t="s">
        <v>785</v>
      </c>
      <c r="D162" s="1">
        <v>144.94999999999999</v>
      </c>
      <c r="E162" s="30">
        <v>5000</v>
      </c>
      <c r="F162" s="1">
        <v>137.5</v>
      </c>
      <c r="G162" s="1">
        <v>6.3</v>
      </c>
      <c r="H162" s="1">
        <v>127.5</v>
      </c>
      <c r="I162" s="1">
        <v>3.4</v>
      </c>
      <c r="J162" s="1">
        <v>95000</v>
      </c>
      <c r="K162" s="1">
        <v>5000</v>
      </c>
      <c r="L162" s="1">
        <v>3.45</v>
      </c>
      <c r="M162" s="1">
        <v>3.8</v>
      </c>
      <c r="N162" s="1">
        <v>15000</v>
      </c>
      <c r="O162" s="9"/>
      <c r="P162" s="7">
        <f t="shared" ca="1" si="40"/>
        <v>0.28999999999999998</v>
      </c>
      <c r="Q162" s="7">
        <f t="shared" ca="1" si="46"/>
        <v>1.4499999999999999E-2</v>
      </c>
      <c r="R162" s="33">
        <f t="shared" ca="1" si="41"/>
        <v>14500</v>
      </c>
      <c r="S162" s="33">
        <f t="shared" ca="1" si="42"/>
        <v>-35500</v>
      </c>
      <c r="T162" s="33">
        <f t="shared" ca="1" si="47"/>
        <v>14500</v>
      </c>
      <c r="U162" s="7">
        <f t="shared" ca="1" si="43"/>
        <v>0.40845070422535212</v>
      </c>
      <c r="V162" s="7">
        <f t="shared" ca="1" si="44"/>
        <v>-0.93371523676536727</v>
      </c>
      <c r="W162" s="33">
        <f t="shared" ca="1" si="48"/>
        <v>-35500</v>
      </c>
      <c r="X162" s="7">
        <f t="shared" ca="1" si="49"/>
        <v>-1</v>
      </c>
      <c r="Y162" s="7">
        <f t="shared" ca="1" si="50"/>
        <v>-0.59154929577464788</v>
      </c>
      <c r="Z162" s="7">
        <f t="shared" ca="1" si="45"/>
        <v>-0.22237651959635754</v>
      </c>
      <c r="AA162" s="33">
        <f t="shared" ca="1" si="51"/>
        <v>-35500</v>
      </c>
      <c r="AB162" s="7">
        <f t="shared" ca="1" si="52"/>
        <v>-2.4482758620689653</v>
      </c>
      <c r="AC162" s="7">
        <f t="shared" ca="1" si="53"/>
        <v>-1.0199125789218066</v>
      </c>
      <c r="AD162" s="1"/>
      <c r="AE162" s="1"/>
      <c r="AH162" s="34"/>
    </row>
    <row r="163" spans="1:34" x14ac:dyDescent="0.25">
      <c r="A163" s="1">
        <v>160</v>
      </c>
      <c r="B163" s="25">
        <v>44007</v>
      </c>
      <c r="C163" s="10" t="s">
        <v>785</v>
      </c>
      <c r="D163" s="1">
        <v>144.94999999999999</v>
      </c>
      <c r="E163" s="30">
        <v>5000</v>
      </c>
      <c r="F163" s="1">
        <v>137.5</v>
      </c>
      <c r="G163" s="1">
        <v>6.3</v>
      </c>
      <c r="H163" s="1">
        <v>130</v>
      </c>
      <c r="I163" s="1">
        <v>4.1500000000000004</v>
      </c>
      <c r="J163" s="1">
        <v>1270000</v>
      </c>
      <c r="K163" s="1">
        <v>10000</v>
      </c>
      <c r="L163" s="1">
        <v>4.1500000000000004</v>
      </c>
      <c r="M163" s="1">
        <v>4.25</v>
      </c>
      <c r="N163" s="1">
        <v>10000</v>
      </c>
      <c r="O163" s="9"/>
      <c r="P163" s="7">
        <f t="shared" ca="1" si="40"/>
        <v>0.28666666666666657</v>
      </c>
      <c r="Q163" s="7">
        <f t="shared" ca="1" si="46"/>
        <v>1.4333333333333328E-2</v>
      </c>
      <c r="R163" s="33">
        <f t="shared" ca="1" si="41"/>
        <v>10749.999999999998</v>
      </c>
      <c r="S163" s="33">
        <f t="shared" ca="1" si="42"/>
        <v>-26750</v>
      </c>
      <c r="T163" s="33">
        <f t="shared" ca="1" si="47"/>
        <v>10749.999999999998</v>
      </c>
      <c r="U163" s="7">
        <f t="shared" ca="1" si="43"/>
        <v>0.40186915887850461</v>
      </c>
      <c r="V163" s="7">
        <f t="shared" ca="1" si="44"/>
        <v>-0.93371523676536727</v>
      </c>
      <c r="W163" s="33">
        <f t="shared" ca="1" si="48"/>
        <v>-26750</v>
      </c>
      <c r="X163" s="7">
        <f t="shared" ca="1" si="49"/>
        <v>-1</v>
      </c>
      <c r="Y163" s="7">
        <f t="shared" ca="1" si="50"/>
        <v>-0.59813084112149539</v>
      </c>
      <c r="Z163" s="7">
        <f t="shared" ca="1" si="45"/>
        <v>-0.22237651959635754</v>
      </c>
      <c r="AA163" s="33">
        <f t="shared" ca="1" si="51"/>
        <v>-26750</v>
      </c>
      <c r="AB163" s="7">
        <f t="shared" ca="1" si="52"/>
        <v>-2.4883720930232562</v>
      </c>
      <c r="AC163" s="7">
        <f t="shared" ca="1" si="53"/>
        <v>-1.0432514670723758</v>
      </c>
      <c r="AD163" s="1"/>
      <c r="AE163" s="1"/>
      <c r="AH163" s="34"/>
    </row>
    <row r="164" spans="1:34" x14ac:dyDescent="0.25">
      <c r="A164" s="1">
        <v>161</v>
      </c>
      <c r="B164" s="25">
        <v>44007</v>
      </c>
      <c r="C164" s="10" t="s">
        <v>785</v>
      </c>
      <c r="D164" s="1">
        <v>144.94999999999999</v>
      </c>
      <c r="E164" s="30">
        <v>5000</v>
      </c>
      <c r="F164" s="1">
        <v>137.5</v>
      </c>
      <c r="G164" s="1">
        <v>6.3</v>
      </c>
      <c r="H164" s="1">
        <v>132.5</v>
      </c>
      <c r="I164" s="1">
        <v>4.6500000000000004</v>
      </c>
      <c r="J164" s="1">
        <v>80000</v>
      </c>
      <c r="K164" s="1">
        <v>10000</v>
      </c>
      <c r="L164" s="1">
        <v>4.8499999999999996</v>
      </c>
      <c r="M164" s="1">
        <v>5</v>
      </c>
      <c r="N164" s="1">
        <v>10000</v>
      </c>
      <c r="O164" s="9"/>
      <c r="P164" s="7">
        <f t="shared" ca="1" si="40"/>
        <v>0.3299999999999999</v>
      </c>
      <c r="Q164" s="7">
        <f t="shared" ca="1" si="46"/>
        <v>1.6499999999999994E-2</v>
      </c>
      <c r="R164" s="33">
        <f t="shared" ca="1" si="41"/>
        <v>8249.9999999999982</v>
      </c>
      <c r="S164" s="33">
        <f t="shared" ca="1" si="42"/>
        <v>-16750</v>
      </c>
      <c r="T164" s="33">
        <f t="shared" ca="1" si="47"/>
        <v>8249.9999999999982</v>
      </c>
      <c r="U164" s="7">
        <f t="shared" ca="1" si="43"/>
        <v>0.49253731343283569</v>
      </c>
      <c r="V164" s="7">
        <f t="shared" ca="1" si="44"/>
        <v>-0.93371523676536727</v>
      </c>
      <c r="W164" s="33">
        <f t="shared" ca="1" si="48"/>
        <v>-16750</v>
      </c>
      <c r="X164" s="7">
        <f t="shared" ca="1" si="49"/>
        <v>-1</v>
      </c>
      <c r="Y164" s="7">
        <f t="shared" ca="1" si="50"/>
        <v>-0.50746268656716431</v>
      </c>
      <c r="Z164" s="7">
        <f t="shared" ca="1" si="45"/>
        <v>-0.22237651959635754</v>
      </c>
      <c r="AA164" s="33">
        <f t="shared" ca="1" si="51"/>
        <v>-16750</v>
      </c>
      <c r="AB164" s="7">
        <f t="shared" ca="1" si="52"/>
        <v>-2.0303030303030307</v>
      </c>
      <c r="AC164" s="7">
        <f t="shared" ca="1" si="53"/>
        <v>-0.76888285843509752</v>
      </c>
      <c r="AD164" s="1"/>
      <c r="AE164" s="1"/>
      <c r="AH164" s="34"/>
    </row>
    <row r="165" spans="1:34" x14ac:dyDescent="0.25">
      <c r="A165" s="1">
        <v>162</v>
      </c>
      <c r="B165" s="25">
        <v>44007</v>
      </c>
      <c r="C165" s="10" t="s">
        <v>785</v>
      </c>
      <c r="D165" s="1">
        <v>144.94999999999999</v>
      </c>
      <c r="E165" s="30">
        <v>5000</v>
      </c>
      <c r="F165" s="1">
        <v>137.5</v>
      </c>
      <c r="G165" s="1">
        <v>6.3</v>
      </c>
      <c r="H165" s="1">
        <v>135</v>
      </c>
      <c r="I165" s="1">
        <v>5.65</v>
      </c>
      <c r="J165" s="1">
        <v>625000</v>
      </c>
      <c r="K165" s="1">
        <v>15000</v>
      </c>
      <c r="L165" s="1">
        <v>5.6</v>
      </c>
      <c r="M165" s="1">
        <v>5.7</v>
      </c>
      <c r="N165" s="1">
        <v>5000</v>
      </c>
      <c r="O165" s="9"/>
      <c r="P165" s="7">
        <f t="shared" ca="1" si="40"/>
        <v>0.25999999999999979</v>
      </c>
      <c r="Q165" s="7">
        <f t="shared" ca="1" si="46"/>
        <v>1.2999999999999989E-2</v>
      </c>
      <c r="R165" s="33">
        <f t="shared" ca="1" si="41"/>
        <v>3249.9999999999973</v>
      </c>
      <c r="S165" s="33">
        <f t="shared" ca="1" si="42"/>
        <v>-9250.0000000000036</v>
      </c>
      <c r="T165" s="33">
        <f t="shared" ca="1" si="47"/>
        <v>3249.9999999999973</v>
      </c>
      <c r="U165" s="7">
        <f t="shared" ca="1" si="43"/>
        <v>0.35135135135135093</v>
      </c>
      <c r="V165" s="7">
        <f t="shared" ca="1" si="44"/>
        <v>-0.93371523676536727</v>
      </c>
      <c r="W165" s="33">
        <f t="shared" ca="1" si="48"/>
        <v>-9250.0000000000036</v>
      </c>
      <c r="X165" s="7">
        <f t="shared" ca="1" si="49"/>
        <v>-1</v>
      </c>
      <c r="Y165" s="7">
        <f t="shared" ca="1" si="50"/>
        <v>-0.64864864864864913</v>
      </c>
      <c r="Z165" s="7">
        <f t="shared" ca="1" si="45"/>
        <v>-0.22237651959635754</v>
      </c>
      <c r="AA165" s="33">
        <f t="shared" ca="1" si="51"/>
        <v>-9250.0000000000036</v>
      </c>
      <c r="AB165" s="7">
        <f t="shared" ca="1" si="52"/>
        <v>-2.8461538461538498</v>
      </c>
      <c r="AC165" s="7">
        <f t="shared" ca="1" si="53"/>
        <v>-1.2474012474012495</v>
      </c>
      <c r="AD165" s="1"/>
      <c r="AE165" s="1"/>
      <c r="AH165" s="34"/>
    </row>
    <row r="166" spans="1:34" x14ac:dyDescent="0.25">
      <c r="A166" s="1">
        <v>163</v>
      </c>
      <c r="B166" s="25">
        <v>44007</v>
      </c>
      <c r="C166" s="10" t="s">
        <v>612</v>
      </c>
      <c r="D166" s="1">
        <v>577.25</v>
      </c>
      <c r="E166" s="30">
        <v>1400</v>
      </c>
      <c r="F166" s="1">
        <v>530</v>
      </c>
      <c r="G166" s="1">
        <v>4.9000000000000004</v>
      </c>
      <c r="H166" s="1">
        <v>500</v>
      </c>
      <c r="I166" s="1">
        <v>1.5</v>
      </c>
      <c r="J166" s="1">
        <v>91000</v>
      </c>
      <c r="K166" s="1">
        <v>4200</v>
      </c>
      <c r="L166" s="1">
        <v>1.7</v>
      </c>
      <c r="M166" s="1">
        <v>1.85</v>
      </c>
      <c r="N166" s="1">
        <v>1400</v>
      </c>
      <c r="O166" s="9"/>
      <c r="P166" s="7">
        <f t="shared" ca="1" si="40"/>
        <v>0.11333333333333334</v>
      </c>
      <c r="Q166" s="7">
        <f t="shared" ca="1" si="46"/>
        <v>5.6666666666666671E-3</v>
      </c>
      <c r="R166" s="33">
        <f t="shared" ca="1" si="41"/>
        <v>4760.0000000000009</v>
      </c>
      <c r="S166" s="33">
        <f t="shared" ca="1" si="42"/>
        <v>-37240</v>
      </c>
      <c r="T166" s="33">
        <f t="shared" ca="1" si="47"/>
        <v>4760.0000000000009</v>
      </c>
      <c r="U166" s="7">
        <f t="shared" ca="1" si="43"/>
        <v>0.12781954887218047</v>
      </c>
      <c r="V166" s="7">
        <f t="shared" ca="1" si="44"/>
        <v>-0.75276778347354323</v>
      </c>
      <c r="W166" s="33">
        <f t="shared" ca="1" si="48"/>
        <v>-37240</v>
      </c>
      <c r="X166" s="7">
        <f t="shared" ca="1" si="49"/>
        <v>-1</v>
      </c>
      <c r="Y166" s="7">
        <f t="shared" ca="1" si="50"/>
        <v>-0.8721804511278195</v>
      </c>
      <c r="Z166" s="7">
        <f t="shared" ca="1" si="45"/>
        <v>-0.19376478254088483</v>
      </c>
      <c r="AA166" s="33">
        <f t="shared" ca="1" si="51"/>
        <v>-37240</v>
      </c>
      <c r="AB166" s="7">
        <f t="shared" ca="1" si="52"/>
        <v>-7.8235294117647047</v>
      </c>
      <c r="AC166" s="7">
        <f t="shared" ca="1" si="53"/>
        <v>-3.8478549314462622</v>
      </c>
      <c r="AD166" s="1"/>
      <c r="AE166" s="1"/>
      <c r="AH166" s="34"/>
    </row>
    <row r="167" spans="1:34" x14ac:dyDescent="0.25">
      <c r="A167" s="1">
        <v>164</v>
      </c>
      <c r="B167" s="25">
        <v>44007</v>
      </c>
      <c r="C167" s="10" t="s">
        <v>612</v>
      </c>
      <c r="D167" s="1">
        <v>577.25</v>
      </c>
      <c r="E167" s="30">
        <v>1400</v>
      </c>
      <c r="F167" s="1">
        <v>530</v>
      </c>
      <c r="G167" s="1">
        <v>4.9000000000000004</v>
      </c>
      <c r="H167" s="1">
        <v>520</v>
      </c>
      <c r="I167" s="1">
        <v>3.5</v>
      </c>
      <c r="J167" s="1">
        <v>75600</v>
      </c>
      <c r="K167" s="1">
        <v>2800</v>
      </c>
      <c r="L167" s="1">
        <v>3.55</v>
      </c>
      <c r="M167" s="1">
        <v>3.7</v>
      </c>
      <c r="N167" s="1">
        <v>2800</v>
      </c>
      <c r="O167" s="9"/>
      <c r="P167" s="7">
        <f t="shared" ca="1" si="40"/>
        <v>0.14000000000000004</v>
      </c>
      <c r="Q167" s="7">
        <f t="shared" ca="1" si="46"/>
        <v>7.0000000000000019E-3</v>
      </c>
      <c r="R167" s="33">
        <f t="shared" ca="1" si="41"/>
        <v>1960.0000000000005</v>
      </c>
      <c r="S167" s="33">
        <f t="shared" ca="1" si="42"/>
        <v>-12040</v>
      </c>
      <c r="T167" s="33">
        <f t="shared" ca="1" si="47"/>
        <v>1960.0000000000005</v>
      </c>
      <c r="U167" s="7">
        <f t="shared" ca="1" si="43"/>
        <v>0.16279069767441864</v>
      </c>
      <c r="V167" s="7">
        <f t="shared" ca="1" si="44"/>
        <v>-0.75276778347354323</v>
      </c>
      <c r="W167" s="33">
        <f t="shared" ca="1" si="48"/>
        <v>-12040</v>
      </c>
      <c r="X167" s="7">
        <f t="shared" ca="1" si="49"/>
        <v>-1</v>
      </c>
      <c r="Y167" s="7">
        <f t="shared" ca="1" si="50"/>
        <v>-0.83720930232558133</v>
      </c>
      <c r="Z167" s="7">
        <f t="shared" ca="1" si="45"/>
        <v>-0.19376478254088483</v>
      </c>
      <c r="AA167" s="33">
        <f t="shared" ca="1" si="51"/>
        <v>-12040</v>
      </c>
      <c r="AB167" s="7">
        <f t="shared" ca="1" si="52"/>
        <v>-6.1428571428571415</v>
      </c>
      <c r="AC167" s="7">
        <f t="shared" ca="1" si="53"/>
        <v>-2.9900332225913613</v>
      </c>
      <c r="AD167" s="1"/>
      <c r="AE167" s="1"/>
      <c r="AH167" s="34"/>
    </row>
    <row r="168" spans="1:34" x14ac:dyDescent="0.25">
      <c r="A168" s="1">
        <v>165</v>
      </c>
      <c r="B168" s="25">
        <v>44007</v>
      </c>
      <c r="C168" s="10" t="s">
        <v>809</v>
      </c>
      <c r="D168" s="1">
        <v>198.5</v>
      </c>
      <c r="E168" s="30">
        <v>2300</v>
      </c>
      <c r="F168" s="1">
        <v>185</v>
      </c>
      <c r="G168" s="1">
        <v>6.2</v>
      </c>
      <c r="H168" s="1">
        <v>150</v>
      </c>
      <c r="I168" s="1">
        <v>0.45</v>
      </c>
      <c r="J168" s="1">
        <v>193200</v>
      </c>
      <c r="K168" s="1">
        <v>6900</v>
      </c>
      <c r="L168" s="1">
        <v>0.45</v>
      </c>
      <c r="M168" s="1">
        <v>0.6</v>
      </c>
      <c r="N168" s="1">
        <v>2300</v>
      </c>
      <c r="O168" s="9"/>
      <c r="P168" s="7">
        <f t="shared" ca="1" si="40"/>
        <v>0.16428571428571428</v>
      </c>
      <c r="Q168" s="7">
        <f t="shared" ca="1" si="46"/>
        <v>8.2142857142857139E-3</v>
      </c>
      <c r="R168" s="33">
        <f t="shared" ca="1" si="41"/>
        <v>13225</v>
      </c>
      <c r="S168" s="33">
        <f t="shared" ca="1" si="42"/>
        <v>-67275</v>
      </c>
      <c r="T168" s="33">
        <f t="shared" ca="1" si="47"/>
        <v>13225</v>
      </c>
      <c r="U168" s="7">
        <f t="shared" ca="1" si="43"/>
        <v>0.19658119658119658</v>
      </c>
      <c r="V168" s="7">
        <f t="shared" ca="1" si="44"/>
        <v>-0.66523349251971586</v>
      </c>
      <c r="W168" s="33">
        <f t="shared" ca="1" si="48"/>
        <v>-67275</v>
      </c>
      <c r="X168" s="7">
        <f t="shared" ca="1" si="49"/>
        <v>-1</v>
      </c>
      <c r="Y168" s="7">
        <f t="shared" ca="1" si="50"/>
        <v>-0.80341880341880345</v>
      </c>
      <c r="Z168" s="7">
        <f t="shared" ca="1" si="45"/>
        <v>-0.14574175803688472</v>
      </c>
      <c r="AA168" s="33">
        <f t="shared" ca="1" si="51"/>
        <v>-22263.399631739696</v>
      </c>
      <c r="AB168" s="7">
        <f t="shared" ca="1" si="52"/>
        <v>-1.6834328644037577</v>
      </c>
      <c r="AC168" s="7">
        <f t="shared" ca="1" si="53"/>
        <v>-0.74342583391128059</v>
      </c>
      <c r="AD168" s="1"/>
      <c r="AE168" s="1"/>
      <c r="AH168" s="34"/>
    </row>
    <row r="169" spans="1:34" x14ac:dyDescent="0.25">
      <c r="A169" s="1">
        <v>166</v>
      </c>
      <c r="B169" s="25">
        <v>44007</v>
      </c>
      <c r="C169" s="10" t="s">
        <v>809</v>
      </c>
      <c r="D169" s="1">
        <v>198.5</v>
      </c>
      <c r="E169" s="30">
        <v>2300</v>
      </c>
      <c r="F169" s="1">
        <v>185</v>
      </c>
      <c r="G169" s="1">
        <v>6.2</v>
      </c>
      <c r="H169" s="1">
        <v>160</v>
      </c>
      <c r="I169" s="1">
        <v>1.1499999999999999</v>
      </c>
      <c r="J169" s="1">
        <v>241500</v>
      </c>
      <c r="K169" s="1">
        <v>2300</v>
      </c>
      <c r="L169" s="1">
        <v>1.05</v>
      </c>
      <c r="M169" s="1">
        <v>1.45</v>
      </c>
      <c r="N169" s="1">
        <v>2300</v>
      </c>
      <c r="O169" s="9"/>
      <c r="P169" s="7">
        <f t="shared" ca="1" si="40"/>
        <v>0.20200000000000004</v>
      </c>
      <c r="Q169" s="7">
        <f t="shared" ca="1" si="46"/>
        <v>1.0100000000000001E-2</v>
      </c>
      <c r="R169" s="33">
        <f t="shared" ca="1" si="41"/>
        <v>11615.000000000002</v>
      </c>
      <c r="S169" s="33">
        <f t="shared" ca="1" si="42"/>
        <v>-45885</v>
      </c>
      <c r="T169" s="33">
        <f t="shared" ca="1" si="47"/>
        <v>11615.000000000002</v>
      </c>
      <c r="U169" s="7">
        <f t="shared" ca="1" si="43"/>
        <v>0.25313283208020054</v>
      </c>
      <c r="V169" s="7">
        <f t="shared" ca="1" si="44"/>
        <v>-0.66523349251971586</v>
      </c>
      <c r="W169" s="33">
        <f t="shared" ca="1" si="48"/>
        <v>-45885</v>
      </c>
      <c r="X169" s="7">
        <f t="shared" ca="1" si="49"/>
        <v>-1</v>
      </c>
      <c r="Y169" s="7">
        <f t="shared" ca="1" si="50"/>
        <v>-0.74686716791979946</v>
      </c>
      <c r="Z169" s="7">
        <f t="shared" ca="1" si="45"/>
        <v>-0.14574175803688472</v>
      </c>
      <c r="AA169" s="33">
        <f t="shared" ca="1" si="51"/>
        <v>-23873.399631739696</v>
      </c>
      <c r="AB169" s="7">
        <f t="shared" ca="1" si="52"/>
        <v>-2.0553938555092288</v>
      </c>
      <c r="AC169" s="7">
        <f t="shared" ca="1" si="53"/>
        <v>-0.90113051171451408</v>
      </c>
      <c r="AD169" s="1"/>
      <c r="AE169" s="1"/>
      <c r="AH169" s="34"/>
    </row>
    <row r="170" spans="1:34" x14ac:dyDescent="0.25">
      <c r="A170" s="1">
        <v>167</v>
      </c>
      <c r="B170" s="25">
        <v>44007</v>
      </c>
      <c r="C170" s="10" t="s">
        <v>809</v>
      </c>
      <c r="D170" s="1">
        <v>198.5</v>
      </c>
      <c r="E170" s="30">
        <v>2300</v>
      </c>
      <c r="F170" s="1">
        <v>185</v>
      </c>
      <c r="G170" s="1">
        <v>6.2</v>
      </c>
      <c r="H170" s="1">
        <v>165</v>
      </c>
      <c r="I170" s="1">
        <v>1.5</v>
      </c>
      <c r="J170" s="1">
        <v>96600</v>
      </c>
      <c r="K170" s="1">
        <v>4600</v>
      </c>
      <c r="L170" s="1">
        <v>1.45</v>
      </c>
      <c r="M170" s="1">
        <v>1.9</v>
      </c>
      <c r="N170" s="1">
        <v>2300</v>
      </c>
      <c r="O170" s="9"/>
      <c r="P170" s="7">
        <f t="shared" ca="1" si="40"/>
        <v>0.23500000000000001</v>
      </c>
      <c r="Q170" s="7">
        <f t="shared" ca="1" si="46"/>
        <v>1.175E-2</v>
      </c>
      <c r="R170" s="33">
        <f t="shared" ca="1" si="41"/>
        <v>10810</v>
      </c>
      <c r="S170" s="33">
        <f t="shared" ca="1" si="42"/>
        <v>-35190</v>
      </c>
      <c r="T170" s="33">
        <f t="shared" ca="1" si="47"/>
        <v>10810</v>
      </c>
      <c r="U170" s="7">
        <f t="shared" ca="1" si="43"/>
        <v>0.30718954248366015</v>
      </c>
      <c r="V170" s="7">
        <f t="shared" ca="1" si="44"/>
        <v>-0.66523349251971586</v>
      </c>
      <c r="W170" s="33">
        <f t="shared" ca="1" si="48"/>
        <v>-35190</v>
      </c>
      <c r="X170" s="7">
        <f t="shared" ca="1" si="49"/>
        <v>-1</v>
      </c>
      <c r="Y170" s="7">
        <f t="shared" ca="1" si="50"/>
        <v>-0.69281045751633985</v>
      </c>
      <c r="Z170" s="7">
        <f t="shared" ca="1" si="45"/>
        <v>-0.14574175803688472</v>
      </c>
      <c r="AA170" s="33">
        <f t="shared" ca="1" si="51"/>
        <v>-24678.399631739696</v>
      </c>
      <c r="AB170" s="7">
        <f t="shared" ca="1" si="52"/>
        <v>-2.28292318517481</v>
      </c>
      <c r="AC170" s="7">
        <f t="shared" ca="1" si="53"/>
        <v>-0.98786682134557491</v>
      </c>
      <c r="AD170" s="1"/>
      <c r="AE170" s="1"/>
      <c r="AH170" s="34"/>
    </row>
    <row r="171" spans="1:34" x14ac:dyDescent="0.25">
      <c r="A171" s="1">
        <v>168</v>
      </c>
      <c r="B171" s="25">
        <v>44007</v>
      </c>
      <c r="C171" s="10" t="s">
        <v>809</v>
      </c>
      <c r="D171" s="1">
        <v>198.5</v>
      </c>
      <c r="E171" s="30">
        <v>2300</v>
      </c>
      <c r="F171" s="1">
        <v>185</v>
      </c>
      <c r="G171" s="1">
        <v>6.2</v>
      </c>
      <c r="H171" s="1">
        <v>170</v>
      </c>
      <c r="I171" s="1">
        <v>2.5499999999999998</v>
      </c>
      <c r="J171" s="1">
        <v>280600</v>
      </c>
      <c r="K171" s="1">
        <v>11500</v>
      </c>
      <c r="L171" s="1">
        <v>2.4500000000000002</v>
      </c>
      <c r="M171" s="1">
        <v>2.6</v>
      </c>
      <c r="N171" s="1">
        <v>9200</v>
      </c>
      <c r="O171" s="9"/>
      <c r="P171" s="7">
        <f t="shared" ca="1" si="40"/>
        <v>0.24333333333333335</v>
      </c>
      <c r="Q171" s="7">
        <f t="shared" ca="1" si="46"/>
        <v>1.2166666666666668E-2</v>
      </c>
      <c r="R171" s="33">
        <f t="shared" ca="1" si="41"/>
        <v>8395</v>
      </c>
      <c r="S171" s="33">
        <f t="shared" ca="1" si="42"/>
        <v>-26105</v>
      </c>
      <c r="T171" s="33">
        <f t="shared" ca="1" si="47"/>
        <v>8395</v>
      </c>
      <c r="U171" s="7">
        <f t="shared" ca="1" si="43"/>
        <v>0.32158590308370044</v>
      </c>
      <c r="V171" s="7">
        <f t="shared" ca="1" si="44"/>
        <v>-0.66523349251971586</v>
      </c>
      <c r="W171" s="33">
        <f t="shared" ca="1" si="48"/>
        <v>-26105</v>
      </c>
      <c r="X171" s="7">
        <f t="shared" ca="1" si="49"/>
        <v>-1</v>
      </c>
      <c r="Y171" s="7">
        <f t="shared" ca="1" si="50"/>
        <v>-0.6784140969162995</v>
      </c>
      <c r="Z171" s="7">
        <f t="shared" ca="1" si="45"/>
        <v>-0.14574175803688472</v>
      </c>
      <c r="AA171" s="33">
        <f t="shared" ca="1" si="51"/>
        <v>-26105</v>
      </c>
      <c r="AB171" s="7">
        <f t="shared" ca="1" si="52"/>
        <v>-3.1095890410958904</v>
      </c>
      <c r="AC171" s="7">
        <f t="shared" ca="1" si="53"/>
        <v>-1.394001569006095</v>
      </c>
      <c r="AD171" s="1"/>
      <c r="AE171" s="1"/>
      <c r="AH171" s="34"/>
    </row>
    <row r="172" spans="1:34" x14ac:dyDescent="0.25">
      <c r="A172" s="1">
        <v>169</v>
      </c>
      <c r="B172" s="25">
        <v>44007</v>
      </c>
      <c r="C172" s="10" t="s">
        <v>809</v>
      </c>
      <c r="D172" s="1">
        <v>198.5</v>
      </c>
      <c r="E172" s="30">
        <v>2300</v>
      </c>
      <c r="F172" s="1">
        <v>185</v>
      </c>
      <c r="G172" s="1">
        <v>6.2</v>
      </c>
      <c r="H172" s="1">
        <v>175</v>
      </c>
      <c r="I172" s="1">
        <v>3.45</v>
      </c>
      <c r="J172" s="1">
        <v>232300</v>
      </c>
      <c r="K172" s="1">
        <v>2300</v>
      </c>
      <c r="L172" s="1">
        <v>3.4</v>
      </c>
      <c r="M172" s="1">
        <v>3.5</v>
      </c>
      <c r="N172" s="1">
        <v>11500</v>
      </c>
      <c r="O172" s="9"/>
      <c r="P172" s="7">
        <f t="shared" ca="1" si="40"/>
        <v>0.27500000000000002</v>
      </c>
      <c r="Q172" s="7">
        <f t="shared" ca="1" si="46"/>
        <v>1.3750000000000002E-2</v>
      </c>
      <c r="R172" s="33">
        <f t="shared" ca="1" si="41"/>
        <v>6325</v>
      </c>
      <c r="S172" s="33">
        <f t="shared" ca="1" si="42"/>
        <v>-16675</v>
      </c>
      <c r="T172" s="33">
        <f t="shared" ca="1" si="47"/>
        <v>6325</v>
      </c>
      <c r="U172" s="7">
        <f t="shared" ca="1" si="43"/>
        <v>0.37931034482758619</v>
      </c>
      <c r="V172" s="7">
        <f t="shared" ca="1" si="44"/>
        <v>-0.66523349251971586</v>
      </c>
      <c r="W172" s="33">
        <f t="shared" ca="1" si="48"/>
        <v>-16675</v>
      </c>
      <c r="X172" s="7">
        <f t="shared" ca="1" si="49"/>
        <v>-1</v>
      </c>
      <c r="Y172" s="7">
        <f t="shared" ca="1" si="50"/>
        <v>-0.62068965517241381</v>
      </c>
      <c r="Z172" s="7">
        <f t="shared" ca="1" si="45"/>
        <v>-0.14574175803688472</v>
      </c>
      <c r="AA172" s="33">
        <f t="shared" ca="1" si="51"/>
        <v>-16675</v>
      </c>
      <c r="AB172" s="7">
        <f t="shared" ca="1" si="52"/>
        <v>-2.6363636363636362</v>
      </c>
      <c r="AC172" s="7">
        <f t="shared" ca="1" si="53"/>
        <v>-1.128526645768025</v>
      </c>
      <c r="AD172" s="1"/>
      <c r="AE172" s="1"/>
      <c r="AH172" s="34"/>
    </row>
    <row r="173" spans="1:34" x14ac:dyDescent="0.25">
      <c r="A173" s="1">
        <v>170</v>
      </c>
      <c r="B173" s="25">
        <v>44007</v>
      </c>
      <c r="C173" s="10" t="s">
        <v>809</v>
      </c>
      <c r="D173" s="1">
        <v>198.5</v>
      </c>
      <c r="E173" s="30">
        <v>2300</v>
      </c>
      <c r="F173" s="1">
        <v>185</v>
      </c>
      <c r="G173" s="1">
        <v>6.2</v>
      </c>
      <c r="H173" s="1">
        <v>180</v>
      </c>
      <c r="I173" s="1">
        <v>4.8</v>
      </c>
      <c r="J173" s="1">
        <v>285200</v>
      </c>
      <c r="K173" s="1">
        <v>2300</v>
      </c>
      <c r="L173" s="1">
        <v>4.6500000000000004</v>
      </c>
      <c r="M173" s="1">
        <v>4.75</v>
      </c>
      <c r="N173" s="1">
        <v>6900</v>
      </c>
      <c r="O173" s="9"/>
      <c r="P173" s="7">
        <f t="shared" ca="1" si="40"/>
        <v>0.28000000000000008</v>
      </c>
      <c r="Q173" s="7">
        <f t="shared" ca="1" si="46"/>
        <v>1.4000000000000004E-2</v>
      </c>
      <c r="R173" s="33">
        <f t="shared" ca="1" si="41"/>
        <v>3220.0000000000009</v>
      </c>
      <c r="S173" s="33">
        <f t="shared" ca="1" si="42"/>
        <v>-8280</v>
      </c>
      <c r="T173" s="33">
        <f t="shared" ca="1" si="47"/>
        <v>3220.0000000000009</v>
      </c>
      <c r="U173" s="7">
        <f t="shared" ca="1" si="43"/>
        <v>0.38888888888888901</v>
      </c>
      <c r="V173" s="7">
        <f t="shared" ca="1" si="44"/>
        <v>-0.66523349251971586</v>
      </c>
      <c r="W173" s="33">
        <f t="shared" ca="1" si="48"/>
        <v>-8280</v>
      </c>
      <c r="X173" s="7">
        <f t="shared" ca="1" si="49"/>
        <v>-1</v>
      </c>
      <c r="Y173" s="7">
        <f t="shared" ca="1" si="50"/>
        <v>-0.61111111111111094</v>
      </c>
      <c r="Z173" s="7">
        <f t="shared" ca="1" si="45"/>
        <v>-0.14574175803688472</v>
      </c>
      <c r="AA173" s="33">
        <f t="shared" ca="1" si="51"/>
        <v>-8280</v>
      </c>
      <c r="AB173" s="7">
        <f t="shared" ca="1" si="52"/>
        <v>-2.5714285714285707</v>
      </c>
      <c r="AC173" s="7">
        <f t="shared" ca="1" si="53"/>
        <v>-1.0912698412698409</v>
      </c>
      <c r="AD173" s="1"/>
      <c r="AE173" s="1"/>
      <c r="AH173" s="34"/>
    </row>
    <row r="174" spans="1:34" x14ac:dyDescent="0.25">
      <c r="A174" s="1">
        <v>171</v>
      </c>
      <c r="B174" s="25">
        <v>44007</v>
      </c>
      <c r="C174" s="10" t="s">
        <v>152</v>
      </c>
      <c r="D174" s="1">
        <v>48.3</v>
      </c>
      <c r="E174" s="30">
        <v>8000</v>
      </c>
      <c r="F174" s="1">
        <v>46</v>
      </c>
      <c r="G174" s="1">
        <v>2.35</v>
      </c>
      <c r="H174" s="1">
        <v>30</v>
      </c>
      <c r="I174" s="1">
        <v>0.05</v>
      </c>
      <c r="J174" s="1">
        <v>192000</v>
      </c>
      <c r="K174" s="1">
        <v>648000</v>
      </c>
      <c r="L174" s="1">
        <v>0.05</v>
      </c>
      <c r="M174" s="1">
        <v>0.1</v>
      </c>
      <c r="N174" s="1">
        <v>16000</v>
      </c>
      <c r="O174" s="9"/>
      <c r="P174" s="7">
        <f t="shared" ca="1" si="40"/>
        <v>0.14375000000000002</v>
      </c>
      <c r="Q174" s="7">
        <f t="shared" ca="1" si="46"/>
        <v>7.1875000000000012E-3</v>
      </c>
      <c r="R174" s="33">
        <f t="shared" ca="1" si="41"/>
        <v>18400.000000000004</v>
      </c>
      <c r="S174" s="33">
        <f t="shared" ca="1" si="42"/>
        <v>-109600</v>
      </c>
      <c r="T174" s="33">
        <f t="shared" ca="1" si="47"/>
        <v>18400.000000000004</v>
      </c>
      <c r="U174" s="7">
        <f t="shared" ca="1" si="43"/>
        <v>0.16788321167883216</v>
      </c>
      <c r="V174" s="7">
        <f t="shared" ca="1" si="44"/>
        <v>-0.90255385065827343</v>
      </c>
      <c r="W174" s="33">
        <f t="shared" ca="1" si="48"/>
        <v>-109600</v>
      </c>
      <c r="X174" s="7">
        <f t="shared" ca="1" si="49"/>
        <v>-1</v>
      </c>
      <c r="Y174" s="7">
        <f t="shared" ca="1" si="50"/>
        <v>-0.83211678832116787</v>
      </c>
      <c r="Z174" s="7">
        <f t="shared" ca="1" si="45"/>
        <v>-0.16401185508636817</v>
      </c>
      <c r="AA174" s="33">
        <f t="shared" ca="1" si="51"/>
        <v>-26574.180805372667</v>
      </c>
      <c r="AB174" s="7">
        <f t="shared" ca="1" si="52"/>
        <v>-1.4442489568137316</v>
      </c>
      <c r="AC174" s="7">
        <f t="shared" ca="1" si="53"/>
        <v>-0.63818287256744965</v>
      </c>
      <c r="AD174" s="1"/>
      <c r="AE174" s="1"/>
      <c r="AH174" s="34"/>
    </row>
    <row r="175" spans="1:34" x14ac:dyDescent="0.25">
      <c r="A175" s="1">
        <v>172</v>
      </c>
      <c r="B175" s="25">
        <v>44007</v>
      </c>
      <c r="C175" s="10" t="s">
        <v>152</v>
      </c>
      <c r="D175" s="1">
        <v>48.3</v>
      </c>
      <c r="E175" s="30">
        <v>8000</v>
      </c>
      <c r="F175" s="1">
        <v>46</v>
      </c>
      <c r="G175" s="1">
        <v>2.35</v>
      </c>
      <c r="H175" s="1">
        <v>32.5</v>
      </c>
      <c r="I175" s="1">
        <v>0.1</v>
      </c>
      <c r="J175" s="1">
        <v>40000</v>
      </c>
      <c r="K175" s="1">
        <v>208000</v>
      </c>
      <c r="L175" s="1">
        <v>0.05</v>
      </c>
      <c r="M175" s="1">
        <v>0.15</v>
      </c>
      <c r="N175" s="1">
        <v>16000</v>
      </c>
      <c r="O175" s="9"/>
      <c r="P175" s="7">
        <f t="shared" ca="1" si="40"/>
        <v>0.16666666666666666</v>
      </c>
      <c r="Q175" s="7">
        <f t="shared" ca="1" si="46"/>
        <v>8.3333333333333332E-3</v>
      </c>
      <c r="R175" s="33">
        <f t="shared" ca="1" si="41"/>
        <v>18000</v>
      </c>
      <c r="S175" s="33">
        <f t="shared" ca="1" si="42"/>
        <v>-90000</v>
      </c>
      <c r="T175" s="33">
        <f t="shared" ca="1" si="47"/>
        <v>18000</v>
      </c>
      <c r="U175" s="7">
        <f t="shared" ca="1" si="43"/>
        <v>0.2</v>
      </c>
      <c r="V175" s="7">
        <f t="shared" ca="1" si="44"/>
        <v>-0.90255385065827343</v>
      </c>
      <c r="W175" s="33">
        <f t="shared" ca="1" si="48"/>
        <v>-90000</v>
      </c>
      <c r="X175" s="7">
        <f t="shared" ca="1" si="49"/>
        <v>-1</v>
      </c>
      <c r="Y175" s="7">
        <f t="shared" ca="1" si="50"/>
        <v>-0.8</v>
      </c>
      <c r="Z175" s="7">
        <f t="shared" ca="1" si="45"/>
        <v>-0.16401185508636817</v>
      </c>
      <c r="AA175" s="33">
        <f t="shared" ca="1" si="51"/>
        <v>-26974.180805372671</v>
      </c>
      <c r="AB175" s="7">
        <f t="shared" ca="1" si="52"/>
        <v>-1.4985656002984817</v>
      </c>
      <c r="AC175" s="7">
        <f t="shared" ca="1" si="53"/>
        <v>-0.64928280014924089</v>
      </c>
      <c r="AD175" s="1"/>
      <c r="AE175" s="1"/>
      <c r="AH175" s="34"/>
    </row>
    <row r="176" spans="1:34" x14ac:dyDescent="0.25">
      <c r="A176" s="1">
        <v>173</v>
      </c>
      <c r="B176" s="25">
        <v>44007</v>
      </c>
      <c r="C176" s="10" t="s">
        <v>152</v>
      </c>
      <c r="D176" s="1">
        <v>48.3</v>
      </c>
      <c r="E176" s="30">
        <v>8000</v>
      </c>
      <c r="F176" s="1">
        <v>46</v>
      </c>
      <c r="G176" s="1">
        <v>2.35</v>
      </c>
      <c r="H176" s="1">
        <v>35</v>
      </c>
      <c r="I176" s="1">
        <v>0.2</v>
      </c>
      <c r="J176" s="1">
        <v>880000</v>
      </c>
      <c r="K176" s="1">
        <v>696000</v>
      </c>
      <c r="L176" s="1">
        <v>0.15</v>
      </c>
      <c r="M176" s="1">
        <v>0.2</v>
      </c>
      <c r="N176" s="1">
        <v>16000</v>
      </c>
      <c r="O176" s="9"/>
      <c r="P176" s="7">
        <f t="shared" ca="1" si="40"/>
        <v>0.19545454545454544</v>
      </c>
      <c r="Q176" s="7">
        <f t="shared" ca="1" si="46"/>
        <v>9.7727272727272715E-3</v>
      </c>
      <c r="R176" s="33">
        <f t="shared" ca="1" si="41"/>
        <v>17200</v>
      </c>
      <c r="S176" s="33">
        <f t="shared" ca="1" si="42"/>
        <v>-70800</v>
      </c>
      <c r="T176" s="33">
        <f t="shared" ca="1" si="47"/>
        <v>17200</v>
      </c>
      <c r="U176" s="7">
        <f t="shared" ca="1" si="43"/>
        <v>0.24293785310734464</v>
      </c>
      <c r="V176" s="7">
        <f t="shared" ca="1" si="44"/>
        <v>-0.90255385065827343</v>
      </c>
      <c r="W176" s="33">
        <f t="shared" ca="1" si="48"/>
        <v>-70800</v>
      </c>
      <c r="X176" s="7">
        <f t="shared" ca="1" si="49"/>
        <v>-1</v>
      </c>
      <c r="Y176" s="7">
        <f t="shared" ca="1" si="50"/>
        <v>-0.75706214689265539</v>
      </c>
      <c r="Z176" s="7">
        <f t="shared" ca="1" si="45"/>
        <v>-0.16401185508636817</v>
      </c>
      <c r="AA176" s="33">
        <f t="shared" ca="1" si="51"/>
        <v>-27774.180805372671</v>
      </c>
      <c r="AB176" s="7">
        <f t="shared" ca="1" si="52"/>
        <v>-1.6147779538007367</v>
      </c>
      <c r="AC176" s="7">
        <f t="shared" ca="1" si="53"/>
        <v>-0.68592005034669601</v>
      </c>
      <c r="AD176" s="1"/>
      <c r="AE176" s="1"/>
      <c r="AH176" s="34"/>
    </row>
    <row r="177" spans="1:34" x14ac:dyDescent="0.25">
      <c r="A177" s="1">
        <v>174</v>
      </c>
      <c r="B177" s="25">
        <v>44007</v>
      </c>
      <c r="C177" s="10" t="s">
        <v>152</v>
      </c>
      <c r="D177" s="1">
        <v>48.3</v>
      </c>
      <c r="E177" s="30">
        <v>8000</v>
      </c>
      <c r="F177" s="1">
        <v>46</v>
      </c>
      <c r="G177" s="1">
        <v>2.35</v>
      </c>
      <c r="H177" s="1">
        <v>37</v>
      </c>
      <c r="I177" s="1">
        <v>0.25</v>
      </c>
      <c r="J177" s="1">
        <v>48000</v>
      </c>
      <c r="K177" s="1">
        <v>88000</v>
      </c>
      <c r="L177" s="1">
        <v>0.15</v>
      </c>
      <c r="M177" s="1">
        <v>0.45</v>
      </c>
      <c r="N177" s="1">
        <v>96000</v>
      </c>
      <c r="O177" s="9"/>
      <c r="P177" s="7">
        <f t="shared" ca="1" si="40"/>
        <v>0.23333333333333334</v>
      </c>
      <c r="Q177" s="7">
        <f t="shared" ca="1" si="46"/>
        <v>1.1666666666666667E-2</v>
      </c>
      <c r="R177" s="33">
        <f t="shared" ca="1" si="41"/>
        <v>16800</v>
      </c>
      <c r="S177" s="33">
        <f t="shared" ca="1" si="42"/>
        <v>-55200</v>
      </c>
      <c r="T177" s="33">
        <f t="shared" ca="1" si="47"/>
        <v>16800</v>
      </c>
      <c r="U177" s="7">
        <f t="shared" ca="1" si="43"/>
        <v>0.30434782608695654</v>
      </c>
      <c r="V177" s="7">
        <f t="shared" ca="1" si="44"/>
        <v>-0.90255385065827343</v>
      </c>
      <c r="W177" s="33">
        <f t="shared" ca="1" si="48"/>
        <v>-55200</v>
      </c>
      <c r="X177" s="7">
        <f t="shared" ca="1" si="49"/>
        <v>-1</v>
      </c>
      <c r="Y177" s="7">
        <f t="shared" ca="1" si="50"/>
        <v>-0.69565217391304346</v>
      </c>
      <c r="Z177" s="7">
        <f t="shared" ca="1" si="45"/>
        <v>-0.16401185508636817</v>
      </c>
      <c r="AA177" s="33">
        <f t="shared" ca="1" si="51"/>
        <v>-28174.180805372671</v>
      </c>
      <c r="AB177" s="7">
        <f t="shared" ca="1" si="52"/>
        <v>-1.6770345717483732</v>
      </c>
      <c r="AC177" s="7">
        <f t="shared" ca="1" si="53"/>
        <v>-0.68634337283070834</v>
      </c>
      <c r="AD177" s="1"/>
      <c r="AE177" s="1"/>
      <c r="AH177" s="34"/>
    </row>
    <row r="178" spans="1:34" x14ac:dyDescent="0.25">
      <c r="A178" s="1">
        <v>175</v>
      </c>
      <c r="B178" s="25">
        <v>44007</v>
      </c>
      <c r="C178" s="10" t="s">
        <v>152</v>
      </c>
      <c r="D178" s="1">
        <v>48.3</v>
      </c>
      <c r="E178" s="30">
        <v>8000</v>
      </c>
      <c r="F178" s="1">
        <v>46</v>
      </c>
      <c r="G178" s="1">
        <v>2.35</v>
      </c>
      <c r="H178" s="1">
        <v>37.5</v>
      </c>
      <c r="I178" s="1">
        <v>0.3</v>
      </c>
      <c r="J178" s="1">
        <v>632000</v>
      </c>
      <c r="K178" s="1">
        <v>16000</v>
      </c>
      <c r="L178" s="1">
        <v>0.3</v>
      </c>
      <c r="M178" s="1">
        <v>0.35</v>
      </c>
      <c r="N178" s="1">
        <v>80000</v>
      </c>
      <c r="O178" s="9"/>
      <c r="P178" s="7">
        <f t="shared" ca="1" si="40"/>
        <v>0.24117647058823533</v>
      </c>
      <c r="Q178" s="7">
        <f t="shared" ca="1" si="46"/>
        <v>1.2058823529411766E-2</v>
      </c>
      <c r="R178" s="33">
        <f t="shared" ca="1" si="41"/>
        <v>16400.000000000004</v>
      </c>
      <c r="S178" s="33">
        <f t="shared" ca="1" si="42"/>
        <v>-51600</v>
      </c>
      <c r="T178" s="33">
        <f t="shared" ca="1" si="47"/>
        <v>16400.000000000004</v>
      </c>
      <c r="U178" s="7">
        <f t="shared" ca="1" si="43"/>
        <v>0.31782945736434115</v>
      </c>
      <c r="V178" s="7">
        <f t="shared" ca="1" si="44"/>
        <v>-0.90255385065827343</v>
      </c>
      <c r="W178" s="33">
        <f t="shared" ca="1" si="48"/>
        <v>-51600</v>
      </c>
      <c r="X178" s="7">
        <f t="shared" ca="1" si="49"/>
        <v>-1</v>
      </c>
      <c r="Y178" s="7">
        <f t="shared" ca="1" si="50"/>
        <v>-0.68217054263565879</v>
      </c>
      <c r="Z178" s="7">
        <f t="shared" ca="1" si="45"/>
        <v>-0.16401185508636817</v>
      </c>
      <c r="AA178" s="33">
        <f t="shared" ca="1" si="51"/>
        <v>-28574.180805372667</v>
      </c>
      <c r="AB178" s="7">
        <f t="shared" ca="1" si="52"/>
        <v>-1.7423280978885769</v>
      </c>
      <c r="AC178" s="7">
        <f t="shared" ca="1" si="53"/>
        <v>-0.71224932026211785</v>
      </c>
      <c r="AD178" s="1"/>
      <c r="AE178" s="1"/>
      <c r="AH178" s="34"/>
    </row>
    <row r="179" spans="1:34" x14ac:dyDescent="0.25">
      <c r="A179" s="1">
        <v>176</v>
      </c>
      <c r="B179" s="25">
        <v>44007</v>
      </c>
      <c r="C179" s="10" t="s">
        <v>152</v>
      </c>
      <c r="D179" s="1">
        <v>48.3</v>
      </c>
      <c r="E179" s="30">
        <v>8000</v>
      </c>
      <c r="F179" s="1">
        <v>46</v>
      </c>
      <c r="G179" s="1">
        <v>2.35</v>
      </c>
      <c r="H179" s="1">
        <v>40</v>
      </c>
      <c r="I179" s="1">
        <v>0.65</v>
      </c>
      <c r="J179" s="1">
        <v>3304000</v>
      </c>
      <c r="K179" s="1">
        <v>176000</v>
      </c>
      <c r="L179" s="1">
        <v>0.6</v>
      </c>
      <c r="M179" s="1">
        <v>0.7</v>
      </c>
      <c r="N179" s="1">
        <v>120000</v>
      </c>
      <c r="O179" s="9"/>
      <c r="P179" s="7">
        <f t="shared" ca="1" si="40"/>
        <v>0.28333333333333338</v>
      </c>
      <c r="Q179" s="7">
        <f t="shared" ca="1" si="46"/>
        <v>1.4166666666666669E-2</v>
      </c>
      <c r="R179" s="33">
        <f t="shared" ca="1" si="41"/>
        <v>13600.000000000002</v>
      </c>
      <c r="S179" s="33">
        <f t="shared" ca="1" si="42"/>
        <v>-34400</v>
      </c>
      <c r="T179" s="33">
        <f t="shared" ca="1" si="47"/>
        <v>13600.000000000002</v>
      </c>
      <c r="U179" s="7">
        <f t="shared" ca="1" si="43"/>
        <v>0.39534883720930236</v>
      </c>
      <c r="V179" s="7">
        <f t="shared" ca="1" si="44"/>
        <v>-0.90255385065827343</v>
      </c>
      <c r="W179" s="33">
        <f t="shared" ca="1" si="48"/>
        <v>-34400</v>
      </c>
      <c r="X179" s="7">
        <f t="shared" ca="1" si="49"/>
        <v>-1</v>
      </c>
      <c r="Y179" s="7">
        <f t="shared" ca="1" si="50"/>
        <v>-0.60465116279069764</v>
      </c>
      <c r="Z179" s="7">
        <f t="shared" ca="1" si="45"/>
        <v>-0.16401185508636817</v>
      </c>
      <c r="AA179" s="33">
        <f t="shared" ca="1" si="51"/>
        <v>-31374.180805372671</v>
      </c>
      <c r="AB179" s="7">
        <f t="shared" ca="1" si="52"/>
        <v>-2.3069250592185786</v>
      </c>
      <c r="AC179" s="7">
        <f t="shared" ca="1" si="53"/>
        <v>-0.95578811100463812</v>
      </c>
      <c r="AD179" s="1"/>
      <c r="AE179" s="1"/>
      <c r="AH179" s="34"/>
    </row>
    <row r="180" spans="1:34" x14ac:dyDescent="0.25">
      <c r="A180" s="1">
        <v>177</v>
      </c>
      <c r="B180" s="25">
        <v>44007</v>
      </c>
      <c r="C180" s="10" t="s">
        <v>152</v>
      </c>
      <c r="D180" s="1">
        <v>48.3</v>
      </c>
      <c r="E180" s="30">
        <v>8000</v>
      </c>
      <c r="F180" s="1">
        <v>46</v>
      </c>
      <c r="G180" s="1">
        <v>2.35</v>
      </c>
      <c r="H180" s="1">
        <v>42</v>
      </c>
      <c r="I180" s="1">
        <v>1.05</v>
      </c>
      <c r="J180" s="1">
        <v>688000</v>
      </c>
      <c r="K180" s="1">
        <v>56000</v>
      </c>
      <c r="L180" s="1">
        <v>0.95</v>
      </c>
      <c r="M180" s="1">
        <v>1.05</v>
      </c>
      <c r="N180" s="1">
        <v>64000</v>
      </c>
      <c r="O180" s="9"/>
      <c r="P180" s="7">
        <f t="shared" ca="1" si="40"/>
        <v>0.32500000000000001</v>
      </c>
      <c r="Q180" s="7">
        <f t="shared" ca="1" si="46"/>
        <v>1.6250000000000001E-2</v>
      </c>
      <c r="R180" s="33">
        <f t="shared" ca="1" si="41"/>
        <v>10400</v>
      </c>
      <c r="S180" s="33">
        <f t="shared" ca="1" si="42"/>
        <v>-21600</v>
      </c>
      <c r="T180" s="33">
        <f t="shared" ca="1" si="47"/>
        <v>10400</v>
      </c>
      <c r="U180" s="7">
        <f t="shared" ca="1" si="43"/>
        <v>0.48148148148148145</v>
      </c>
      <c r="V180" s="7">
        <f t="shared" ca="1" si="44"/>
        <v>-0.90255385065827343</v>
      </c>
      <c r="W180" s="33">
        <f t="shared" ca="1" si="48"/>
        <v>-21600</v>
      </c>
      <c r="X180" s="7">
        <f t="shared" ca="1" si="49"/>
        <v>-1</v>
      </c>
      <c r="Y180" s="7">
        <f t="shared" ca="1" si="50"/>
        <v>-0.5185185185185186</v>
      </c>
      <c r="Z180" s="7">
        <f t="shared" ca="1" si="45"/>
        <v>-0.16401185508636817</v>
      </c>
      <c r="AA180" s="33">
        <f t="shared" ca="1" si="51"/>
        <v>-21600</v>
      </c>
      <c r="AB180" s="7">
        <f t="shared" ca="1" si="52"/>
        <v>-2.0769230769230771</v>
      </c>
      <c r="AC180" s="7">
        <f t="shared" ca="1" si="53"/>
        <v>-0.79772079772079785</v>
      </c>
      <c r="AD180" s="1"/>
      <c r="AE180" s="1"/>
      <c r="AH180" s="34"/>
    </row>
    <row r="181" spans="1:34" x14ac:dyDescent="0.25">
      <c r="A181" s="1">
        <v>178</v>
      </c>
      <c r="B181" s="25">
        <v>44007</v>
      </c>
      <c r="C181" s="10" t="s">
        <v>152</v>
      </c>
      <c r="D181" s="1">
        <v>48.3</v>
      </c>
      <c r="E181" s="30">
        <v>8000</v>
      </c>
      <c r="F181" s="1">
        <v>46</v>
      </c>
      <c r="G181" s="1">
        <v>2.35</v>
      </c>
      <c r="H181" s="1">
        <v>42.5</v>
      </c>
      <c r="I181" s="1">
        <v>1.1499999999999999</v>
      </c>
      <c r="J181" s="1">
        <v>1056000</v>
      </c>
      <c r="K181" s="1">
        <v>96000</v>
      </c>
      <c r="L181" s="1">
        <v>1.05</v>
      </c>
      <c r="M181" s="1">
        <v>1.1499999999999999</v>
      </c>
      <c r="N181" s="1">
        <v>80000</v>
      </c>
      <c r="O181" s="9"/>
      <c r="P181" s="7">
        <f t="shared" ca="1" si="40"/>
        <v>0.34285714285714292</v>
      </c>
      <c r="Q181" s="7">
        <f t="shared" ca="1" si="46"/>
        <v>1.7142857142857147E-2</v>
      </c>
      <c r="R181" s="33">
        <f t="shared" ca="1" si="41"/>
        <v>9600.0000000000018</v>
      </c>
      <c r="S181" s="33">
        <f t="shared" ca="1" si="42"/>
        <v>-18400</v>
      </c>
      <c r="T181" s="33">
        <f t="shared" ca="1" si="47"/>
        <v>9600.0000000000018</v>
      </c>
      <c r="U181" s="7">
        <f t="shared" ca="1" si="43"/>
        <v>0.52173913043478271</v>
      </c>
      <c r="V181" s="7">
        <f t="shared" ca="1" si="44"/>
        <v>-0.90255385065827343</v>
      </c>
      <c r="W181" s="33">
        <f t="shared" ca="1" si="48"/>
        <v>-18400</v>
      </c>
      <c r="X181" s="7">
        <f t="shared" ca="1" si="49"/>
        <v>-1</v>
      </c>
      <c r="Y181" s="7">
        <f t="shared" ca="1" si="50"/>
        <v>-0.47826086956521729</v>
      </c>
      <c r="Z181" s="7">
        <f t="shared" ca="1" si="45"/>
        <v>-0.16401185508636817</v>
      </c>
      <c r="AA181" s="33">
        <f t="shared" ca="1" si="51"/>
        <v>-18400</v>
      </c>
      <c r="AB181" s="7">
        <f t="shared" ca="1" si="52"/>
        <v>-1.9166666666666663</v>
      </c>
      <c r="AC181" s="7">
        <f t="shared" ca="1" si="53"/>
        <v>-0.6974637681159418</v>
      </c>
      <c r="AD181" s="1"/>
      <c r="AE181" s="1"/>
      <c r="AH181" s="34"/>
    </row>
    <row r="182" spans="1:34" x14ac:dyDescent="0.25">
      <c r="A182" s="1">
        <v>179</v>
      </c>
      <c r="B182" s="25">
        <v>44007</v>
      </c>
      <c r="C182" s="10" t="s">
        <v>152</v>
      </c>
      <c r="D182" s="1">
        <v>48.3</v>
      </c>
      <c r="E182" s="30">
        <v>8000</v>
      </c>
      <c r="F182" s="1">
        <v>46</v>
      </c>
      <c r="G182" s="1">
        <v>2.35</v>
      </c>
      <c r="H182" s="1">
        <v>43</v>
      </c>
      <c r="I182" s="1">
        <v>1.25</v>
      </c>
      <c r="J182" s="1">
        <v>664000</v>
      </c>
      <c r="K182" s="1">
        <v>64000</v>
      </c>
      <c r="L182" s="1">
        <v>1.2</v>
      </c>
      <c r="M182" s="1">
        <v>1.3</v>
      </c>
      <c r="N182" s="1">
        <v>64000</v>
      </c>
      <c r="O182" s="9"/>
      <c r="P182" s="7">
        <f t="shared" ca="1" si="40"/>
        <v>0.3666666666666667</v>
      </c>
      <c r="Q182" s="7">
        <f t="shared" ca="1" si="46"/>
        <v>1.8333333333333333E-2</v>
      </c>
      <c r="R182" s="33">
        <f t="shared" ca="1" si="41"/>
        <v>8800</v>
      </c>
      <c r="S182" s="33">
        <f t="shared" ca="1" si="42"/>
        <v>-15200</v>
      </c>
      <c r="T182" s="33">
        <f t="shared" ca="1" si="47"/>
        <v>8800</v>
      </c>
      <c r="U182" s="7">
        <f t="shared" ca="1" si="43"/>
        <v>0.57894736842105265</v>
      </c>
      <c r="V182" s="7">
        <f t="shared" ca="1" si="44"/>
        <v>-0.90255385065827343</v>
      </c>
      <c r="W182" s="33">
        <f t="shared" ca="1" si="48"/>
        <v>-15200</v>
      </c>
      <c r="X182" s="7">
        <f t="shared" ca="1" si="49"/>
        <v>-1</v>
      </c>
      <c r="Y182" s="7">
        <f t="shared" ca="1" si="50"/>
        <v>-0.42105263157894735</v>
      </c>
      <c r="Z182" s="7">
        <f t="shared" ca="1" si="45"/>
        <v>-0.16401185508636817</v>
      </c>
      <c r="AA182" s="33">
        <f t="shared" ca="1" si="51"/>
        <v>-15200</v>
      </c>
      <c r="AB182" s="7">
        <f t="shared" ca="1" si="52"/>
        <v>-1.7272727272727273</v>
      </c>
      <c r="AC182" s="7">
        <f t="shared" ca="1" si="53"/>
        <v>-0.57416267942583732</v>
      </c>
      <c r="AD182" s="1"/>
      <c r="AE182" s="1"/>
      <c r="AH182" s="34"/>
    </row>
    <row r="183" spans="1:34" x14ac:dyDescent="0.25">
      <c r="A183" s="1">
        <v>180</v>
      </c>
      <c r="B183" s="25">
        <v>44007</v>
      </c>
      <c r="C183" s="10" t="s">
        <v>152</v>
      </c>
      <c r="D183" s="1">
        <v>48.3</v>
      </c>
      <c r="E183" s="30">
        <v>8000</v>
      </c>
      <c r="F183" s="1">
        <v>46</v>
      </c>
      <c r="G183" s="1">
        <v>2.35</v>
      </c>
      <c r="H183" s="1">
        <v>44</v>
      </c>
      <c r="I183" s="1">
        <v>1.6</v>
      </c>
      <c r="J183" s="1">
        <v>584000</v>
      </c>
      <c r="K183" s="1">
        <v>72000</v>
      </c>
      <c r="L183" s="1">
        <v>1.5</v>
      </c>
      <c r="M183" s="1">
        <v>1.55</v>
      </c>
      <c r="N183" s="1">
        <v>56000</v>
      </c>
      <c r="O183" s="9"/>
      <c r="P183" s="7">
        <f t="shared" ca="1" si="40"/>
        <v>0.375</v>
      </c>
      <c r="Q183" s="7">
        <f t="shared" ca="1" si="46"/>
        <v>1.8749999999999999E-2</v>
      </c>
      <c r="R183" s="33">
        <f t="shared" ca="1" si="41"/>
        <v>6000</v>
      </c>
      <c r="S183" s="33">
        <f t="shared" ca="1" si="42"/>
        <v>-10000</v>
      </c>
      <c r="T183" s="33">
        <f t="shared" ca="1" si="47"/>
        <v>6000</v>
      </c>
      <c r="U183" s="7">
        <f t="shared" ca="1" si="43"/>
        <v>0.6</v>
      </c>
      <c r="V183" s="7">
        <f t="shared" ca="1" si="44"/>
        <v>-0.90255385065827343</v>
      </c>
      <c r="W183" s="33">
        <f t="shared" ca="1" si="48"/>
        <v>-10000</v>
      </c>
      <c r="X183" s="7">
        <f t="shared" ca="1" si="49"/>
        <v>-1</v>
      </c>
      <c r="Y183" s="7">
        <f t="shared" ca="1" si="50"/>
        <v>-0.4</v>
      </c>
      <c r="Z183" s="7">
        <f t="shared" ca="1" si="45"/>
        <v>-0.16401185508636817</v>
      </c>
      <c r="AA183" s="33">
        <f t="shared" ca="1" si="51"/>
        <v>-10000</v>
      </c>
      <c r="AB183" s="7">
        <f t="shared" ca="1" si="52"/>
        <v>-1.6666666666666667</v>
      </c>
      <c r="AC183" s="7">
        <f t="shared" ca="1" si="53"/>
        <v>-0.53333333333333344</v>
      </c>
      <c r="AD183" s="1"/>
      <c r="AE183" s="1"/>
      <c r="AH183" s="34"/>
    </row>
    <row r="184" spans="1:34" x14ac:dyDescent="0.25">
      <c r="A184" s="1">
        <v>181</v>
      </c>
      <c r="B184" s="25">
        <v>44007</v>
      </c>
      <c r="C184" s="10" t="s">
        <v>152</v>
      </c>
      <c r="D184" s="1">
        <v>48.3</v>
      </c>
      <c r="E184" s="30">
        <v>8000</v>
      </c>
      <c r="F184" s="1">
        <v>46</v>
      </c>
      <c r="G184" s="1">
        <v>2.35</v>
      </c>
      <c r="H184" s="1">
        <v>45</v>
      </c>
      <c r="I184" s="1">
        <v>1.9</v>
      </c>
      <c r="J184" s="1">
        <v>1672000</v>
      </c>
      <c r="K184" s="1">
        <v>104000</v>
      </c>
      <c r="L184" s="1">
        <v>1.8</v>
      </c>
      <c r="M184" s="1">
        <v>1.9</v>
      </c>
      <c r="N184" s="1">
        <v>72000</v>
      </c>
      <c r="O184" s="9"/>
      <c r="P184" s="7">
        <f t="shared" ca="1" si="40"/>
        <v>0.45000000000000018</v>
      </c>
      <c r="Q184" s="7">
        <f t="shared" ca="1" si="46"/>
        <v>2.250000000000001E-2</v>
      </c>
      <c r="R184" s="33">
        <f t="shared" ca="1" si="41"/>
        <v>3600.0000000000014</v>
      </c>
      <c r="S184" s="33">
        <f t="shared" ca="1" si="42"/>
        <v>-4399.9999999999982</v>
      </c>
      <c r="T184" s="33">
        <f t="shared" ca="1" si="47"/>
        <v>3600.0000000000014</v>
      </c>
      <c r="U184" s="7">
        <f ca="1">ABS($T184/$S184)</f>
        <v>0.81818181818181879</v>
      </c>
      <c r="V184" s="7">
        <f t="shared" ca="1" si="44"/>
        <v>-0.90255385065827343</v>
      </c>
      <c r="W184" s="33">
        <f t="shared" ca="1" si="48"/>
        <v>-4399.9999999999982</v>
      </c>
      <c r="X184" s="7">
        <f t="shared" ca="1" si="49"/>
        <v>-1</v>
      </c>
      <c r="Y184" s="7">
        <f t="shared" ca="1" si="50"/>
        <v>-0.18181818181818121</v>
      </c>
      <c r="Z184" s="7">
        <f t="shared" ca="1" si="45"/>
        <v>-0.16401185508636817</v>
      </c>
      <c r="AA184" s="33">
        <f t="shared" ca="1" si="51"/>
        <v>-4399.9999999999982</v>
      </c>
      <c r="AB184" s="7">
        <f t="shared" ca="1" si="52"/>
        <v>-1.2222222222222212</v>
      </c>
      <c r="AC184" s="7">
        <f t="shared" ca="1" si="53"/>
        <v>-0.20202020202020121</v>
      </c>
      <c r="AD184" s="1"/>
      <c r="AE184" s="1"/>
      <c r="AH184" s="34"/>
    </row>
    <row r="185" spans="1:34" x14ac:dyDescent="0.25">
      <c r="A185" s="1">
        <v>182</v>
      </c>
      <c r="B185" s="25">
        <v>44007</v>
      </c>
      <c r="C185" s="10" t="s">
        <v>1183</v>
      </c>
      <c r="D185" s="1">
        <v>1135.8</v>
      </c>
      <c r="E185" s="30">
        <v>309</v>
      </c>
      <c r="F185" s="1">
        <v>1050</v>
      </c>
      <c r="G185" s="1">
        <v>44</v>
      </c>
      <c r="H185" s="1">
        <v>800</v>
      </c>
      <c r="I185" s="1">
        <v>5</v>
      </c>
      <c r="J185" s="1">
        <v>46659</v>
      </c>
      <c r="K185" s="1">
        <v>309</v>
      </c>
      <c r="L185" s="1">
        <v>3.2</v>
      </c>
      <c r="M185" s="1">
        <v>7.95</v>
      </c>
      <c r="N185" s="1">
        <v>3090</v>
      </c>
      <c r="O185" s="9"/>
      <c r="P185" s="7">
        <f t="shared" ca="1" si="40"/>
        <v>0.156</v>
      </c>
      <c r="Q185" s="7">
        <f t="shared" ca="1" si="46"/>
        <v>7.7999999999999996E-3</v>
      </c>
      <c r="R185" s="33">
        <f t="shared" ca="1" si="41"/>
        <v>12051</v>
      </c>
      <c r="S185" s="33">
        <f t="shared" ca="1" si="42"/>
        <v>-65199</v>
      </c>
      <c r="T185" s="33">
        <f t="shared" ca="1" si="47"/>
        <v>12051</v>
      </c>
      <c r="U185" s="7">
        <f t="shared" ca="1" si="43"/>
        <v>0.18483412322274881</v>
      </c>
      <c r="V185" s="7">
        <f t="shared" ca="1" si="44"/>
        <v>-0.94271324748384489</v>
      </c>
      <c r="W185" s="33">
        <f t="shared" ca="1" si="48"/>
        <v>-65199</v>
      </c>
      <c r="X185" s="7">
        <f t="shared" ca="1" si="49"/>
        <v>-1</v>
      </c>
      <c r="Y185" s="7">
        <f t="shared" ca="1" si="50"/>
        <v>-0.81516587677725116</v>
      </c>
      <c r="Z185" s="7">
        <f t="shared" ca="1" si="45"/>
        <v>-0.22997417972197942</v>
      </c>
      <c r="AA185" s="33">
        <f t="shared" ca="1" si="51"/>
        <v>-42149.044058421292</v>
      </c>
      <c r="AB185" s="7">
        <f t="shared" ca="1" si="52"/>
        <v>-3.4975557263647241</v>
      </c>
      <c r="AC185" s="7">
        <f t="shared" ca="1" si="53"/>
        <v>-1.6563608015709876</v>
      </c>
      <c r="AD185" s="1"/>
      <c r="AE185" s="1"/>
      <c r="AH185" s="34"/>
    </row>
    <row r="186" spans="1:34" x14ac:dyDescent="0.25">
      <c r="A186" s="1">
        <v>183</v>
      </c>
      <c r="B186" s="25">
        <v>44007</v>
      </c>
      <c r="C186" s="10" t="s">
        <v>1183</v>
      </c>
      <c r="D186" s="1">
        <v>1135.8</v>
      </c>
      <c r="E186" s="30">
        <v>309</v>
      </c>
      <c r="F186" s="1">
        <v>1050</v>
      </c>
      <c r="G186" s="1">
        <v>44</v>
      </c>
      <c r="H186" s="1">
        <v>850</v>
      </c>
      <c r="I186" s="1">
        <v>4.4000000000000004</v>
      </c>
      <c r="J186" s="1">
        <v>23793</v>
      </c>
      <c r="K186" s="1">
        <v>618</v>
      </c>
      <c r="L186" s="1">
        <v>5.05</v>
      </c>
      <c r="M186" s="1">
        <v>8.1999999999999993</v>
      </c>
      <c r="N186" s="1">
        <v>309</v>
      </c>
      <c r="O186" s="9"/>
      <c r="P186" s="7">
        <f t="shared" ca="1" si="40"/>
        <v>0.19800000000000001</v>
      </c>
      <c r="Q186" s="7">
        <f t="shared" ca="1" si="46"/>
        <v>9.9000000000000008E-3</v>
      </c>
      <c r="R186" s="33">
        <f t="shared" ca="1" si="41"/>
        <v>12236.4</v>
      </c>
      <c r="S186" s="33">
        <f t="shared" ca="1" si="42"/>
        <v>-49563.6</v>
      </c>
      <c r="T186" s="33">
        <f t="shared" ca="1" si="47"/>
        <v>12236.4</v>
      </c>
      <c r="U186" s="7">
        <f t="shared" ca="1" si="43"/>
        <v>0.24688279301745636</v>
      </c>
      <c r="V186" s="7">
        <f t="shared" ca="1" si="44"/>
        <v>-0.94271324748384489</v>
      </c>
      <c r="W186" s="33">
        <f t="shared" ca="1" si="48"/>
        <v>-49563.6</v>
      </c>
      <c r="X186" s="7">
        <f t="shared" ca="1" si="49"/>
        <v>-1</v>
      </c>
      <c r="Y186" s="7">
        <f t="shared" ca="1" si="50"/>
        <v>-0.75311720698254359</v>
      </c>
      <c r="Z186" s="7">
        <f t="shared" ca="1" si="45"/>
        <v>-0.22997417972197942</v>
      </c>
      <c r="AA186" s="33">
        <f t="shared" ca="1" si="51"/>
        <v>-41963.644058421291</v>
      </c>
      <c r="AB186" s="7">
        <f t="shared" ca="1" si="52"/>
        <v>-3.4294109426319253</v>
      </c>
      <c r="AC186" s="7">
        <f t="shared" ca="1" si="53"/>
        <v>-1.5912640748072344</v>
      </c>
      <c r="AD186" s="1"/>
      <c r="AE186" s="1"/>
      <c r="AH186" s="34"/>
    </row>
    <row r="187" spans="1:34" x14ac:dyDescent="0.25">
      <c r="A187" s="1">
        <v>184</v>
      </c>
      <c r="B187" s="25">
        <v>44007</v>
      </c>
      <c r="C187" s="10" t="s">
        <v>1183</v>
      </c>
      <c r="D187" s="1">
        <v>1135.8</v>
      </c>
      <c r="E187" s="30">
        <v>309</v>
      </c>
      <c r="F187" s="1">
        <v>1050</v>
      </c>
      <c r="G187" s="1">
        <v>44</v>
      </c>
      <c r="H187" s="1">
        <v>900</v>
      </c>
      <c r="I187" s="1">
        <v>11.15</v>
      </c>
      <c r="J187" s="1">
        <v>50676</v>
      </c>
      <c r="K187" s="1">
        <v>309</v>
      </c>
      <c r="L187" s="1">
        <v>10.7</v>
      </c>
      <c r="M187" s="1">
        <v>11.1</v>
      </c>
      <c r="N187" s="1">
        <v>618</v>
      </c>
      <c r="O187" s="9"/>
      <c r="P187" s="7">
        <f t="shared" ca="1" si="40"/>
        <v>0.219</v>
      </c>
      <c r="Q187" s="7">
        <f t="shared" ca="1" si="46"/>
        <v>1.095E-2</v>
      </c>
      <c r="R187" s="33">
        <f t="shared" ca="1" si="41"/>
        <v>10150.65</v>
      </c>
      <c r="S187" s="33">
        <f t="shared" ca="1" si="42"/>
        <v>-36199.35</v>
      </c>
      <c r="T187" s="33">
        <f t="shared" ca="1" si="47"/>
        <v>10150.65</v>
      </c>
      <c r="U187" s="7">
        <f t="shared" ca="1" si="43"/>
        <v>0.28040973111395645</v>
      </c>
      <c r="V187" s="7">
        <f t="shared" ca="1" si="44"/>
        <v>-0.94271324748384489</v>
      </c>
      <c r="W187" s="33">
        <f t="shared" ca="1" si="48"/>
        <v>-36199.35</v>
      </c>
      <c r="X187" s="7">
        <f t="shared" ca="1" si="49"/>
        <v>-1</v>
      </c>
      <c r="Y187" s="7">
        <f t="shared" ca="1" si="50"/>
        <v>-0.7195902688860436</v>
      </c>
      <c r="Z187" s="7">
        <f t="shared" ca="1" si="45"/>
        <v>-0.22997417972197942</v>
      </c>
      <c r="AA187" s="33">
        <f t="shared" ca="1" si="51"/>
        <v>-36199.35</v>
      </c>
      <c r="AB187" s="7">
        <f t="shared" ca="1" si="52"/>
        <v>-3.5662100456621006</v>
      </c>
      <c r="AC187" s="7">
        <f t="shared" ca="1" si="53"/>
        <v>-1.642900157274072</v>
      </c>
      <c r="AD187" s="1"/>
      <c r="AE187" s="1"/>
      <c r="AH187" s="34"/>
    </row>
    <row r="188" spans="1:34" x14ac:dyDescent="0.25">
      <c r="A188" s="1">
        <v>185</v>
      </c>
      <c r="B188" s="25">
        <v>44007</v>
      </c>
      <c r="C188" s="10" t="s">
        <v>1183</v>
      </c>
      <c r="D188" s="1">
        <v>1135.8</v>
      </c>
      <c r="E188" s="30">
        <v>309</v>
      </c>
      <c r="F188" s="1">
        <v>1050</v>
      </c>
      <c r="G188" s="1">
        <v>44</v>
      </c>
      <c r="H188" s="1">
        <v>950</v>
      </c>
      <c r="I188" s="1">
        <v>17.75</v>
      </c>
      <c r="J188" s="1">
        <v>31518</v>
      </c>
      <c r="K188" s="1">
        <v>309</v>
      </c>
      <c r="L188" s="1">
        <v>16</v>
      </c>
      <c r="M188" s="1">
        <v>18.45</v>
      </c>
      <c r="N188" s="1">
        <v>309</v>
      </c>
      <c r="O188" s="9"/>
      <c r="P188" s="7">
        <f t="shared" ca="1" si="40"/>
        <v>0.26250000000000001</v>
      </c>
      <c r="Q188" s="7">
        <f t="shared" ca="1" si="46"/>
        <v>1.3125000000000001E-2</v>
      </c>
      <c r="R188" s="33">
        <f t="shared" ca="1" si="41"/>
        <v>8111.25</v>
      </c>
      <c r="S188" s="33">
        <f t="shared" ca="1" si="42"/>
        <v>-22788.75</v>
      </c>
      <c r="T188" s="33">
        <f t="shared" ca="1" si="47"/>
        <v>8111.25</v>
      </c>
      <c r="U188" s="7">
        <f t="shared" ca="1" si="43"/>
        <v>0.3559322033898305</v>
      </c>
      <c r="V188" s="7">
        <f t="shared" ca="1" si="44"/>
        <v>-0.94271324748384489</v>
      </c>
      <c r="W188" s="33">
        <f t="shared" ca="1" si="48"/>
        <v>-22788.75</v>
      </c>
      <c r="X188" s="7">
        <f t="shared" ca="1" si="49"/>
        <v>-1</v>
      </c>
      <c r="Y188" s="7">
        <f t="shared" ca="1" si="50"/>
        <v>-0.64406779661016955</v>
      </c>
      <c r="Z188" s="7">
        <f t="shared" ca="1" si="45"/>
        <v>-0.22997417972197942</v>
      </c>
      <c r="AA188" s="33">
        <f t="shared" ca="1" si="51"/>
        <v>-22788.75</v>
      </c>
      <c r="AB188" s="7">
        <f t="shared" ca="1" si="52"/>
        <v>-2.8095238095238093</v>
      </c>
      <c r="AC188" s="7">
        <f t="shared" ca="1" si="53"/>
        <v>-1.2267958030669894</v>
      </c>
      <c r="AD188" s="1"/>
      <c r="AE188" s="1"/>
      <c r="AH188" s="34"/>
    </row>
    <row r="189" spans="1:34" x14ac:dyDescent="0.25">
      <c r="A189" s="1">
        <v>186</v>
      </c>
      <c r="B189" s="25">
        <v>44007</v>
      </c>
      <c r="C189" s="10" t="s">
        <v>1183</v>
      </c>
      <c r="D189" s="1">
        <v>1135.8</v>
      </c>
      <c r="E189" s="30">
        <v>309</v>
      </c>
      <c r="F189" s="1">
        <v>1050</v>
      </c>
      <c r="G189" s="1">
        <v>44</v>
      </c>
      <c r="H189" s="1">
        <v>1000</v>
      </c>
      <c r="I189" s="1">
        <v>27.5</v>
      </c>
      <c r="J189" s="1">
        <v>37698</v>
      </c>
      <c r="K189" s="1">
        <v>618</v>
      </c>
      <c r="L189" s="1">
        <v>27</v>
      </c>
      <c r="M189" s="1">
        <v>27.45</v>
      </c>
      <c r="N189" s="1">
        <v>309</v>
      </c>
      <c r="O189" s="9"/>
      <c r="P189" s="7">
        <f t="shared" ca="1" si="40"/>
        <v>0.33</v>
      </c>
      <c r="Q189" s="7">
        <f t="shared" ca="1" si="46"/>
        <v>1.6500000000000001E-2</v>
      </c>
      <c r="R189" s="33">
        <f t="shared" ca="1" si="41"/>
        <v>5098.5</v>
      </c>
      <c r="S189" s="33">
        <f t="shared" ca="1" si="42"/>
        <v>-10351.5</v>
      </c>
      <c r="T189" s="33">
        <f t="shared" ca="1" si="47"/>
        <v>5098.5</v>
      </c>
      <c r="U189" s="7">
        <f t="shared" ca="1" si="43"/>
        <v>0.4925373134328358</v>
      </c>
      <c r="V189" s="7">
        <f t="shared" ca="1" si="44"/>
        <v>-0.94271324748384489</v>
      </c>
      <c r="W189" s="33">
        <f t="shared" ca="1" si="48"/>
        <v>-10351.5</v>
      </c>
      <c r="X189" s="7">
        <f t="shared" ca="1" si="49"/>
        <v>-1</v>
      </c>
      <c r="Y189" s="7">
        <f t="shared" ca="1" si="50"/>
        <v>-0.5074626865671642</v>
      </c>
      <c r="Z189" s="7">
        <f t="shared" ca="1" si="45"/>
        <v>-0.22997417972197942</v>
      </c>
      <c r="AA189" s="33">
        <f t="shared" ca="1" si="51"/>
        <v>-10351.5</v>
      </c>
      <c r="AB189" s="7">
        <f t="shared" ca="1" si="52"/>
        <v>-2.0303030303030303</v>
      </c>
      <c r="AC189" s="7">
        <f t="shared" ca="1" si="53"/>
        <v>-0.76888285843509729</v>
      </c>
      <c r="AD189" s="1"/>
      <c r="AE189" s="1"/>
      <c r="AH189" s="34"/>
    </row>
    <row r="190" spans="1:34" x14ac:dyDescent="0.25">
      <c r="A190" s="1">
        <v>187</v>
      </c>
      <c r="B190" s="25">
        <v>44007</v>
      </c>
      <c r="C190" s="10" t="s">
        <v>928</v>
      </c>
      <c r="D190" s="1">
        <v>952.85</v>
      </c>
      <c r="E190" s="30">
        <v>375</v>
      </c>
      <c r="F190" s="1">
        <v>870</v>
      </c>
      <c r="G190" s="1">
        <v>11.85</v>
      </c>
      <c r="H190" s="1">
        <v>800</v>
      </c>
      <c r="I190" s="1">
        <v>4.5</v>
      </c>
      <c r="J190" s="1">
        <v>143625</v>
      </c>
      <c r="K190" s="1">
        <v>375</v>
      </c>
      <c r="L190" s="1">
        <v>4.25</v>
      </c>
      <c r="M190" s="1">
        <v>4.8</v>
      </c>
      <c r="N190" s="1">
        <v>1125</v>
      </c>
      <c r="O190" s="9"/>
      <c r="P190" s="7">
        <f t="shared" ca="1" si="40"/>
        <v>0.105</v>
      </c>
      <c r="Q190" s="7">
        <f t="shared" ca="1" si="46"/>
        <v>5.2499999999999995E-3</v>
      </c>
      <c r="R190" s="33">
        <f t="shared" ca="1" si="41"/>
        <v>2756.25</v>
      </c>
      <c r="S190" s="33">
        <f t="shared" ca="1" si="42"/>
        <v>-23493.75</v>
      </c>
      <c r="T190" s="33">
        <f t="shared" ca="1" si="47"/>
        <v>2756.25</v>
      </c>
      <c r="U190" s="7">
        <f t="shared" ca="1" si="43"/>
        <v>0.11731843575418995</v>
      </c>
      <c r="V190" s="7">
        <f t="shared" ca="1" si="44"/>
        <v>-0.5927811563045583</v>
      </c>
      <c r="W190" s="33">
        <f t="shared" ca="1" si="48"/>
        <v>-23493.75</v>
      </c>
      <c r="X190" s="7">
        <f t="shared" ca="1" si="49"/>
        <v>-1</v>
      </c>
      <c r="Y190" s="7">
        <f t="shared" ca="1" si="50"/>
        <v>-0.88268156424581001</v>
      </c>
      <c r="Z190" s="7">
        <f t="shared" ca="1" si="45"/>
        <v>-9.4503546761427762E-2</v>
      </c>
      <c r="AA190" s="33">
        <f t="shared" ca="1" si="51"/>
        <v>57.110800640094567</v>
      </c>
      <c r="AB190" s="7">
        <f t="shared" ca="1" si="52"/>
        <v>2.0720471887562656E-2</v>
      </c>
      <c r="AC190" s="7">
        <f t="shared" ca="1" si="53"/>
        <v>6.9019453820876306E-2</v>
      </c>
      <c r="AD190" s="1"/>
      <c r="AE190" s="1"/>
      <c r="AH190" s="34"/>
    </row>
    <row r="191" spans="1:34" x14ac:dyDescent="0.25">
      <c r="A191" s="1">
        <v>188</v>
      </c>
      <c r="B191" s="25">
        <v>44007</v>
      </c>
      <c r="C191" s="10" t="s">
        <v>928</v>
      </c>
      <c r="D191" s="1">
        <v>952.85</v>
      </c>
      <c r="E191" s="30">
        <v>375</v>
      </c>
      <c r="F191" s="1">
        <v>870</v>
      </c>
      <c r="G191" s="1">
        <v>11.85</v>
      </c>
      <c r="H191" s="1">
        <v>820</v>
      </c>
      <c r="I191" s="1">
        <v>5.5</v>
      </c>
      <c r="J191" s="1">
        <v>49500</v>
      </c>
      <c r="K191" s="1">
        <v>375</v>
      </c>
      <c r="L191" s="1">
        <v>5.15</v>
      </c>
      <c r="M191" s="1">
        <v>8</v>
      </c>
      <c r="N191" s="1">
        <v>1125</v>
      </c>
      <c r="O191" s="9"/>
      <c r="P191" s="7">
        <f t="shared" ca="1" si="40"/>
        <v>0.127</v>
      </c>
      <c r="Q191" s="7">
        <f t="shared" ca="1" si="46"/>
        <v>6.3499999999999997E-3</v>
      </c>
      <c r="R191" s="33">
        <f t="shared" ca="1" si="41"/>
        <v>2381.25</v>
      </c>
      <c r="S191" s="33">
        <f t="shared" ca="1" si="42"/>
        <v>-16368.75</v>
      </c>
      <c r="T191" s="33">
        <f t="shared" ca="1" si="47"/>
        <v>2381.25</v>
      </c>
      <c r="U191" s="7">
        <f t="shared" ca="1" si="43"/>
        <v>0.145475372279496</v>
      </c>
      <c r="V191" s="7">
        <f t="shared" ca="1" si="44"/>
        <v>-0.5927811563045583</v>
      </c>
      <c r="W191" s="33">
        <f t="shared" ca="1" si="48"/>
        <v>-16368.75</v>
      </c>
      <c r="X191" s="7">
        <f t="shared" ca="1" si="49"/>
        <v>-1</v>
      </c>
      <c r="Y191" s="7">
        <f t="shared" ca="1" si="50"/>
        <v>-0.85452462772050397</v>
      </c>
      <c r="Z191" s="7">
        <f t="shared" ca="1" si="45"/>
        <v>-9.4503546761427762E-2</v>
      </c>
      <c r="AA191" s="33">
        <f t="shared" ca="1" si="51"/>
        <v>-317.88919935990543</v>
      </c>
      <c r="AB191" s="7">
        <f t="shared" ca="1" si="52"/>
        <v>-0.13349677663408102</v>
      </c>
      <c r="AC191" s="7">
        <f t="shared" ca="1" si="53"/>
        <v>5.98929782270749E-3</v>
      </c>
      <c r="AD191" s="1"/>
      <c r="AE191" s="1"/>
      <c r="AH191" s="34"/>
    </row>
    <row r="192" spans="1:34" x14ac:dyDescent="0.25">
      <c r="A192" s="1">
        <v>189</v>
      </c>
      <c r="B192" s="25">
        <v>44007</v>
      </c>
      <c r="C192" s="10" t="s">
        <v>928</v>
      </c>
      <c r="D192" s="1">
        <v>952.85</v>
      </c>
      <c r="E192" s="30">
        <v>375</v>
      </c>
      <c r="F192" s="1">
        <v>870</v>
      </c>
      <c r="G192" s="1">
        <v>11.85</v>
      </c>
      <c r="H192" s="1">
        <v>840</v>
      </c>
      <c r="I192" s="1">
        <v>7.25</v>
      </c>
      <c r="J192" s="1">
        <v>88125</v>
      </c>
      <c r="K192" s="1">
        <v>1875</v>
      </c>
      <c r="L192" s="1">
        <v>7.1</v>
      </c>
      <c r="M192" s="1">
        <v>7.65</v>
      </c>
      <c r="N192" s="1">
        <v>1125</v>
      </c>
      <c r="O192" s="9"/>
      <c r="P192" s="7">
        <f t="shared" ca="1" si="40"/>
        <v>0.15333333333333332</v>
      </c>
      <c r="Q192" s="7">
        <f t="shared" ca="1" si="46"/>
        <v>7.6666666666666662E-3</v>
      </c>
      <c r="R192" s="33">
        <f t="shared" ca="1" si="41"/>
        <v>1724.9999999999998</v>
      </c>
      <c r="S192" s="33">
        <f t="shared" ca="1" si="42"/>
        <v>-9525</v>
      </c>
      <c r="T192" s="33">
        <f t="shared" ca="1" si="47"/>
        <v>1724.9999999999998</v>
      </c>
      <c r="U192" s="7">
        <f t="shared" ca="1" si="43"/>
        <v>0.18110236220472439</v>
      </c>
      <c r="V192" s="7">
        <f t="shared" ca="1" si="44"/>
        <v>-0.5927811563045583</v>
      </c>
      <c r="W192" s="33">
        <f t="shared" ca="1" si="48"/>
        <v>-9525</v>
      </c>
      <c r="X192" s="7">
        <f t="shared" ca="1" si="49"/>
        <v>-1</v>
      </c>
      <c r="Y192" s="7">
        <f t="shared" ca="1" si="50"/>
        <v>-0.81889763779527558</v>
      </c>
      <c r="Z192" s="7">
        <f t="shared" ca="1" si="45"/>
        <v>-9.4503546761427762E-2</v>
      </c>
      <c r="AA192" s="33">
        <f t="shared" ca="1" si="51"/>
        <v>-974.13919935990566</v>
      </c>
      <c r="AB192" s="7">
        <f t="shared" ca="1" si="52"/>
        <v>-0.56471837644052514</v>
      </c>
      <c r="AC192" s="7">
        <f t="shared" ca="1" si="53"/>
        <v>-0.19180800711790036</v>
      </c>
      <c r="AD192" s="1"/>
      <c r="AE192" s="1"/>
      <c r="AH192" s="34"/>
    </row>
    <row r="193" spans="1:34" x14ac:dyDescent="0.25">
      <c r="A193" s="1">
        <v>190</v>
      </c>
      <c r="B193" s="25">
        <v>44007</v>
      </c>
      <c r="C193" s="10" t="s">
        <v>928</v>
      </c>
      <c r="D193" s="1">
        <v>952.85</v>
      </c>
      <c r="E193" s="30">
        <v>375</v>
      </c>
      <c r="F193" s="1">
        <v>870</v>
      </c>
      <c r="G193" s="1">
        <v>11.85</v>
      </c>
      <c r="H193" s="1">
        <v>860</v>
      </c>
      <c r="I193" s="1">
        <v>10.5</v>
      </c>
      <c r="J193" s="1">
        <v>85500</v>
      </c>
      <c r="K193" s="1">
        <v>1125</v>
      </c>
      <c r="L193" s="1">
        <v>10.3</v>
      </c>
      <c r="M193" s="1">
        <v>10.7</v>
      </c>
      <c r="N193" s="1">
        <v>1500</v>
      </c>
      <c r="O193" s="9"/>
      <c r="P193" s="7">
        <f t="shared" ca="1" si="40"/>
        <v>0.13499999999999995</v>
      </c>
      <c r="Q193" s="7">
        <f t="shared" ca="1" si="46"/>
        <v>6.7499999999999973E-3</v>
      </c>
      <c r="R193" s="33">
        <f t="shared" ca="1" si="41"/>
        <v>506.24999999999989</v>
      </c>
      <c r="S193" s="33">
        <f t="shared" ca="1" si="42"/>
        <v>-3243.75</v>
      </c>
      <c r="T193" s="33">
        <f t="shared" ca="1" si="47"/>
        <v>506.24999999999989</v>
      </c>
      <c r="U193" s="7">
        <f t="shared" ca="1" si="43"/>
        <v>0.15606936416184969</v>
      </c>
      <c r="V193" s="7">
        <f t="shared" ca="1" si="44"/>
        <v>-0.5927811563045583</v>
      </c>
      <c r="W193" s="33">
        <f t="shared" ca="1" si="48"/>
        <v>-3243.75</v>
      </c>
      <c r="X193" s="7">
        <f t="shared" ca="1" si="49"/>
        <v>-1</v>
      </c>
      <c r="Y193" s="7">
        <f t="shared" ca="1" si="50"/>
        <v>-0.84393063583815031</v>
      </c>
      <c r="Z193" s="7">
        <f t="shared" ca="1" si="45"/>
        <v>-9.4503546761427762E-2</v>
      </c>
      <c r="AA193" s="33">
        <f t="shared" ca="1" si="51"/>
        <v>-2192.8891993599054</v>
      </c>
      <c r="AB193" s="7">
        <f t="shared" ca="1" si="52"/>
        <v>-4.3316329863899377</v>
      </c>
      <c r="AC193" s="7">
        <f t="shared" ca="1" si="53"/>
        <v>-2.087781811114044</v>
      </c>
      <c r="AD193" s="1"/>
      <c r="AE193" s="1"/>
      <c r="AH193" s="34"/>
    </row>
    <row r="194" spans="1:34" x14ac:dyDescent="0.25">
      <c r="A194" s="1">
        <v>191</v>
      </c>
      <c r="B194" s="25">
        <v>44007</v>
      </c>
      <c r="C194" s="10" t="s">
        <v>17</v>
      </c>
      <c r="D194" s="1">
        <v>88.3</v>
      </c>
      <c r="E194" s="30">
        <v>6000</v>
      </c>
      <c r="F194" s="1">
        <v>80</v>
      </c>
      <c r="G194" s="1">
        <v>1.4</v>
      </c>
      <c r="H194" s="1">
        <v>70</v>
      </c>
      <c r="I194" s="1">
        <v>0.3</v>
      </c>
      <c r="J194" s="1">
        <v>270000</v>
      </c>
      <c r="K194" s="1">
        <v>6000</v>
      </c>
      <c r="L194" s="1">
        <v>0.3</v>
      </c>
      <c r="M194" s="1">
        <v>0.4</v>
      </c>
      <c r="N194" s="1">
        <v>18000</v>
      </c>
      <c r="O194" s="9"/>
      <c r="P194" s="7">
        <f t="shared" ca="1" si="40"/>
        <v>0.10999999999999999</v>
      </c>
      <c r="Q194" s="7">
        <f t="shared" ca="1" si="46"/>
        <v>5.4999999999999997E-3</v>
      </c>
      <c r="R194" s="33">
        <f t="shared" ca="1" si="41"/>
        <v>6599.9999999999991</v>
      </c>
      <c r="S194" s="33">
        <f t="shared" ca="1" si="42"/>
        <v>-53400</v>
      </c>
      <c r="T194" s="33">
        <f t="shared" ca="1" si="47"/>
        <v>6599.9999999999991</v>
      </c>
      <c r="U194" s="7">
        <f t="shared" ca="1" si="43"/>
        <v>0.12359550561797751</v>
      </c>
      <c r="V194" s="7">
        <f t="shared" ca="1" si="44"/>
        <v>-0.51003228774659481</v>
      </c>
      <c r="W194" s="33">
        <f t="shared" ca="1" si="48"/>
        <v>-53400</v>
      </c>
      <c r="X194" s="7">
        <f t="shared" ca="1" si="49"/>
        <v>-1</v>
      </c>
      <c r="Y194" s="7">
        <f t="shared" ca="1" si="50"/>
        <v>-0.8764044943820225</v>
      </c>
      <c r="Z194" s="7">
        <f t="shared" ca="1" si="45"/>
        <v>-0.16644016380083945</v>
      </c>
      <c r="AA194" s="33">
        <f t="shared" ca="1" si="51"/>
        <v>-31779.99878168475</v>
      </c>
      <c r="AB194" s="7">
        <f t="shared" ca="1" si="52"/>
        <v>-4.8151513305582965</v>
      </c>
      <c r="AC194" s="7">
        <f t="shared" ca="1" si="53"/>
        <v>-2.3457779124701594</v>
      </c>
      <c r="AD194" s="1"/>
      <c r="AE194" s="1"/>
      <c r="AH194" s="34"/>
    </row>
    <row r="195" spans="1:34" x14ac:dyDescent="0.25">
      <c r="A195" s="1">
        <v>192</v>
      </c>
      <c r="B195" s="25">
        <v>44007</v>
      </c>
      <c r="C195" s="10" t="s">
        <v>17</v>
      </c>
      <c r="D195" s="1">
        <v>88.3</v>
      </c>
      <c r="E195" s="30">
        <v>6000</v>
      </c>
      <c r="F195" s="1">
        <v>80</v>
      </c>
      <c r="G195" s="1">
        <v>1.4</v>
      </c>
      <c r="H195" s="1">
        <v>72.5</v>
      </c>
      <c r="I195" s="1">
        <v>0.45</v>
      </c>
      <c r="J195" s="1">
        <v>96000</v>
      </c>
      <c r="K195" s="1">
        <v>18000</v>
      </c>
      <c r="L195" s="1">
        <v>0.4</v>
      </c>
      <c r="M195" s="1">
        <v>0.7</v>
      </c>
      <c r="N195" s="1">
        <v>108000</v>
      </c>
      <c r="O195" s="9"/>
      <c r="P195" s="7">
        <f t="shared" ca="1" si="40"/>
        <v>0.12666666666666665</v>
      </c>
      <c r="Q195" s="7">
        <f t="shared" ca="1" si="46"/>
        <v>6.3333333333333323E-3</v>
      </c>
      <c r="R195" s="33">
        <f t="shared" ca="1" si="41"/>
        <v>5700</v>
      </c>
      <c r="S195" s="33">
        <f t="shared" ca="1" si="42"/>
        <v>-39300</v>
      </c>
      <c r="T195" s="33">
        <f t="shared" ca="1" si="47"/>
        <v>5700</v>
      </c>
      <c r="U195" s="7">
        <f t="shared" ca="1" si="43"/>
        <v>0.14503816793893129</v>
      </c>
      <c r="V195" s="7">
        <f t="shared" ca="1" si="44"/>
        <v>-0.51003228774659481</v>
      </c>
      <c r="W195" s="33">
        <f t="shared" ca="1" si="48"/>
        <v>-39300</v>
      </c>
      <c r="X195" s="7">
        <f t="shared" ca="1" si="49"/>
        <v>-1</v>
      </c>
      <c r="Y195" s="7">
        <f t="shared" ca="1" si="50"/>
        <v>-0.85496183206106868</v>
      </c>
      <c r="Z195" s="7">
        <f t="shared" ca="1" si="45"/>
        <v>-0.16644016380083945</v>
      </c>
      <c r="AA195" s="33">
        <f t="shared" ca="1" si="51"/>
        <v>-32679.99878168475</v>
      </c>
      <c r="AB195" s="7">
        <f t="shared" ca="1" si="52"/>
        <v>-5.7333331195938158</v>
      </c>
      <c r="AC195" s="7">
        <f t="shared" ca="1" si="53"/>
        <v>-2.7941474758274421</v>
      </c>
      <c r="AD195" s="1"/>
      <c r="AE195" s="1"/>
      <c r="AH195" s="34"/>
    </row>
    <row r="196" spans="1:34" x14ac:dyDescent="0.25">
      <c r="A196" s="1">
        <v>193</v>
      </c>
      <c r="B196" s="25">
        <v>44007</v>
      </c>
      <c r="C196" s="10" t="s">
        <v>17</v>
      </c>
      <c r="D196" s="1">
        <v>88.3</v>
      </c>
      <c r="E196" s="30">
        <v>6000</v>
      </c>
      <c r="F196" s="1">
        <v>80</v>
      </c>
      <c r="G196" s="1">
        <v>1.4</v>
      </c>
      <c r="H196" s="1">
        <v>75</v>
      </c>
      <c r="I196" s="1">
        <v>0.65</v>
      </c>
      <c r="J196" s="1">
        <v>570000</v>
      </c>
      <c r="K196" s="1">
        <v>42000</v>
      </c>
      <c r="L196" s="1">
        <v>0.6</v>
      </c>
      <c r="M196" s="1">
        <v>0.7</v>
      </c>
      <c r="N196" s="1">
        <v>18000</v>
      </c>
      <c r="O196" s="9"/>
      <c r="P196" s="7">
        <f t="shared" ref="P196:P259" ca="1" si="54">($G196-$I196)/($F196-$H196)</f>
        <v>0.14999999999999997</v>
      </c>
      <c r="Q196" s="7">
        <f t="shared" ca="1" si="46"/>
        <v>7.499999999999998E-3</v>
      </c>
      <c r="R196" s="33">
        <f t="shared" ref="R196:R259" ca="1" si="55">$E196*($G196-$I196)</f>
        <v>4499.9999999999991</v>
      </c>
      <c r="S196" s="33">
        <f t="shared" ref="S196:S259" ca="1" si="56">-(($F196-$H196)*$E196-$R196)</f>
        <v>-25500</v>
      </c>
      <c r="T196" s="33">
        <f t="shared" ca="1" si="47"/>
        <v>4499.9999999999991</v>
      </c>
      <c r="U196" s="7">
        <f t="shared" ref="U196:U259" ca="1" si="57">ABS($T196/$S196)</f>
        <v>0.17647058823529407</v>
      </c>
      <c r="V196" s="7">
        <f t="shared" ref="V196:V259" ca="1" si="58">mrigxl_max_drawdown($C196,INT($B196-TODAY()))</f>
        <v>-0.51003228774659481</v>
      </c>
      <c r="W196" s="33">
        <f t="shared" ca="1" si="48"/>
        <v>-25500</v>
      </c>
      <c r="X196" s="7">
        <f t="shared" ca="1" si="49"/>
        <v>-1</v>
      </c>
      <c r="Y196" s="7">
        <f t="shared" ca="1" si="50"/>
        <v>-0.82352941176470595</v>
      </c>
      <c r="Z196" s="7">
        <f t="shared" ref="Z196:Z259" ca="1" si="59">mrigxl_avg_drawdown($C196,INT($B196-TODAY()))</f>
        <v>-0.16644016380083945</v>
      </c>
      <c r="AA196" s="33">
        <f t="shared" ca="1" si="51"/>
        <v>-25500</v>
      </c>
      <c r="AB196" s="7">
        <f t="shared" ca="1" si="52"/>
        <v>-5.6666666666666679</v>
      </c>
      <c r="AC196" s="7">
        <f t="shared" ca="1" si="53"/>
        <v>-2.7450980392156867</v>
      </c>
      <c r="AD196" s="1"/>
      <c r="AE196" s="1"/>
      <c r="AH196" s="34"/>
    </row>
    <row r="197" spans="1:34" x14ac:dyDescent="0.25">
      <c r="A197" s="1">
        <v>194</v>
      </c>
      <c r="B197" s="25">
        <v>44007</v>
      </c>
      <c r="C197" s="10" t="s">
        <v>17</v>
      </c>
      <c r="D197" s="1">
        <v>88.3</v>
      </c>
      <c r="E197" s="30">
        <v>6000</v>
      </c>
      <c r="F197" s="1">
        <v>80</v>
      </c>
      <c r="G197" s="1">
        <v>1.4</v>
      </c>
      <c r="H197" s="1">
        <v>77.5</v>
      </c>
      <c r="I197" s="1">
        <v>1</v>
      </c>
      <c r="J197" s="1">
        <v>180000</v>
      </c>
      <c r="K197" s="1">
        <v>12000</v>
      </c>
      <c r="L197" s="1">
        <v>0.9</v>
      </c>
      <c r="M197" s="1">
        <v>1.05</v>
      </c>
      <c r="N197" s="1">
        <v>12000</v>
      </c>
      <c r="O197" s="9"/>
      <c r="P197" s="7">
        <f t="shared" ca="1" si="54"/>
        <v>0.15999999999999998</v>
      </c>
      <c r="Q197" s="7">
        <f t="shared" ca="1" si="46"/>
        <v>7.9999999999999984E-3</v>
      </c>
      <c r="R197" s="33">
        <f t="shared" ca="1" si="55"/>
        <v>2399.9999999999995</v>
      </c>
      <c r="S197" s="33">
        <f t="shared" ca="1" si="56"/>
        <v>-12600</v>
      </c>
      <c r="T197" s="33">
        <f t="shared" ca="1" si="47"/>
        <v>2399.9999999999995</v>
      </c>
      <c r="U197" s="7">
        <f t="shared" ca="1" si="57"/>
        <v>0.19047619047619044</v>
      </c>
      <c r="V197" s="7">
        <f t="shared" ca="1" si="58"/>
        <v>-0.51003228774659481</v>
      </c>
      <c r="W197" s="33">
        <f t="shared" ca="1" si="48"/>
        <v>-12600</v>
      </c>
      <c r="X197" s="7">
        <f t="shared" ca="1" si="49"/>
        <v>-1</v>
      </c>
      <c r="Y197" s="7">
        <f t="shared" ca="1" si="50"/>
        <v>-0.80952380952380953</v>
      </c>
      <c r="Z197" s="7">
        <f t="shared" ca="1" si="59"/>
        <v>-0.16644016380083945</v>
      </c>
      <c r="AA197" s="33">
        <f t="shared" ca="1" si="51"/>
        <v>-12600</v>
      </c>
      <c r="AB197" s="7">
        <f t="shared" ca="1" si="52"/>
        <v>-5.2500000000000009</v>
      </c>
      <c r="AC197" s="7">
        <f t="shared" ca="1" si="53"/>
        <v>-2.5297619047619051</v>
      </c>
      <c r="AD197" s="1"/>
      <c r="AE197" s="1"/>
      <c r="AH197" s="34"/>
    </row>
    <row r="198" spans="1:34" x14ac:dyDescent="0.25">
      <c r="A198" s="1">
        <v>195</v>
      </c>
      <c r="B198" s="25">
        <v>44007</v>
      </c>
      <c r="C198" s="10" t="s">
        <v>51</v>
      </c>
      <c r="D198" s="1">
        <v>39</v>
      </c>
      <c r="E198" s="30">
        <v>10000</v>
      </c>
      <c r="F198" s="1">
        <v>35</v>
      </c>
      <c r="G198" s="1">
        <v>0.5</v>
      </c>
      <c r="H198" s="1">
        <v>31</v>
      </c>
      <c r="I198" s="1">
        <v>0.1</v>
      </c>
      <c r="J198" s="1">
        <v>140000</v>
      </c>
      <c r="K198" s="1">
        <v>310000</v>
      </c>
      <c r="L198" s="1">
        <v>0.05</v>
      </c>
      <c r="M198" s="1">
        <v>0.1</v>
      </c>
      <c r="N198" s="1">
        <v>10000</v>
      </c>
      <c r="O198" s="9"/>
      <c r="P198" s="7">
        <f t="shared" ca="1" si="54"/>
        <v>0.1</v>
      </c>
      <c r="Q198" s="7">
        <f t="shared" ca="1" si="46"/>
        <v>5.0000000000000001E-3</v>
      </c>
      <c r="R198" s="33">
        <f t="shared" ca="1" si="55"/>
        <v>4000</v>
      </c>
      <c r="S198" s="33">
        <f t="shared" ca="1" si="56"/>
        <v>-36000</v>
      </c>
      <c r="T198" s="33">
        <f t="shared" ca="1" si="47"/>
        <v>4000</v>
      </c>
      <c r="U198" s="7">
        <f t="shared" ca="1" si="57"/>
        <v>0.1111111111111111</v>
      </c>
      <c r="V198" s="7">
        <f t="shared" ca="1" si="58"/>
        <v>-0.82362811630129884</v>
      </c>
      <c r="W198" s="33">
        <f t="shared" ca="1" si="48"/>
        <v>-36000</v>
      </c>
      <c r="X198" s="7">
        <f t="shared" ca="1" si="49"/>
        <v>-1</v>
      </c>
      <c r="Y198" s="7">
        <f t="shared" ca="1" si="50"/>
        <v>-0.88888888888888884</v>
      </c>
      <c r="Z198" s="7">
        <f t="shared" ca="1" si="59"/>
        <v>-0.20414859858880105</v>
      </c>
      <c r="AA198" s="33">
        <f t="shared" ca="1" si="51"/>
        <v>-35617.953449632427</v>
      </c>
      <c r="AB198" s="7">
        <f t="shared" ca="1" si="52"/>
        <v>-8.9044883624081059</v>
      </c>
      <c r="AC198" s="7">
        <f t="shared" ca="1" si="53"/>
        <v>-4.3966886256484976</v>
      </c>
      <c r="AD198" s="1"/>
      <c r="AE198" s="1"/>
      <c r="AH198" s="34"/>
    </row>
    <row r="199" spans="1:34" x14ac:dyDescent="0.25">
      <c r="A199" s="1">
        <v>196</v>
      </c>
      <c r="B199" s="25">
        <v>44007</v>
      </c>
      <c r="C199" s="10" t="s">
        <v>51</v>
      </c>
      <c r="D199" s="1">
        <v>39</v>
      </c>
      <c r="E199" s="30">
        <v>10000</v>
      </c>
      <c r="F199" s="1">
        <v>35</v>
      </c>
      <c r="G199" s="1">
        <v>0.5</v>
      </c>
      <c r="H199" s="1">
        <v>32</v>
      </c>
      <c r="I199" s="1">
        <v>0.15</v>
      </c>
      <c r="J199" s="1">
        <v>690000</v>
      </c>
      <c r="K199" s="1">
        <v>90000</v>
      </c>
      <c r="L199" s="1">
        <v>0.1</v>
      </c>
      <c r="M199" s="1">
        <v>0.2</v>
      </c>
      <c r="N199" s="1">
        <v>30000</v>
      </c>
      <c r="O199" s="9"/>
      <c r="P199" s="7">
        <f t="shared" ca="1" si="54"/>
        <v>0.11666666666666665</v>
      </c>
      <c r="Q199" s="7">
        <f t="shared" ca="1" si="46"/>
        <v>5.8333333333333327E-3</v>
      </c>
      <c r="R199" s="33">
        <f t="shared" ca="1" si="55"/>
        <v>3500</v>
      </c>
      <c r="S199" s="33">
        <f t="shared" ca="1" si="56"/>
        <v>-26500</v>
      </c>
      <c r="T199" s="33">
        <f t="shared" ca="1" si="47"/>
        <v>3500</v>
      </c>
      <c r="U199" s="7">
        <f t="shared" ca="1" si="57"/>
        <v>0.13207547169811321</v>
      </c>
      <c r="V199" s="7">
        <f t="shared" ca="1" si="58"/>
        <v>-0.82362811630129884</v>
      </c>
      <c r="W199" s="33">
        <f t="shared" ca="1" si="48"/>
        <v>-26500</v>
      </c>
      <c r="X199" s="7">
        <f t="shared" ca="1" si="49"/>
        <v>-1</v>
      </c>
      <c r="Y199" s="7">
        <f t="shared" ca="1" si="50"/>
        <v>-0.86792452830188682</v>
      </c>
      <c r="Z199" s="7">
        <f t="shared" ca="1" si="59"/>
        <v>-0.20414859858880105</v>
      </c>
      <c r="AA199" s="33">
        <f t="shared" ca="1" si="51"/>
        <v>-26500</v>
      </c>
      <c r="AB199" s="7">
        <f t="shared" ca="1" si="52"/>
        <v>-7.5714285714285712</v>
      </c>
      <c r="AC199" s="7">
        <f t="shared" ca="1" si="53"/>
        <v>-3.7196765498652291</v>
      </c>
      <c r="AD199" s="1"/>
      <c r="AE199" s="1"/>
      <c r="AH199" s="34"/>
    </row>
    <row r="200" spans="1:34" x14ac:dyDescent="0.25">
      <c r="A200" s="1">
        <v>197</v>
      </c>
      <c r="B200" s="25">
        <v>44007</v>
      </c>
      <c r="C200" s="10" t="s">
        <v>51</v>
      </c>
      <c r="D200" s="1">
        <v>39</v>
      </c>
      <c r="E200" s="30">
        <v>10000</v>
      </c>
      <c r="F200" s="1">
        <v>35</v>
      </c>
      <c r="G200" s="1">
        <v>0.5</v>
      </c>
      <c r="H200" s="1">
        <v>33</v>
      </c>
      <c r="I200" s="1">
        <v>0.25</v>
      </c>
      <c r="J200" s="1">
        <v>1480000</v>
      </c>
      <c r="K200" s="1">
        <v>70000</v>
      </c>
      <c r="L200" s="1">
        <v>0.2</v>
      </c>
      <c r="M200" s="1">
        <v>0.25</v>
      </c>
      <c r="N200" s="1">
        <v>60000</v>
      </c>
      <c r="O200" s="9"/>
      <c r="P200" s="7">
        <f t="shared" ca="1" si="54"/>
        <v>0.125</v>
      </c>
      <c r="Q200" s="7">
        <f t="shared" ca="1" si="46"/>
        <v>6.2500000000000003E-3</v>
      </c>
      <c r="R200" s="33">
        <f t="shared" ca="1" si="55"/>
        <v>2500</v>
      </c>
      <c r="S200" s="33">
        <f t="shared" ca="1" si="56"/>
        <v>-17500</v>
      </c>
      <c r="T200" s="33">
        <f t="shared" ca="1" si="47"/>
        <v>2500</v>
      </c>
      <c r="U200" s="7">
        <f t="shared" ca="1" si="57"/>
        <v>0.14285714285714285</v>
      </c>
      <c r="V200" s="7">
        <f t="shared" ca="1" si="58"/>
        <v>-0.82362811630129884</v>
      </c>
      <c r="W200" s="33">
        <f t="shared" ca="1" si="48"/>
        <v>-17500</v>
      </c>
      <c r="X200" s="7">
        <f t="shared" ca="1" si="49"/>
        <v>-1</v>
      </c>
      <c r="Y200" s="7">
        <f t="shared" ca="1" si="50"/>
        <v>-0.85714285714285721</v>
      </c>
      <c r="Z200" s="7">
        <f t="shared" ca="1" si="59"/>
        <v>-0.20414859858880105</v>
      </c>
      <c r="AA200" s="33">
        <f t="shared" ca="1" si="51"/>
        <v>-17500</v>
      </c>
      <c r="AB200" s="7">
        <f t="shared" ca="1" si="52"/>
        <v>-7</v>
      </c>
      <c r="AC200" s="7">
        <f t="shared" ca="1" si="53"/>
        <v>-3.4285714285714284</v>
      </c>
      <c r="AD200" s="1"/>
      <c r="AE200" s="1"/>
      <c r="AH200" s="34"/>
    </row>
    <row r="201" spans="1:34" x14ac:dyDescent="0.25">
      <c r="A201" s="1">
        <v>198</v>
      </c>
      <c r="B201" s="25">
        <v>44007</v>
      </c>
      <c r="C201" s="10" t="s">
        <v>51</v>
      </c>
      <c r="D201" s="1">
        <v>39</v>
      </c>
      <c r="E201" s="30">
        <v>10000</v>
      </c>
      <c r="F201" s="1">
        <v>35</v>
      </c>
      <c r="G201" s="1">
        <v>0.5</v>
      </c>
      <c r="H201" s="1">
        <v>34</v>
      </c>
      <c r="I201" s="1">
        <v>0.35</v>
      </c>
      <c r="J201" s="1">
        <v>2030000</v>
      </c>
      <c r="K201" s="1">
        <v>10000</v>
      </c>
      <c r="L201" s="1">
        <v>0.3</v>
      </c>
      <c r="M201" s="1">
        <v>0.35</v>
      </c>
      <c r="N201" s="1">
        <v>30000</v>
      </c>
      <c r="O201" s="9"/>
      <c r="P201" s="7">
        <f t="shared" ca="1" si="54"/>
        <v>0.15000000000000002</v>
      </c>
      <c r="Q201" s="7">
        <f t="shared" ca="1" si="46"/>
        <v>7.5000000000000015E-3</v>
      </c>
      <c r="R201" s="33">
        <f t="shared" ca="1" si="55"/>
        <v>1500.0000000000002</v>
      </c>
      <c r="S201" s="33">
        <f t="shared" ca="1" si="56"/>
        <v>-8500</v>
      </c>
      <c r="T201" s="33">
        <f t="shared" ca="1" si="47"/>
        <v>1500.0000000000002</v>
      </c>
      <c r="U201" s="7">
        <f t="shared" ca="1" si="57"/>
        <v>0.17647058823529416</v>
      </c>
      <c r="V201" s="7">
        <f t="shared" ca="1" si="58"/>
        <v>-0.82362811630129884</v>
      </c>
      <c r="W201" s="33">
        <f t="shared" ca="1" si="48"/>
        <v>-8500</v>
      </c>
      <c r="X201" s="7">
        <f t="shared" ca="1" si="49"/>
        <v>-1</v>
      </c>
      <c r="Y201" s="7">
        <f t="shared" ca="1" si="50"/>
        <v>-0.82352941176470584</v>
      </c>
      <c r="Z201" s="7">
        <f t="shared" ca="1" si="59"/>
        <v>-0.20414859858880105</v>
      </c>
      <c r="AA201" s="33">
        <f t="shared" ca="1" si="51"/>
        <v>-8500</v>
      </c>
      <c r="AB201" s="7">
        <f t="shared" ca="1" si="52"/>
        <v>-5.6666666666666661</v>
      </c>
      <c r="AC201" s="7">
        <f t="shared" ca="1" si="53"/>
        <v>-2.7450980392156858</v>
      </c>
      <c r="AH201" s="34"/>
    </row>
    <row r="202" spans="1:34" x14ac:dyDescent="0.25">
      <c r="A202" s="1">
        <v>199</v>
      </c>
      <c r="B202" s="25">
        <v>44007</v>
      </c>
      <c r="C202" s="10" t="s">
        <v>983</v>
      </c>
      <c r="D202" s="1">
        <v>5752.8</v>
      </c>
      <c r="E202" s="30">
        <v>100</v>
      </c>
      <c r="F202" s="1">
        <v>5300</v>
      </c>
      <c r="G202" s="1">
        <v>88.9</v>
      </c>
      <c r="H202" s="1">
        <v>4800</v>
      </c>
      <c r="I202" s="1">
        <v>25.4</v>
      </c>
      <c r="J202" s="1">
        <v>45800</v>
      </c>
      <c r="K202" s="1">
        <v>100</v>
      </c>
      <c r="L202" s="1">
        <v>25.15</v>
      </c>
      <c r="M202" s="1">
        <v>26</v>
      </c>
      <c r="N202" s="1">
        <v>300</v>
      </c>
      <c r="O202" s="9"/>
      <c r="P202" s="7">
        <f t="shared" ca="1" si="54"/>
        <v>0.127</v>
      </c>
      <c r="Q202" s="7">
        <f t="shared" ca="1" si="46"/>
        <v>6.3499999999999997E-3</v>
      </c>
      <c r="R202" s="33">
        <f t="shared" ca="1" si="55"/>
        <v>6350.0000000000009</v>
      </c>
      <c r="S202" s="33">
        <f t="shared" ca="1" si="56"/>
        <v>-43650</v>
      </c>
      <c r="T202" s="33">
        <f t="shared" ca="1" si="47"/>
        <v>6350.0000000000009</v>
      </c>
      <c r="U202" s="7">
        <f t="shared" ca="1" si="57"/>
        <v>0.145475372279496</v>
      </c>
      <c r="V202" s="7">
        <f t="shared" ca="1" si="58"/>
        <v>-0.47060174195154975</v>
      </c>
      <c r="W202" s="33">
        <f t="shared" ca="1" si="48"/>
        <v>-43650</v>
      </c>
      <c r="X202" s="7">
        <f t="shared" ca="1" si="49"/>
        <v>-1</v>
      </c>
      <c r="Y202" s="7">
        <f t="shared" ca="1" si="50"/>
        <v>-0.85452462772050397</v>
      </c>
      <c r="Z202" s="7">
        <f t="shared" ca="1" si="59"/>
        <v>-0.10356620266487589</v>
      </c>
      <c r="AA202" s="33">
        <f t="shared" ca="1" si="51"/>
        <v>-7949.5650690498214</v>
      </c>
      <c r="AB202" s="7">
        <f t="shared" ca="1" si="52"/>
        <v>-1.2519000108739875</v>
      </c>
      <c r="AC202" s="7">
        <f t="shared" ca="1" si="53"/>
        <v>-0.55321231929724579</v>
      </c>
      <c r="AH202" s="34"/>
    </row>
    <row r="203" spans="1:34" x14ac:dyDescent="0.25">
      <c r="A203" s="1">
        <v>200</v>
      </c>
      <c r="B203" s="25">
        <v>44007</v>
      </c>
      <c r="C203" s="10" t="s">
        <v>983</v>
      </c>
      <c r="D203" s="1">
        <v>5752.8</v>
      </c>
      <c r="E203" s="30">
        <v>100</v>
      </c>
      <c r="F203" s="1">
        <v>5300</v>
      </c>
      <c r="G203" s="1">
        <v>88.9</v>
      </c>
      <c r="H203" s="1">
        <v>5000</v>
      </c>
      <c r="I203" s="1">
        <v>44.55</v>
      </c>
      <c r="J203" s="1">
        <v>202500</v>
      </c>
      <c r="K203" s="1">
        <v>100</v>
      </c>
      <c r="L203" s="1">
        <v>44.55</v>
      </c>
      <c r="M203" s="1">
        <v>44.95</v>
      </c>
      <c r="N203" s="1">
        <v>100</v>
      </c>
      <c r="O203" s="9"/>
      <c r="P203" s="7">
        <f t="shared" ca="1" si="54"/>
        <v>0.14783333333333337</v>
      </c>
      <c r="Q203" s="7">
        <f t="shared" ca="1" si="46"/>
        <v>7.3916666666666688E-3</v>
      </c>
      <c r="R203" s="33">
        <f t="shared" ca="1" si="55"/>
        <v>4435.0000000000009</v>
      </c>
      <c r="S203" s="33">
        <f t="shared" ca="1" si="56"/>
        <v>-25565</v>
      </c>
      <c r="T203" s="33">
        <f t="shared" ca="1" si="47"/>
        <v>4435.0000000000009</v>
      </c>
      <c r="U203" s="7">
        <f t="shared" ca="1" si="57"/>
        <v>0.17347936632114222</v>
      </c>
      <c r="V203" s="7">
        <f t="shared" ca="1" si="58"/>
        <v>-0.47060174195154975</v>
      </c>
      <c r="W203" s="33">
        <f t="shared" ca="1" si="48"/>
        <v>-25565</v>
      </c>
      <c r="X203" s="7">
        <f t="shared" ca="1" si="49"/>
        <v>-1</v>
      </c>
      <c r="Y203" s="7">
        <f t="shared" ca="1" si="50"/>
        <v>-0.82652063367885775</v>
      </c>
      <c r="Z203" s="7">
        <f t="shared" ca="1" si="59"/>
        <v>-0.10356620266487589</v>
      </c>
      <c r="AA203" s="33">
        <f t="shared" ca="1" si="51"/>
        <v>-9864.5650690498223</v>
      </c>
      <c r="AB203" s="7">
        <f t="shared" ca="1" si="52"/>
        <v>-2.2242536796053711</v>
      </c>
      <c r="AC203" s="7">
        <f t="shared" ca="1" si="53"/>
        <v>-1.0253871566421144</v>
      </c>
      <c r="AH203" s="34"/>
    </row>
    <row r="204" spans="1:34" x14ac:dyDescent="0.25">
      <c r="A204" s="1">
        <v>201</v>
      </c>
      <c r="B204" s="25">
        <v>44007</v>
      </c>
      <c r="C204" s="10" t="s">
        <v>983</v>
      </c>
      <c r="D204" s="1">
        <v>5752.8</v>
      </c>
      <c r="E204" s="30">
        <v>100</v>
      </c>
      <c r="F204" s="1">
        <v>5300</v>
      </c>
      <c r="G204" s="1">
        <v>88.9</v>
      </c>
      <c r="H204" s="1">
        <v>5100</v>
      </c>
      <c r="I204" s="1">
        <v>56</v>
      </c>
      <c r="J204" s="1">
        <v>24000</v>
      </c>
      <c r="K204" s="1">
        <v>100</v>
      </c>
      <c r="L204" s="1">
        <v>54.85</v>
      </c>
      <c r="M204" s="1">
        <v>55.95</v>
      </c>
      <c r="N204" s="1">
        <v>200</v>
      </c>
      <c r="O204" s="9"/>
      <c r="P204" s="7">
        <f t="shared" ca="1" si="54"/>
        <v>0.16450000000000004</v>
      </c>
      <c r="Q204" s="7">
        <f t="shared" ca="1" si="46"/>
        <v>8.2250000000000014E-3</v>
      </c>
      <c r="R204" s="33">
        <f t="shared" ca="1" si="55"/>
        <v>3290.0000000000005</v>
      </c>
      <c r="S204" s="33">
        <f t="shared" ca="1" si="56"/>
        <v>-16710</v>
      </c>
      <c r="T204" s="33">
        <f t="shared" ca="1" si="47"/>
        <v>3290.0000000000005</v>
      </c>
      <c r="U204" s="7">
        <f t="shared" ca="1" si="57"/>
        <v>0.19688809096349494</v>
      </c>
      <c r="V204" s="7">
        <f t="shared" ca="1" si="58"/>
        <v>-0.47060174195154975</v>
      </c>
      <c r="W204" s="33">
        <f t="shared" ca="1" si="48"/>
        <v>-16710</v>
      </c>
      <c r="X204" s="7">
        <f t="shared" ca="1" si="49"/>
        <v>-1</v>
      </c>
      <c r="Y204" s="7">
        <f t="shared" ca="1" si="50"/>
        <v>-0.80311190903650509</v>
      </c>
      <c r="Z204" s="7">
        <f t="shared" ca="1" si="59"/>
        <v>-0.10356620266487589</v>
      </c>
      <c r="AA204" s="33">
        <f t="shared" ca="1" si="51"/>
        <v>-11009.565069049822</v>
      </c>
      <c r="AB204" s="7">
        <f t="shared" ca="1" si="52"/>
        <v>-3.3463723614133194</v>
      </c>
      <c r="AC204" s="7">
        <f t="shared" ca="1" si="53"/>
        <v>-1.5747421352249122</v>
      </c>
      <c r="AH204" s="34"/>
    </row>
    <row r="205" spans="1:34" x14ac:dyDescent="0.25">
      <c r="A205" s="1">
        <v>202</v>
      </c>
      <c r="B205" s="25">
        <v>44007</v>
      </c>
      <c r="C205" s="10" t="s">
        <v>983</v>
      </c>
      <c r="D205" s="1">
        <v>5752.8</v>
      </c>
      <c r="E205" s="30">
        <v>100</v>
      </c>
      <c r="F205" s="1">
        <v>5300</v>
      </c>
      <c r="G205" s="1">
        <v>88.9</v>
      </c>
      <c r="H205" s="1">
        <v>5200</v>
      </c>
      <c r="I205" s="1">
        <v>69.150000000000006</v>
      </c>
      <c r="J205" s="1">
        <v>52200</v>
      </c>
      <c r="K205" s="1">
        <v>100</v>
      </c>
      <c r="L205" s="1">
        <v>69.349999999999994</v>
      </c>
      <c r="M205" s="1">
        <v>70.25</v>
      </c>
      <c r="N205" s="1">
        <v>100</v>
      </c>
      <c r="O205" s="9"/>
      <c r="P205" s="7">
        <f t="shared" ca="1" si="54"/>
        <v>0.19750000000000001</v>
      </c>
      <c r="Q205" s="7">
        <f t="shared" ca="1" si="46"/>
        <v>9.8750000000000001E-3</v>
      </c>
      <c r="R205" s="33">
        <f t="shared" ca="1" si="55"/>
        <v>1975</v>
      </c>
      <c r="S205" s="33">
        <f t="shared" ca="1" si="56"/>
        <v>-8025</v>
      </c>
      <c r="T205" s="33">
        <f t="shared" ca="1" si="47"/>
        <v>1975</v>
      </c>
      <c r="U205" s="7">
        <f t="shared" ca="1" si="57"/>
        <v>0.24610591900311526</v>
      </c>
      <c r="V205" s="7">
        <f t="shared" ca="1" si="58"/>
        <v>-0.47060174195154975</v>
      </c>
      <c r="W205" s="33">
        <f t="shared" ca="1" si="48"/>
        <v>-8025</v>
      </c>
      <c r="X205" s="7">
        <f t="shared" ca="1" si="49"/>
        <v>-1</v>
      </c>
      <c r="Y205" s="7">
        <f t="shared" ca="1" si="50"/>
        <v>-0.75389408099688471</v>
      </c>
      <c r="Z205" s="7">
        <f t="shared" ca="1" si="59"/>
        <v>-0.10356620266487589</v>
      </c>
      <c r="AA205" s="33">
        <f t="shared" ca="1" si="51"/>
        <v>-8025</v>
      </c>
      <c r="AB205" s="7">
        <f t="shared" ca="1" si="52"/>
        <v>-4.0632911392405067</v>
      </c>
      <c r="AC205" s="7">
        <f t="shared" ca="1" si="53"/>
        <v>-1.9085926101186956</v>
      </c>
      <c r="AH205" s="34"/>
    </row>
    <row r="206" spans="1:34" x14ac:dyDescent="0.25">
      <c r="A206" s="1">
        <v>203</v>
      </c>
      <c r="B206" s="25">
        <v>44007</v>
      </c>
      <c r="C206" s="10" t="s">
        <v>1257</v>
      </c>
      <c r="D206" s="1">
        <v>1173.05</v>
      </c>
      <c r="E206" s="30">
        <v>400</v>
      </c>
      <c r="F206" s="1">
        <v>1050</v>
      </c>
      <c r="G206" s="1">
        <v>57.85</v>
      </c>
      <c r="H206" s="1">
        <v>650</v>
      </c>
      <c r="I206" s="1">
        <v>2.85</v>
      </c>
      <c r="J206" s="1">
        <v>21200</v>
      </c>
      <c r="K206" s="1">
        <v>400</v>
      </c>
      <c r="L206" s="1">
        <v>2</v>
      </c>
      <c r="M206" s="1">
        <v>3</v>
      </c>
      <c r="N206" s="1">
        <v>400</v>
      </c>
      <c r="O206" s="9"/>
      <c r="P206" s="7">
        <f t="shared" ca="1" si="54"/>
        <v>0.13750000000000001</v>
      </c>
      <c r="Q206" s="7">
        <f t="shared" ca="1" si="46"/>
        <v>6.8750000000000009E-3</v>
      </c>
      <c r="R206" s="33">
        <f t="shared" ca="1" si="55"/>
        <v>22000</v>
      </c>
      <c r="S206" s="33">
        <f t="shared" ca="1" si="56"/>
        <v>-138000</v>
      </c>
      <c r="T206" s="33">
        <f t="shared" ca="1" si="47"/>
        <v>22000</v>
      </c>
      <c r="U206" s="7">
        <f t="shared" ca="1" si="57"/>
        <v>0.15942028985507245</v>
      </c>
      <c r="V206" s="7">
        <f t="shared" ca="1" si="58"/>
        <v>-0.58020396311933209</v>
      </c>
      <c r="W206" s="33">
        <f t="shared" ca="1" si="48"/>
        <v>-138000</v>
      </c>
      <c r="X206" s="7">
        <f t="shared" ca="1" si="49"/>
        <v>-1</v>
      </c>
      <c r="Y206" s="7">
        <f t="shared" ca="1" si="50"/>
        <v>-0.84057971014492749</v>
      </c>
      <c r="Z206" s="7">
        <f t="shared" ca="1" si="59"/>
        <v>-0.21117886556465154</v>
      </c>
      <c r="AA206" s="33">
        <f t="shared" ca="1" si="51"/>
        <v>-27869.347300245819</v>
      </c>
      <c r="AB206" s="7">
        <f t="shared" ca="1" si="52"/>
        <v>-1.2667885136475372</v>
      </c>
      <c r="AC206" s="7">
        <f t="shared" ca="1" si="53"/>
        <v>-0.55368411189623234</v>
      </c>
      <c r="AH206" s="34"/>
    </row>
    <row r="207" spans="1:34" x14ac:dyDescent="0.25">
      <c r="A207" s="1">
        <v>204</v>
      </c>
      <c r="B207" s="25">
        <v>44007</v>
      </c>
      <c r="C207" s="10" t="s">
        <v>1257</v>
      </c>
      <c r="D207" s="1">
        <v>1173.05</v>
      </c>
      <c r="E207" s="30">
        <v>400</v>
      </c>
      <c r="F207" s="1">
        <v>1050</v>
      </c>
      <c r="G207" s="1">
        <v>57.85</v>
      </c>
      <c r="H207" s="1">
        <v>700</v>
      </c>
      <c r="I207" s="1">
        <v>3.8</v>
      </c>
      <c r="J207" s="1">
        <v>29200</v>
      </c>
      <c r="K207" s="1">
        <v>800</v>
      </c>
      <c r="L207" s="1">
        <v>2.65</v>
      </c>
      <c r="M207" s="1">
        <v>4.5</v>
      </c>
      <c r="N207" s="1">
        <v>1200</v>
      </c>
      <c r="O207" s="9"/>
      <c r="P207" s="7">
        <f t="shared" ca="1" si="54"/>
        <v>0.15442857142857144</v>
      </c>
      <c r="Q207" s="7">
        <f t="shared" ca="1" si="46"/>
        <v>7.7214285714285718E-3</v>
      </c>
      <c r="R207" s="33">
        <f t="shared" ca="1" si="55"/>
        <v>21620</v>
      </c>
      <c r="S207" s="33">
        <f t="shared" ca="1" si="56"/>
        <v>-118380</v>
      </c>
      <c r="T207" s="33">
        <f t="shared" ca="1" si="47"/>
        <v>21620</v>
      </c>
      <c r="U207" s="7">
        <f t="shared" ca="1" si="57"/>
        <v>0.18263220138536915</v>
      </c>
      <c r="V207" s="7">
        <f t="shared" ca="1" si="58"/>
        <v>-0.58020396311933209</v>
      </c>
      <c r="W207" s="33">
        <f t="shared" ca="1" si="48"/>
        <v>-118380</v>
      </c>
      <c r="X207" s="7">
        <f t="shared" ca="1" si="49"/>
        <v>-1</v>
      </c>
      <c r="Y207" s="7">
        <f t="shared" ca="1" si="50"/>
        <v>-0.81736779861463082</v>
      </c>
      <c r="Z207" s="7">
        <f t="shared" ca="1" si="59"/>
        <v>-0.21117886556465154</v>
      </c>
      <c r="AA207" s="33">
        <f t="shared" ca="1" si="51"/>
        <v>-28249.347300245819</v>
      </c>
      <c r="AB207" s="7">
        <f t="shared" ca="1" si="52"/>
        <v>-1.3066303099096124</v>
      </c>
      <c r="AC207" s="7">
        <f t="shared" ca="1" si="53"/>
        <v>-0.5619990542621216</v>
      </c>
      <c r="AH207" s="34"/>
    </row>
    <row r="208" spans="1:34" x14ac:dyDescent="0.25">
      <c r="A208" s="1">
        <v>205</v>
      </c>
      <c r="B208" s="25">
        <v>44007</v>
      </c>
      <c r="C208" s="10" t="s">
        <v>1257</v>
      </c>
      <c r="D208" s="1">
        <v>1173.05</v>
      </c>
      <c r="E208" s="30">
        <v>400</v>
      </c>
      <c r="F208" s="1">
        <v>1050</v>
      </c>
      <c r="G208" s="1">
        <v>57.85</v>
      </c>
      <c r="H208" s="1">
        <v>800</v>
      </c>
      <c r="I208" s="1">
        <v>8.1999999999999993</v>
      </c>
      <c r="J208" s="1">
        <v>88000</v>
      </c>
      <c r="K208" s="1">
        <v>400</v>
      </c>
      <c r="L208" s="1">
        <v>7.9</v>
      </c>
      <c r="M208" s="1">
        <v>8.25</v>
      </c>
      <c r="N208" s="1">
        <v>400</v>
      </c>
      <c r="O208" s="9"/>
      <c r="P208" s="7">
        <f t="shared" ca="1" si="54"/>
        <v>0.19860000000000003</v>
      </c>
      <c r="Q208" s="7">
        <f t="shared" ca="1" si="46"/>
        <v>9.9300000000000013E-3</v>
      </c>
      <c r="R208" s="33">
        <f t="shared" ca="1" si="55"/>
        <v>19860.000000000004</v>
      </c>
      <c r="S208" s="33">
        <f t="shared" ca="1" si="56"/>
        <v>-80140</v>
      </c>
      <c r="T208" s="33">
        <f t="shared" ca="1" si="47"/>
        <v>19860.000000000004</v>
      </c>
      <c r="U208" s="7">
        <f t="shared" ca="1" si="57"/>
        <v>0.24781632143748444</v>
      </c>
      <c r="V208" s="7">
        <f t="shared" ca="1" si="58"/>
        <v>-0.58020396311933209</v>
      </c>
      <c r="W208" s="33">
        <f t="shared" ca="1" si="48"/>
        <v>-80140</v>
      </c>
      <c r="X208" s="7">
        <f t="shared" ca="1" si="49"/>
        <v>-1</v>
      </c>
      <c r="Y208" s="7">
        <f t="shared" ca="1" si="50"/>
        <v>-0.75218367856251556</v>
      </c>
      <c r="Z208" s="7">
        <f t="shared" ca="1" si="59"/>
        <v>-0.21117886556465154</v>
      </c>
      <c r="AA208" s="33">
        <f t="shared" ca="1" si="51"/>
        <v>-30009.347300245816</v>
      </c>
      <c r="AB208" s="7">
        <f t="shared" ca="1" si="52"/>
        <v>-1.5110446777565867</v>
      </c>
      <c r="AC208" s="7">
        <f t="shared" ca="1" si="53"/>
        <v>-0.63161417815955112</v>
      </c>
      <c r="AH208" s="34"/>
    </row>
    <row r="209" spans="1:34" x14ac:dyDescent="0.25">
      <c r="A209" s="1">
        <v>206</v>
      </c>
      <c r="B209" s="25">
        <v>44007</v>
      </c>
      <c r="C209" s="10" t="s">
        <v>1257</v>
      </c>
      <c r="D209" s="1">
        <v>1173.05</v>
      </c>
      <c r="E209" s="30">
        <v>400</v>
      </c>
      <c r="F209" s="1">
        <v>1050</v>
      </c>
      <c r="G209" s="1">
        <v>57.85</v>
      </c>
      <c r="H209" s="1">
        <v>850</v>
      </c>
      <c r="I209" s="1">
        <v>13.1</v>
      </c>
      <c r="J209" s="1">
        <v>41200</v>
      </c>
      <c r="K209" s="1">
        <v>800</v>
      </c>
      <c r="L209" s="1">
        <v>13.1</v>
      </c>
      <c r="M209" s="1">
        <v>14.2</v>
      </c>
      <c r="N209" s="1">
        <v>400</v>
      </c>
      <c r="O209" s="9"/>
      <c r="P209" s="7">
        <f t="shared" ca="1" si="54"/>
        <v>0.22375</v>
      </c>
      <c r="Q209" s="7">
        <f t="shared" ca="1" si="46"/>
        <v>1.11875E-2</v>
      </c>
      <c r="R209" s="33">
        <f t="shared" ca="1" si="55"/>
        <v>17900</v>
      </c>
      <c r="S209" s="33">
        <f t="shared" ca="1" si="56"/>
        <v>-62100</v>
      </c>
      <c r="T209" s="33">
        <f t="shared" ca="1" si="47"/>
        <v>17900</v>
      </c>
      <c r="U209" s="7">
        <f t="shared" ca="1" si="57"/>
        <v>0.28824476650563607</v>
      </c>
      <c r="V209" s="7">
        <f t="shared" ca="1" si="58"/>
        <v>-0.58020396311933209</v>
      </c>
      <c r="W209" s="33">
        <f t="shared" ca="1" si="48"/>
        <v>-62100</v>
      </c>
      <c r="X209" s="7">
        <f t="shared" ca="1" si="49"/>
        <v>-1</v>
      </c>
      <c r="Y209" s="7">
        <f t="shared" ca="1" si="50"/>
        <v>-0.71175523349436398</v>
      </c>
      <c r="Z209" s="7">
        <f t="shared" ca="1" si="59"/>
        <v>-0.21117886556465154</v>
      </c>
      <c r="AA209" s="33">
        <f t="shared" ca="1" si="51"/>
        <v>-31969.347300245819</v>
      </c>
      <c r="AB209" s="7">
        <f t="shared" ca="1" si="52"/>
        <v>-1.7859970558796547</v>
      </c>
      <c r="AC209" s="7">
        <f t="shared" ca="1" si="53"/>
        <v>-0.74887614468700936</v>
      </c>
      <c r="AH209" s="34"/>
    </row>
    <row r="210" spans="1:34" x14ac:dyDescent="0.25">
      <c r="A210" s="1">
        <v>207</v>
      </c>
      <c r="B210" s="25">
        <v>44007</v>
      </c>
      <c r="C210" s="10" t="s">
        <v>1257</v>
      </c>
      <c r="D210" s="1">
        <v>1173.05</v>
      </c>
      <c r="E210" s="30">
        <v>400</v>
      </c>
      <c r="F210" s="1">
        <v>1050</v>
      </c>
      <c r="G210" s="1">
        <v>57.85</v>
      </c>
      <c r="H210" s="1">
        <v>900</v>
      </c>
      <c r="I210" s="1">
        <v>19.95</v>
      </c>
      <c r="J210" s="1">
        <v>82400</v>
      </c>
      <c r="K210" s="1">
        <v>800</v>
      </c>
      <c r="L210" s="1">
        <v>18.95</v>
      </c>
      <c r="M210" s="1">
        <v>19.95</v>
      </c>
      <c r="N210" s="1">
        <v>800</v>
      </c>
      <c r="O210" s="9"/>
      <c r="P210" s="7">
        <f t="shared" ca="1" si="54"/>
        <v>0.25266666666666671</v>
      </c>
      <c r="Q210" s="7">
        <f t="shared" ca="1" si="46"/>
        <v>1.2633333333333335E-2</v>
      </c>
      <c r="R210" s="33">
        <f t="shared" ca="1" si="55"/>
        <v>15160.000000000002</v>
      </c>
      <c r="S210" s="33">
        <f t="shared" ca="1" si="56"/>
        <v>-44840</v>
      </c>
      <c r="T210" s="33">
        <f t="shared" ca="1" si="47"/>
        <v>15160.000000000002</v>
      </c>
      <c r="U210" s="7">
        <f t="shared" ca="1" si="57"/>
        <v>0.3380909901873328</v>
      </c>
      <c r="V210" s="7">
        <f t="shared" ca="1" si="58"/>
        <v>-0.58020396311933209</v>
      </c>
      <c r="W210" s="33">
        <f t="shared" ca="1" si="48"/>
        <v>-44840</v>
      </c>
      <c r="X210" s="7">
        <f t="shared" ca="1" si="49"/>
        <v>-1</v>
      </c>
      <c r="Y210" s="7">
        <f t="shared" ca="1" si="50"/>
        <v>-0.6619090098126672</v>
      </c>
      <c r="Z210" s="7">
        <f t="shared" ca="1" si="59"/>
        <v>-0.21117886556465154</v>
      </c>
      <c r="AA210" s="33">
        <f t="shared" ca="1" si="51"/>
        <v>-34709.347300245819</v>
      </c>
      <c r="AB210" s="7">
        <f t="shared" ca="1" si="52"/>
        <v>-2.2895347823381145</v>
      </c>
      <c r="AC210" s="7">
        <f t="shared" ca="1" si="53"/>
        <v>-0.97572189607539084</v>
      </c>
      <c r="AH210" s="34"/>
    </row>
    <row r="211" spans="1:34" x14ac:dyDescent="0.25">
      <c r="A211" s="1">
        <v>208</v>
      </c>
      <c r="B211" s="25">
        <v>44007</v>
      </c>
      <c r="C211" s="10" t="s">
        <v>1257</v>
      </c>
      <c r="D211" s="1">
        <v>1173.05</v>
      </c>
      <c r="E211" s="30">
        <v>400</v>
      </c>
      <c r="F211" s="1">
        <v>1050</v>
      </c>
      <c r="G211" s="1">
        <v>57.85</v>
      </c>
      <c r="H211" s="1">
        <v>950</v>
      </c>
      <c r="I211" s="1">
        <v>29.45</v>
      </c>
      <c r="J211" s="1">
        <v>55600</v>
      </c>
      <c r="K211" s="1">
        <v>1200</v>
      </c>
      <c r="L211" s="1">
        <v>27.65</v>
      </c>
      <c r="M211" s="1">
        <v>29.3</v>
      </c>
      <c r="N211" s="1">
        <v>800</v>
      </c>
      <c r="O211" s="9"/>
      <c r="P211" s="7">
        <f t="shared" ca="1" si="54"/>
        <v>0.28400000000000003</v>
      </c>
      <c r="Q211" s="7">
        <f t="shared" ca="1" si="46"/>
        <v>1.4200000000000001E-2</v>
      </c>
      <c r="R211" s="33">
        <f t="shared" ca="1" si="55"/>
        <v>11360</v>
      </c>
      <c r="S211" s="33">
        <f t="shared" ca="1" si="56"/>
        <v>-28640</v>
      </c>
      <c r="T211" s="33">
        <f t="shared" ca="1" si="47"/>
        <v>11360</v>
      </c>
      <c r="U211" s="7">
        <f t="shared" ca="1" si="57"/>
        <v>0.39664804469273746</v>
      </c>
      <c r="V211" s="7">
        <f t="shared" ca="1" si="58"/>
        <v>-0.58020396311933209</v>
      </c>
      <c r="W211" s="33">
        <f t="shared" ca="1" si="48"/>
        <v>-28640</v>
      </c>
      <c r="X211" s="7">
        <f t="shared" ca="1" si="49"/>
        <v>-1</v>
      </c>
      <c r="Y211" s="7">
        <f t="shared" ca="1" si="50"/>
        <v>-0.6033519553072626</v>
      </c>
      <c r="Z211" s="7">
        <f t="shared" ca="1" si="59"/>
        <v>-0.21117886556465154</v>
      </c>
      <c r="AA211" s="33">
        <f t="shared" ca="1" si="51"/>
        <v>-28640</v>
      </c>
      <c r="AB211" s="7">
        <f t="shared" ca="1" si="52"/>
        <v>-2.5211267605633805</v>
      </c>
      <c r="AC211" s="7">
        <f t="shared" ca="1" si="53"/>
        <v>-1.0622393579353215</v>
      </c>
      <c r="AH211" s="34"/>
    </row>
    <row r="212" spans="1:34" x14ac:dyDescent="0.25">
      <c r="A212" s="1">
        <v>209</v>
      </c>
      <c r="B212" s="25">
        <v>44007</v>
      </c>
      <c r="C212" s="10" t="s">
        <v>1257</v>
      </c>
      <c r="D212" s="1">
        <v>1173.05</v>
      </c>
      <c r="E212" s="30">
        <v>400</v>
      </c>
      <c r="F212" s="1">
        <v>1050</v>
      </c>
      <c r="G212" s="1">
        <v>57.85</v>
      </c>
      <c r="H212" s="1">
        <v>1000</v>
      </c>
      <c r="I212" s="1">
        <v>40.6</v>
      </c>
      <c r="J212" s="1">
        <v>84400</v>
      </c>
      <c r="K212" s="1">
        <v>400</v>
      </c>
      <c r="L212" s="1">
        <v>40.049999999999997</v>
      </c>
      <c r="M212" s="1">
        <v>41</v>
      </c>
      <c r="N212" s="1">
        <v>400</v>
      </c>
      <c r="O212" s="9"/>
      <c r="P212" s="7">
        <f t="shared" ca="1" si="54"/>
        <v>0.34499999999999997</v>
      </c>
      <c r="Q212" s="7">
        <f t="shared" ca="1" si="46"/>
        <v>1.7249999999999998E-2</v>
      </c>
      <c r="R212" s="33">
        <f t="shared" ca="1" si="55"/>
        <v>6900</v>
      </c>
      <c r="S212" s="33">
        <f t="shared" ca="1" si="56"/>
        <v>-13100</v>
      </c>
      <c r="T212" s="33">
        <f t="shared" ca="1" si="47"/>
        <v>6900</v>
      </c>
      <c r="U212" s="7">
        <f t="shared" ca="1" si="57"/>
        <v>0.52671755725190839</v>
      </c>
      <c r="V212" s="7">
        <f t="shared" ca="1" si="58"/>
        <v>-0.58020396311933209</v>
      </c>
      <c r="W212" s="33">
        <f t="shared" ca="1" si="48"/>
        <v>-13100</v>
      </c>
      <c r="X212" s="7">
        <f t="shared" ca="1" si="49"/>
        <v>-1</v>
      </c>
      <c r="Y212" s="7">
        <f t="shared" ca="1" si="50"/>
        <v>-0.47328244274809161</v>
      </c>
      <c r="Z212" s="7">
        <f t="shared" ca="1" si="59"/>
        <v>-0.21117886556465154</v>
      </c>
      <c r="AA212" s="33">
        <f t="shared" ca="1" si="51"/>
        <v>-13100</v>
      </c>
      <c r="AB212" s="7">
        <f t="shared" ca="1" si="52"/>
        <v>-1.8985507246376812</v>
      </c>
      <c r="AC212" s="7">
        <f t="shared" ca="1" si="53"/>
        <v>-0.68591658369288644</v>
      </c>
      <c r="AH212" s="34"/>
    </row>
    <row r="213" spans="1:34" x14ac:dyDescent="0.25">
      <c r="A213" s="1">
        <v>210</v>
      </c>
      <c r="B213" s="25">
        <v>44007</v>
      </c>
      <c r="C213" s="10" t="s">
        <v>679</v>
      </c>
      <c r="D213" s="1">
        <v>390.4</v>
      </c>
      <c r="E213" s="30">
        <v>1500</v>
      </c>
      <c r="F213" s="1">
        <v>360</v>
      </c>
      <c r="G213" s="1">
        <v>6.35</v>
      </c>
      <c r="H213" s="1">
        <v>320</v>
      </c>
      <c r="I213" s="1">
        <v>1</v>
      </c>
      <c r="J213" s="1">
        <v>55500</v>
      </c>
      <c r="K213" s="1">
        <v>3000</v>
      </c>
      <c r="L213" s="1">
        <v>0.9</v>
      </c>
      <c r="M213" s="1">
        <v>2.4</v>
      </c>
      <c r="N213" s="1">
        <v>15000</v>
      </c>
      <c r="O213" s="9"/>
      <c r="P213" s="7">
        <f t="shared" ca="1" si="54"/>
        <v>0.13374999999999998</v>
      </c>
      <c r="Q213" s="7">
        <f t="shared" ca="1" si="46"/>
        <v>6.687499999999999E-3</v>
      </c>
      <c r="R213" s="33">
        <f t="shared" ca="1" si="55"/>
        <v>8024.9999999999991</v>
      </c>
      <c r="S213" s="33">
        <f t="shared" ca="1" si="56"/>
        <v>-51975</v>
      </c>
      <c r="T213" s="33">
        <f t="shared" ca="1" si="47"/>
        <v>8024.9999999999991</v>
      </c>
      <c r="U213" s="7">
        <f t="shared" ca="1" si="57"/>
        <v>0.15440115440115437</v>
      </c>
      <c r="V213" s="7">
        <f t="shared" ca="1" si="58"/>
        <v>-0.71786022028163321</v>
      </c>
      <c r="W213" s="33">
        <f t="shared" ca="1" si="48"/>
        <v>-51975</v>
      </c>
      <c r="X213" s="7">
        <f t="shared" ca="1" si="49"/>
        <v>-1</v>
      </c>
      <c r="Y213" s="7">
        <f t="shared" ca="1" si="50"/>
        <v>-0.84559884559884568</v>
      </c>
      <c r="Z213" s="7">
        <f t="shared" ca="1" si="59"/>
        <v>-0.11275636877619062</v>
      </c>
      <c r="AA213" s="33">
        <f t="shared" ca="1" si="51"/>
        <v>-12405.129555337258</v>
      </c>
      <c r="AB213" s="7">
        <f t="shared" ca="1" si="52"/>
        <v>-1.5458105364906243</v>
      </c>
      <c r="AC213" s="7">
        <f t="shared" ca="1" si="53"/>
        <v>-0.69570469104473498</v>
      </c>
      <c r="AH213" s="34"/>
    </row>
    <row r="214" spans="1:34" x14ac:dyDescent="0.25">
      <c r="A214" s="1">
        <v>211</v>
      </c>
      <c r="B214" s="25">
        <v>44007</v>
      </c>
      <c r="C214" s="10" t="s">
        <v>679</v>
      </c>
      <c r="D214" s="1">
        <v>390.4</v>
      </c>
      <c r="E214" s="30">
        <v>1500</v>
      </c>
      <c r="F214" s="1">
        <v>360</v>
      </c>
      <c r="G214" s="1">
        <v>6.35</v>
      </c>
      <c r="H214" s="1">
        <v>330</v>
      </c>
      <c r="I214" s="1">
        <v>3.25</v>
      </c>
      <c r="J214" s="1">
        <v>40500</v>
      </c>
      <c r="K214" s="1">
        <v>1500</v>
      </c>
      <c r="L214" s="1">
        <v>1.4</v>
      </c>
      <c r="M214" s="1">
        <v>3</v>
      </c>
      <c r="N214" s="1">
        <v>25500</v>
      </c>
      <c r="O214" s="9"/>
      <c r="P214" s="7">
        <f t="shared" ca="1" si="54"/>
        <v>0.10333333333333332</v>
      </c>
      <c r="Q214" s="7">
        <f t="shared" ca="1" si="46"/>
        <v>5.1666666666666658E-3</v>
      </c>
      <c r="R214" s="33">
        <f t="shared" ca="1" si="55"/>
        <v>4649.9999999999991</v>
      </c>
      <c r="S214" s="33">
        <f t="shared" ca="1" si="56"/>
        <v>-40350</v>
      </c>
      <c r="T214" s="33">
        <f t="shared" ca="1" si="47"/>
        <v>4649.9999999999991</v>
      </c>
      <c r="U214" s="7">
        <f t="shared" ca="1" si="57"/>
        <v>0.11524163568773232</v>
      </c>
      <c r="V214" s="7">
        <f t="shared" ca="1" si="58"/>
        <v>-0.71786022028163321</v>
      </c>
      <c r="W214" s="33">
        <f t="shared" ca="1" si="48"/>
        <v>-40350</v>
      </c>
      <c r="X214" s="7">
        <f t="shared" ca="1" si="49"/>
        <v>-1</v>
      </c>
      <c r="Y214" s="7">
        <f t="shared" ca="1" si="50"/>
        <v>-0.88475836431226762</v>
      </c>
      <c r="Z214" s="7">
        <f t="shared" ca="1" si="59"/>
        <v>-0.11275636877619062</v>
      </c>
      <c r="AA214" s="33">
        <f t="shared" ca="1" si="51"/>
        <v>-15780.129555337258</v>
      </c>
      <c r="AB214" s="7">
        <f t="shared" ca="1" si="52"/>
        <v>-3.3935762484596261</v>
      </c>
      <c r="AC214" s="7">
        <f t="shared" ca="1" si="53"/>
        <v>-1.6391673063859469</v>
      </c>
      <c r="AH214" s="34"/>
    </row>
    <row r="215" spans="1:34" x14ac:dyDescent="0.25">
      <c r="A215" s="1">
        <v>212</v>
      </c>
      <c r="B215" s="25">
        <v>44007</v>
      </c>
      <c r="C215" s="10" t="s">
        <v>679</v>
      </c>
      <c r="D215" s="1">
        <v>390.4</v>
      </c>
      <c r="E215" s="30">
        <v>1500</v>
      </c>
      <c r="F215" s="1">
        <v>360</v>
      </c>
      <c r="G215" s="1">
        <v>6.35</v>
      </c>
      <c r="H215" s="1">
        <v>340</v>
      </c>
      <c r="I215" s="1">
        <v>2.75</v>
      </c>
      <c r="J215" s="1">
        <v>79500</v>
      </c>
      <c r="K215" s="1">
        <v>3000</v>
      </c>
      <c r="L215" s="1">
        <v>2.7</v>
      </c>
      <c r="M215" s="1">
        <v>3.05</v>
      </c>
      <c r="N215" s="1">
        <v>1500</v>
      </c>
      <c r="O215" s="9"/>
      <c r="P215" s="7">
        <f t="shared" ca="1" si="54"/>
        <v>0.18</v>
      </c>
      <c r="Q215" s="7">
        <f t="shared" ca="1" si="46"/>
        <v>8.9999999999999993E-3</v>
      </c>
      <c r="R215" s="33">
        <f t="shared" ca="1" si="55"/>
        <v>5399.9999999999991</v>
      </c>
      <c r="S215" s="33">
        <f t="shared" ca="1" si="56"/>
        <v>-24600</v>
      </c>
      <c r="T215" s="33">
        <f t="shared" ca="1" si="47"/>
        <v>5399.9999999999991</v>
      </c>
      <c r="U215" s="7">
        <f t="shared" ca="1" si="57"/>
        <v>0.21951219512195119</v>
      </c>
      <c r="V215" s="7">
        <f t="shared" ca="1" si="58"/>
        <v>-0.71786022028163321</v>
      </c>
      <c r="W215" s="33">
        <f t="shared" ca="1" si="48"/>
        <v>-24600</v>
      </c>
      <c r="X215" s="7">
        <f t="shared" ca="1" si="49"/>
        <v>-1</v>
      </c>
      <c r="Y215" s="7">
        <f t="shared" ca="1" si="50"/>
        <v>-0.78048780487804881</v>
      </c>
      <c r="Z215" s="7">
        <f t="shared" ca="1" si="59"/>
        <v>-0.11275636877619062</v>
      </c>
      <c r="AA215" s="33">
        <f t="shared" ca="1" si="51"/>
        <v>-15030.129555337258</v>
      </c>
      <c r="AB215" s="7">
        <f t="shared" ca="1" si="52"/>
        <v>-2.7833573250624557</v>
      </c>
      <c r="AC215" s="7">
        <f t="shared" ca="1" si="53"/>
        <v>-1.2819225649702521</v>
      </c>
      <c r="AH215" s="34"/>
    </row>
    <row r="216" spans="1:34" x14ac:dyDescent="0.25">
      <c r="A216" s="1">
        <v>213</v>
      </c>
      <c r="B216" s="25">
        <v>44007</v>
      </c>
      <c r="C216" s="10" t="s">
        <v>679</v>
      </c>
      <c r="D216" s="1">
        <v>390.4</v>
      </c>
      <c r="E216" s="30">
        <v>1500</v>
      </c>
      <c r="F216" s="1">
        <v>360</v>
      </c>
      <c r="G216" s="1">
        <v>6.35</v>
      </c>
      <c r="H216" s="1">
        <v>350</v>
      </c>
      <c r="I216" s="1">
        <v>4.4000000000000004</v>
      </c>
      <c r="J216" s="1">
        <v>171000</v>
      </c>
      <c r="K216" s="1">
        <v>1500</v>
      </c>
      <c r="L216" s="1">
        <v>4.2</v>
      </c>
      <c r="M216" s="1">
        <v>4.55</v>
      </c>
      <c r="N216" s="1">
        <v>1500</v>
      </c>
      <c r="O216" s="9"/>
      <c r="P216" s="7">
        <f t="shared" ca="1" si="54"/>
        <v>0.19499999999999992</v>
      </c>
      <c r="Q216" s="7">
        <f t="shared" ca="1" si="46"/>
        <v>9.7499999999999965E-3</v>
      </c>
      <c r="R216" s="33">
        <f t="shared" ca="1" si="55"/>
        <v>2924.9999999999991</v>
      </c>
      <c r="S216" s="33">
        <f t="shared" ca="1" si="56"/>
        <v>-12075</v>
      </c>
      <c r="T216" s="33">
        <f t="shared" ca="1" si="47"/>
        <v>2924.9999999999991</v>
      </c>
      <c r="U216" s="7">
        <f t="shared" ca="1" si="57"/>
        <v>0.24223602484472043</v>
      </c>
      <c r="V216" s="7">
        <f t="shared" ca="1" si="58"/>
        <v>-0.71786022028163321</v>
      </c>
      <c r="W216" s="33">
        <f t="shared" ca="1" si="48"/>
        <v>-12075</v>
      </c>
      <c r="X216" s="7">
        <f t="shared" ca="1" si="49"/>
        <v>-1</v>
      </c>
      <c r="Y216" s="7">
        <f t="shared" ca="1" si="50"/>
        <v>-0.7577639751552796</v>
      </c>
      <c r="Z216" s="7">
        <f t="shared" ca="1" si="59"/>
        <v>-0.11275636877619062</v>
      </c>
      <c r="AA216" s="33">
        <f t="shared" ca="1" si="51"/>
        <v>-12075</v>
      </c>
      <c r="AB216" s="7">
        <f t="shared" ca="1" si="52"/>
        <v>-4.1282051282051295</v>
      </c>
      <c r="AC216" s="7">
        <f t="shared" ca="1" si="53"/>
        <v>-1.9429845516802045</v>
      </c>
      <c r="AH216" s="34"/>
    </row>
    <row r="217" spans="1:34" x14ac:dyDescent="0.25">
      <c r="A217" s="1">
        <v>214</v>
      </c>
      <c r="B217" s="25">
        <v>44007</v>
      </c>
      <c r="C217" s="10" t="s">
        <v>283</v>
      </c>
      <c r="D217" s="1">
        <v>361.75</v>
      </c>
      <c r="E217" s="30">
        <v>2200</v>
      </c>
      <c r="F217" s="1">
        <v>330</v>
      </c>
      <c r="G217" s="1">
        <v>6.1</v>
      </c>
      <c r="H217" s="1">
        <v>300</v>
      </c>
      <c r="I217" s="1">
        <v>1.3</v>
      </c>
      <c r="J217" s="1">
        <v>246400</v>
      </c>
      <c r="K217" s="1">
        <v>2200</v>
      </c>
      <c r="L217" s="1">
        <v>1.1499999999999999</v>
      </c>
      <c r="M217" s="1">
        <v>1.4</v>
      </c>
      <c r="N217" s="1">
        <v>2200</v>
      </c>
      <c r="O217" s="9"/>
      <c r="P217" s="7">
        <f t="shared" ca="1" si="54"/>
        <v>0.16</v>
      </c>
      <c r="Q217" s="7">
        <f t="shared" ca="1" si="46"/>
        <v>8.0000000000000002E-3</v>
      </c>
      <c r="R217" s="33">
        <f t="shared" ca="1" si="55"/>
        <v>10560</v>
      </c>
      <c r="S217" s="33">
        <f t="shared" ca="1" si="56"/>
        <v>-55440</v>
      </c>
      <c r="T217" s="33">
        <f t="shared" ca="1" si="47"/>
        <v>10560</v>
      </c>
      <c r="U217" s="7">
        <f t="shared" ca="1" si="57"/>
        <v>0.19047619047619047</v>
      </c>
      <c r="V217" s="7">
        <f t="shared" ca="1" si="58"/>
        <v>-0.16249782332316276</v>
      </c>
      <c r="W217" s="33">
        <f t="shared" ca="1" si="48"/>
        <v>-48913.892691739027</v>
      </c>
      <c r="X217" s="7">
        <f t="shared" ca="1" si="49"/>
        <v>-0.88228522171246437</v>
      </c>
      <c r="Y217" s="7">
        <f t="shared" ca="1" si="50"/>
        <v>-0.69180903123627391</v>
      </c>
      <c r="Z217" s="7">
        <f t="shared" ca="1" si="59"/>
        <v>-4.6500094604154898E-2</v>
      </c>
      <c r="AA217" s="33">
        <f t="shared" ca="1" si="51"/>
        <v>10560</v>
      </c>
      <c r="AB217" s="7">
        <f t="shared" ca="1" si="52"/>
        <v>1</v>
      </c>
      <c r="AC217" s="7">
        <f t="shared" ca="1" si="53"/>
        <v>0.59523809523809523</v>
      </c>
      <c r="AH217" s="34"/>
    </row>
    <row r="218" spans="1:34" x14ac:dyDescent="0.25">
      <c r="A218" s="1">
        <v>215</v>
      </c>
      <c r="B218" s="25">
        <v>44007</v>
      </c>
      <c r="C218" s="10" t="s">
        <v>283</v>
      </c>
      <c r="D218" s="1">
        <v>361.75</v>
      </c>
      <c r="E218" s="30">
        <v>2200</v>
      </c>
      <c r="F218" s="1">
        <v>330</v>
      </c>
      <c r="G218" s="1">
        <v>6.1</v>
      </c>
      <c r="H218" s="1">
        <v>320</v>
      </c>
      <c r="I218" s="1">
        <v>3.75</v>
      </c>
      <c r="J218" s="1">
        <v>178200</v>
      </c>
      <c r="K218" s="1">
        <v>2200</v>
      </c>
      <c r="L218" s="1">
        <v>3.45</v>
      </c>
      <c r="M218" s="1">
        <v>4.1500000000000004</v>
      </c>
      <c r="N218" s="1">
        <v>2200</v>
      </c>
      <c r="O218" s="9"/>
      <c r="P218" s="7">
        <f t="shared" ca="1" si="54"/>
        <v>0.23499999999999996</v>
      </c>
      <c r="Q218" s="7">
        <f t="shared" ca="1" si="46"/>
        <v>1.1749999999999998E-2</v>
      </c>
      <c r="R218" s="33">
        <f t="shared" ca="1" si="55"/>
        <v>5169.9999999999991</v>
      </c>
      <c r="S218" s="33">
        <f t="shared" ca="1" si="56"/>
        <v>-16830</v>
      </c>
      <c r="T218" s="33">
        <f t="shared" ca="1" si="47"/>
        <v>5169.9999999999991</v>
      </c>
      <c r="U218" s="7">
        <f t="shared" ca="1" si="57"/>
        <v>0.30718954248366009</v>
      </c>
      <c r="V218" s="7">
        <f t="shared" ca="1" si="58"/>
        <v>-0.16249782332316276</v>
      </c>
      <c r="W218" s="33">
        <f t="shared" ca="1" si="48"/>
        <v>-16830</v>
      </c>
      <c r="X218" s="7">
        <f t="shared" ca="1" si="49"/>
        <v>-1</v>
      </c>
      <c r="Y218" s="7">
        <f t="shared" ca="1" si="50"/>
        <v>-0.69281045751633985</v>
      </c>
      <c r="Z218" s="7">
        <f t="shared" ca="1" si="59"/>
        <v>-4.6500094604154898E-2</v>
      </c>
      <c r="AA218" s="33">
        <f t="shared" ca="1" si="51"/>
        <v>5169.9999999999991</v>
      </c>
      <c r="AB218" s="7">
        <f t="shared" ca="1" si="52"/>
        <v>1</v>
      </c>
      <c r="AC218" s="7">
        <f t="shared" ca="1" si="53"/>
        <v>0.65359477124183007</v>
      </c>
      <c r="AH218" s="34"/>
    </row>
    <row r="219" spans="1:34" x14ac:dyDescent="0.25">
      <c r="A219" s="1">
        <v>216</v>
      </c>
      <c r="B219" s="25">
        <v>44007</v>
      </c>
      <c r="C219" s="10" t="s">
        <v>99</v>
      </c>
      <c r="D219" s="1">
        <v>670.95</v>
      </c>
      <c r="E219" s="30">
        <v>800</v>
      </c>
      <c r="F219" s="1">
        <v>620</v>
      </c>
      <c r="G219" s="1">
        <v>11.35</v>
      </c>
      <c r="H219" s="1">
        <v>580</v>
      </c>
      <c r="I219" s="1">
        <v>5</v>
      </c>
      <c r="J219" s="1">
        <v>27200</v>
      </c>
      <c r="K219" s="1">
        <v>800</v>
      </c>
      <c r="L219" s="1">
        <v>4.45</v>
      </c>
      <c r="M219" s="1">
        <v>4.8499999999999996</v>
      </c>
      <c r="N219" s="1">
        <v>1600</v>
      </c>
      <c r="O219" s="9"/>
      <c r="P219" s="7">
        <f t="shared" ca="1" si="54"/>
        <v>0.15875</v>
      </c>
      <c r="Q219" s="7">
        <f t="shared" ref="Q219:Q282" ca="1" si="60">P219/($B219-TODAY())</f>
        <v>7.9375000000000001E-3</v>
      </c>
      <c r="R219" s="33">
        <f t="shared" ca="1" si="55"/>
        <v>5080</v>
      </c>
      <c r="S219" s="33">
        <f t="shared" ca="1" si="56"/>
        <v>-26920</v>
      </c>
      <c r="T219" s="33">
        <f t="shared" ref="T219:T282" ca="1" si="61">R219</f>
        <v>5080</v>
      </c>
      <c r="U219" s="7">
        <f t="shared" ca="1" si="57"/>
        <v>0.18870728083209509</v>
      </c>
      <c r="V219" s="7">
        <f t="shared" ca="1" si="58"/>
        <v>-0.70686302486576558</v>
      </c>
      <c r="W219" s="33">
        <f t="shared" ref="W219:W282" ca="1" si="62">-(MAX(($F219-MAX($D219*(1+V219),$H219)),0)*$E219-$R219)</f>
        <v>-26920</v>
      </c>
      <c r="X219" s="7">
        <f t="shared" ref="X219:X282" ca="1" si="63">W219/ABS($S219)</f>
        <v>-1</v>
      </c>
      <c r="Y219" s="7">
        <f t="shared" ref="Y219:Y282" ca="1" si="64">$U219+X219</f>
        <v>-0.81129271916790491</v>
      </c>
      <c r="Z219" s="7">
        <f t="shared" ca="1" si="59"/>
        <v>-0.11943115409601919</v>
      </c>
      <c r="AA219" s="33">
        <f t="shared" ref="AA219:AA282" ca="1" si="65">-(MAX(($F219-MAX($D219*(1+Z219),$H219)),0)*$E219-$R219)</f>
        <v>-18265.866272579224</v>
      </c>
      <c r="AB219" s="7">
        <f t="shared" ref="AB219:AB282" ca="1" si="66">AA219/$R219</f>
        <v>-3.5956429670431542</v>
      </c>
      <c r="AC219" s="7">
        <f t="shared" ref="AC219:AC282" ca="1" si="67">AVERAGE($U219,AB219)</f>
        <v>-1.7034678431055297</v>
      </c>
      <c r="AH219" s="34"/>
    </row>
    <row r="220" spans="1:34" x14ac:dyDescent="0.25">
      <c r="A220" s="1">
        <v>217</v>
      </c>
      <c r="B220" s="25">
        <v>44007</v>
      </c>
      <c r="C220" s="10" t="s">
        <v>99</v>
      </c>
      <c r="D220" s="1">
        <v>670.95</v>
      </c>
      <c r="E220" s="30">
        <v>800</v>
      </c>
      <c r="F220" s="1">
        <v>620</v>
      </c>
      <c r="G220" s="1">
        <v>11.35</v>
      </c>
      <c r="H220" s="1">
        <v>600</v>
      </c>
      <c r="I220" s="1">
        <v>7.3</v>
      </c>
      <c r="J220" s="1">
        <v>132800</v>
      </c>
      <c r="K220" s="1">
        <v>800</v>
      </c>
      <c r="L220" s="1">
        <v>7.05</v>
      </c>
      <c r="M220" s="1">
        <v>7.6</v>
      </c>
      <c r="N220" s="1">
        <v>1600</v>
      </c>
      <c r="O220" s="9"/>
      <c r="P220" s="7">
        <f t="shared" ca="1" si="54"/>
        <v>0.20249999999999999</v>
      </c>
      <c r="Q220" s="7">
        <f t="shared" ca="1" si="60"/>
        <v>1.0124999999999999E-2</v>
      </c>
      <c r="R220" s="33">
        <f t="shared" ca="1" si="55"/>
        <v>3240</v>
      </c>
      <c r="S220" s="33">
        <f t="shared" ca="1" si="56"/>
        <v>-12760</v>
      </c>
      <c r="T220" s="33">
        <f t="shared" ca="1" si="61"/>
        <v>3240</v>
      </c>
      <c r="U220" s="7">
        <f t="shared" ca="1" si="57"/>
        <v>0.25391849529780564</v>
      </c>
      <c r="V220" s="7">
        <f t="shared" ca="1" si="58"/>
        <v>-0.70686302486576558</v>
      </c>
      <c r="W220" s="33">
        <f t="shared" ca="1" si="62"/>
        <v>-12760</v>
      </c>
      <c r="X220" s="7">
        <f t="shared" ca="1" si="63"/>
        <v>-1</v>
      </c>
      <c r="Y220" s="7">
        <f t="shared" ca="1" si="64"/>
        <v>-0.74608150470219436</v>
      </c>
      <c r="Z220" s="7">
        <f t="shared" ca="1" si="59"/>
        <v>-0.11943115409601919</v>
      </c>
      <c r="AA220" s="33">
        <f t="shared" ca="1" si="65"/>
        <v>-12760</v>
      </c>
      <c r="AB220" s="7">
        <f t="shared" ca="1" si="66"/>
        <v>-3.9382716049382718</v>
      </c>
      <c r="AC220" s="7">
        <f t="shared" ca="1" si="67"/>
        <v>-1.8421765548202331</v>
      </c>
      <c r="AH220" s="34"/>
    </row>
    <row r="221" spans="1:34" x14ac:dyDescent="0.25">
      <c r="A221" s="1">
        <v>218</v>
      </c>
      <c r="B221" s="25">
        <v>44007</v>
      </c>
      <c r="C221" s="10" t="s">
        <v>665</v>
      </c>
      <c r="D221" s="1">
        <v>129.4</v>
      </c>
      <c r="E221" s="30">
        <v>1200</v>
      </c>
      <c r="F221" s="1">
        <v>120</v>
      </c>
      <c r="G221" s="1">
        <v>8.9499999999999993</v>
      </c>
      <c r="H221" s="1">
        <v>90</v>
      </c>
      <c r="I221" s="1">
        <v>1.2</v>
      </c>
      <c r="J221" s="1">
        <v>166800</v>
      </c>
      <c r="K221" s="1">
        <v>1200</v>
      </c>
      <c r="L221" s="1">
        <v>1.1499999999999999</v>
      </c>
      <c r="M221" s="1">
        <v>1.25</v>
      </c>
      <c r="N221" s="1">
        <v>1200</v>
      </c>
      <c r="O221" s="9"/>
      <c r="P221" s="7">
        <f t="shared" ca="1" si="54"/>
        <v>0.2583333333333333</v>
      </c>
      <c r="Q221" s="7">
        <f t="shared" ca="1" si="60"/>
        <v>1.2916666666666665E-2</v>
      </c>
      <c r="R221" s="33">
        <f t="shared" ca="1" si="55"/>
        <v>9299.9999999999982</v>
      </c>
      <c r="S221" s="33">
        <f t="shared" ca="1" si="56"/>
        <v>-26700</v>
      </c>
      <c r="T221" s="33">
        <f t="shared" ca="1" si="61"/>
        <v>9299.9999999999982</v>
      </c>
      <c r="U221" s="7">
        <f t="shared" ca="1" si="57"/>
        <v>0.34831460674157294</v>
      </c>
      <c r="V221" s="7">
        <f t="shared" ca="1" si="58"/>
        <v>-1.321608009395902</v>
      </c>
      <c r="W221" s="33">
        <f t="shared" ca="1" si="62"/>
        <v>-26700</v>
      </c>
      <c r="X221" s="7">
        <f t="shared" ca="1" si="63"/>
        <v>-1</v>
      </c>
      <c r="Y221" s="7">
        <f t="shared" ca="1" si="64"/>
        <v>-0.651685393258427</v>
      </c>
      <c r="Z221" s="7">
        <f t="shared" ca="1" si="59"/>
        <v>-0.65340003115800283</v>
      </c>
      <c r="AA221" s="33">
        <f t="shared" ca="1" si="65"/>
        <v>-26700</v>
      </c>
      <c r="AB221" s="7">
        <f t="shared" ca="1" si="66"/>
        <v>-2.8709677419354844</v>
      </c>
      <c r="AC221" s="7">
        <f t="shared" ca="1" si="67"/>
        <v>-1.2613265675969558</v>
      </c>
      <c r="AH221" s="34"/>
    </row>
    <row r="222" spans="1:34" x14ac:dyDescent="0.25">
      <c r="A222" s="1">
        <v>219</v>
      </c>
      <c r="B222" s="25">
        <v>44007</v>
      </c>
      <c r="C222" s="10" t="s">
        <v>665</v>
      </c>
      <c r="D222" s="1">
        <v>129.4</v>
      </c>
      <c r="E222" s="30">
        <v>1200</v>
      </c>
      <c r="F222" s="1">
        <v>120</v>
      </c>
      <c r="G222" s="1">
        <v>8.9499999999999993</v>
      </c>
      <c r="H222" s="1">
        <v>100</v>
      </c>
      <c r="I222" s="1">
        <v>2.6</v>
      </c>
      <c r="J222" s="1">
        <v>180000</v>
      </c>
      <c r="K222" s="1">
        <v>6000</v>
      </c>
      <c r="L222" s="1">
        <v>2.5499999999999998</v>
      </c>
      <c r="M222" s="1">
        <v>2.65</v>
      </c>
      <c r="N222" s="1">
        <v>1200</v>
      </c>
      <c r="O222" s="9"/>
      <c r="P222" s="7">
        <f t="shared" ca="1" si="54"/>
        <v>0.3175</v>
      </c>
      <c r="Q222" s="7">
        <f t="shared" ca="1" si="60"/>
        <v>1.5875E-2</v>
      </c>
      <c r="R222" s="33">
        <f t="shared" ca="1" si="55"/>
        <v>7620</v>
      </c>
      <c r="S222" s="33">
        <f t="shared" ca="1" si="56"/>
        <v>-16380</v>
      </c>
      <c r="T222" s="33">
        <f t="shared" ca="1" si="61"/>
        <v>7620</v>
      </c>
      <c r="U222" s="7">
        <f t="shared" ca="1" si="57"/>
        <v>0.46520146520146521</v>
      </c>
      <c r="V222" s="7">
        <f t="shared" ca="1" si="58"/>
        <v>-1.321608009395902</v>
      </c>
      <c r="W222" s="33">
        <f t="shared" ca="1" si="62"/>
        <v>-16380</v>
      </c>
      <c r="X222" s="7">
        <f t="shared" ca="1" si="63"/>
        <v>-1</v>
      </c>
      <c r="Y222" s="7">
        <f t="shared" ca="1" si="64"/>
        <v>-0.53479853479853479</v>
      </c>
      <c r="Z222" s="7">
        <f t="shared" ca="1" si="59"/>
        <v>-0.65340003115800283</v>
      </c>
      <c r="AA222" s="33">
        <f t="shared" ca="1" si="65"/>
        <v>-16380</v>
      </c>
      <c r="AB222" s="7">
        <f t="shared" ca="1" si="66"/>
        <v>-2.1496062992125986</v>
      </c>
      <c r="AC222" s="7">
        <f t="shared" ca="1" si="67"/>
        <v>-0.84220241700556664</v>
      </c>
      <c r="AH222" s="34"/>
    </row>
    <row r="223" spans="1:34" x14ac:dyDescent="0.25">
      <c r="A223" s="1">
        <v>220</v>
      </c>
      <c r="B223" s="25">
        <v>44007</v>
      </c>
      <c r="C223" s="10" t="s">
        <v>665</v>
      </c>
      <c r="D223" s="1">
        <v>129.4</v>
      </c>
      <c r="E223" s="30">
        <v>1200</v>
      </c>
      <c r="F223" s="1">
        <v>120</v>
      </c>
      <c r="G223" s="1">
        <v>8.9499999999999993</v>
      </c>
      <c r="H223" s="1">
        <v>110</v>
      </c>
      <c r="I223" s="1">
        <v>4.95</v>
      </c>
      <c r="J223" s="1">
        <v>250800</v>
      </c>
      <c r="K223" s="1">
        <v>2400</v>
      </c>
      <c r="L223" s="1">
        <v>5</v>
      </c>
      <c r="M223" s="1">
        <v>5.0999999999999996</v>
      </c>
      <c r="N223" s="1">
        <v>3600</v>
      </c>
      <c r="O223" s="9"/>
      <c r="P223" s="7">
        <f t="shared" ca="1" si="54"/>
        <v>0.39999999999999991</v>
      </c>
      <c r="Q223" s="7">
        <f t="shared" ca="1" si="60"/>
        <v>1.9999999999999997E-2</v>
      </c>
      <c r="R223" s="33">
        <f t="shared" ca="1" si="55"/>
        <v>4799.9999999999991</v>
      </c>
      <c r="S223" s="33">
        <f t="shared" ca="1" si="56"/>
        <v>-7200.0000000000009</v>
      </c>
      <c r="T223" s="33">
        <f t="shared" ca="1" si="61"/>
        <v>4799.9999999999991</v>
      </c>
      <c r="U223" s="7">
        <f t="shared" ca="1" si="57"/>
        <v>0.66666666666666641</v>
      </c>
      <c r="V223" s="7">
        <f t="shared" ca="1" si="58"/>
        <v>-1.321608009395902</v>
      </c>
      <c r="W223" s="33">
        <f t="shared" ca="1" si="62"/>
        <v>-7200.0000000000009</v>
      </c>
      <c r="X223" s="7">
        <f t="shared" ca="1" si="63"/>
        <v>-1</v>
      </c>
      <c r="Y223" s="7">
        <f t="shared" ca="1" si="64"/>
        <v>-0.33333333333333359</v>
      </c>
      <c r="Z223" s="7">
        <f t="shared" ca="1" si="59"/>
        <v>-0.65340003115800283</v>
      </c>
      <c r="AA223" s="33">
        <f t="shared" ca="1" si="65"/>
        <v>-7200.0000000000009</v>
      </c>
      <c r="AB223" s="7">
        <f t="shared" ca="1" si="66"/>
        <v>-1.5000000000000004</v>
      </c>
      <c r="AC223" s="7">
        <f t="shared" ca="1" si="67"/>
        <v>-0.41666666666666702</v>
      </c>
      <c r="AH223" s="34"/>
    </row>
    <row r="224" spans="1:34" x14ac:dyDescent="0.25">
      <c r="A224" s="1">
        <v>221</v>
      </c>
      <c r="B224" s="25">
        <v>44007</v>
      </c>
      <c r="C224" s="10" t="s">
        <v>665</v>
      </c>
      <c r="D224" s="1">
        <v>129.4</v>
      </c>
      <c r="E224" s="30">
        <v>1200</v>
      </c>
      <c r="F224" s="1">
        <v>120</v>
      </c>
      <c r="G224" s="1">
        <v>8.9499999999999993</v>
      </c>
      <c r="H224" s="1">
        <v>115</v>
      </c>
      <c r="I224" s="1">
        <v>6.6</v>
      </c>
      <c r="J224" s="1">
        <v>24000</v>
      </c>
      <c r="K224" s="1">
        <v>1200</v>
      </c>
      <c r="L224" s="1">
        <v>6.65</v>
      </c>
      <c r="M224" s="1">
        <v>6.8</v>
      </c>
      <c r="N224" s="1">
        <v>2400</v>
      </c>
      <c r="O224" s="9"/>
      <c r="P224" s="7">
        <f t="shared" ca="1" si="54"/>
        <v>0.46999999999999992</v>
      </c>
      <c r="Q224" s="7">
        <f t="shared" ca="1" si="60"/>
        <v>2.3499999999999997E-2</v>
      </c>
      <c r="R224" s="33">
        <f t="shared" ca="1" si="55"/>
        <v>2819.9999999999995</v>
      </c>
      <c r="S224" s="33">
        <f t="shared" ca="1" si="56"/>
        <v>-3180.0000000000005</v>
      </c>
      <c r="T224" s="33">
        <f t="shared" ca="1" si="61"/>
        <v>2819.9999999999995</v>
      </c>
      <c r="U224" s="7">
        <f t="shared" ca="1" si="57"/>
        <v>0.88679245283018837</v>
      </c>
      <c r="V224" s="7">
        <f t="shared" ca="1" si="58"/>
        <v>-1.321608009395902</v>
      </c>
      <c r="W224" s="33">
        <f t="shared" ca="1" si="62"/>
        <v>-3180.0000000000005</v>
      </c>
      <c r="X224" s="7">
        <f t="shared" ca="1" si="63"/>
        <v>-1</v>
      </c>
      <c r="Y224" s="7">
        <f t="shared" ca="1" si="64"/>
        <v>-0.11320754716981163</v>
      </c>
      <c r="Z224" s="7">
        <f t="shared" ca="1" si="59"/>
        <v>-0.65340003115800283</v>
      </c>
      <c r="AA224" s="33">
        <f t="shared" ca="1" si="65"/>
        <v>-3180.0000000000005</v>
      </c>
      <c r="AB224" s="7">
        <f t="shared" ca="1" si="66"/>
        <v>-1.1276595744680855</v>
      </c>
      <c r="AC224" s="7">
        <f t="shared" ca="1" si="67"/>
        <v>-0.12043356081894857</v>
      </c>
      <c r="AH224" s="34"/>
    </row>
    <row r="225" spans="1:34" x14ac:dyDescent="0.25">
      <c r="A225" s="1">
        <v>222</v>
      </c>
      <c r="B225" s="25">
        <v>44007</v>
      </c>
      <c r="C225" s="10" t="s">
        <v>1576</v>
      </c>
      <c r="D225" s="1">
        <v>110</v>
      </c>
      <c r="E225" s="30">
        <v>4300</v>
      </c>
      <c r="F225" s="1">
        <v>102.5</v>
      </c>
      <c r="G225" s="1">
        <v>5.05</v>
      </c>
      <c r="H225" s="1">
        <v>60</v>
      </c>
      <c r="I225" s="1">
        <v>0.15</v>
      </c>
      <c r="J225" s="1">
        <v>404200</v>
      </c>
      <c r="K225" s="1">
        <v>86000</v>
      </c>
      <c r="L225" s="1">
        <v>0.1</v>
      </c>
      <c r="M225" s="1">
        <v>0.15</v>
      </c>
      <c r="N225" s="1">
        <v>227900</v>
      </c>
      <c r="O225" s="9"/>
      <c r="P225" s="7">
        <f t="shared" ca="1" si="54"/>
        <v>0.11529411764705881</v>
      </c>
      <c r="Q225" s="7">
        <f t="shared" ca="1" si="60"/>
        <v>5.7647058823529409E-3</v>
      </c>
      <c r="R225" s="33">
        <f t="shared" ca="1" si="55"/>
        <v>21069.999999999996</v>
      </c>
      <c r="S225" s="33">
        <f t="shared" ca="1" si="56"/>
        <v>-161680</v>
      </c>
      <c r="T225" s="33">
        <f t="shared" ca="1" si="61"/>
        <v>21069.999999999996</v>
      </c>
      <c r="U225" s="7">
        <f t="shared" ca="1" si="57"/>
        <v>0.13031914893617019</v>
      </c>
      <c r="V225" s="7">
        <f t="shared" ca="1" si="58"/>
        <v>-0.87023097571866426</v>
      </c>
      <c r="W225" s="33">
        <f t="shared" ca="1" si="62"/>
        <v>-161680</v>
      </c>
      <c r="X225" s="7">
        <f t="shared" ca="1" si="63"/>
        <v>-1</v>
      </c>
      <c r="Y225" s="7">
        <f t="shared" ca="1" si="64"/>
        <v>-0.86968085106382986</v>
      </c>
      <c r="Z225" s="7">
        <f t="shared" ca="1" si="59"/>
        <v>-0.22612640060654138</v>
      </c>
      <c r="AA225" s="33">
        <f t="shared" ca="1" si="65"/>
        <v>-53637.787486894056</v>
      </c>
      <c r="AB225" s="7">
        <f t="shared" ca="1" si="66"/>
        <v>-2.5456947074937859</v>
      </c>
      <c r="AC225" s="7">
        <f t="shared" ca="1" si="67"/>
        <v>-1.2076877792788079</v>
      </c>
      <c r="AH225" s="34"/>
    </row>
    <row r="226" spans="1:34" x14ac:dyDescent="0.25">
      <c r="A226" s="1">
        <v>223</v>
      </c>
      <c r="B226" s="25">
        <v>44007</v>
      </c>
      <c r="C226" s="10" t="s">
        <v>1576</v>
      </c>
      <c r="D226" s="1">
        <v>110</v>
      </c>
      <c r="E226" s="30">
        <v>4300</v>
      </c>
      <c r="F226" s="1">
        <v>102.5</v>
      </c>
      <c r="G226" s="1">
        <v>5.05</v>
      </c>
      <c r="H226" s="1">
        <v>62.5</v>
      </c>
      <c r="I226" s="1">
        <v>0.15</v>
      </c>
      <c r="J226" s="1">
        <v>60200</v>
      </c>
      <c r="K226" s="1">
        <v>8600</v>
      </c>
      <c r="L226" s="1">
        <v>0.1</v>
      </c>
      <c r="M226" s="1">
        <v>0.15</v>
      </c>
      <c r="N226" s="1">
        <v>8600</v>
      </c>
      <c r="O226" s="9"/>
      <c r="P226" s="7">
        <f t="shared" ca="1" si="54"/>
        <v>0.12249999999999998</v>
      </c>
      <c r="Q226" s="7">
        <f t="shared" ca="1" si="60"/>
        <v>6.1249999999999994E-3</v>
      </c>
      <c r="R226" s="33">
        <f t="shared" ca="1" si="55"/>
        <v>21069.999999999996</v>
      </c>
      <c r="S226" s="33">
        <f t="shared" ca="1" si="56"/>
        <v>-150930</v>
      </c>
      <c r="T226" s="33">
        <f t="shared" ca="1" si="61"/>
        <v>21069.999999999996</v>
      </c>
      <c r="U226" s="7">
        <f t="shared" ca="1" si="57"/>
        <v>0.13960113960113957</v>
      </c>
      <c r="V226" s="7">
        <f t="shared" ca="1" si="58"/>
        <v>-0.87023097571866426</v>
      </c>
      <c r="W226" s="33">
        <f t="shared" ca="1" si="62"/>
        <v>-150930</v>
      </c>
      <c r="X226" s="7">
        <f t="shared" ca="1" si="63"/>
        <v>-1</v>
      </c>
      <c r="Y226" s="7">
        <f t="shared" ca="1" si="64"/>
        <v>-0.86039886039886038</v>
      </c>
      <c r="Z226" s="7">
        <f t="shared" ca="1" si="59"/>
        <v>-0.22612640060654138</v>
      </c>
      <c r="AA226" s="33">
        <f t="shared" ca="1" si="65"/>
        <v>-53637.787486894056</v>
      </c>
      <c r="AB226" s="7">
        <f t="shared" ca="1" si="66"/>
        <v>-2.5456947074937859</v>
      </c>
      <c r="AC226" s="7">
        <f t="shared" ca="1" si="67"/>
        <v>-1.2030467839463233</v>
      </c>
      <c r="AH226" s="34"/>
    </row>
    <row r="227" spans="1:34" x14ac:dyDescent="0.25">
      <c r="A227" s="1">
        <v>224</v>
      </c>
      <c r="B227" s="25">
        <v>44007</v>
      </c>
      <c r="C227" s="10" t="s">
        <v>1576</v>
      </c>
      <c r="D227" s="1">
        <v>110</v>
      </c>
      <c r="E227" s="30">
        <v>4300</v>
      </c>
      <c r="F227" s="1">
        <v>102.5</v>
      </c>
      <c r="G227" s="1">
        <v>5.05</v>
      </c>
      <c r="H227" s="1">
        <v>65</v>
      </c>
      <c r="I227" s="1">
        <v>0.15</v>
      </c>
      <c r="J227" s="1">
        <v>653600</v>
      </c>
      <c r="K227" s="1">
        <v>399900</v>
      </c>
      <c r="L227" s="1">
        <v>0.1</v>
      </c>
      <c r="M227" s="1">
        <v>0.15</v>
      </c>
      <c r="N227" s="1">
        <v>21500</v>
      </c>
      <c r="O227" s="9"/>
      <c r="P227" s="7">
        <f t="shared" ca="1" si="54"/>
        <v>0.13066666666666665</v>
      </c>
      <c r="Q227" s="7">
        <f t="shared" ca="1" si="60"/>
        <v>6.5333333333333328E-3</v>
      </c>
      <c r="R227" s="33">
        <f t="shared" ca="1" si="55"/>
        <v>21069.999999999996</v>
      </c>
      <c r="S227" s="33">
        <f t="shared" ca="1" si="56"/>
        <v>-140180</v>
      </c>
      <c r="T227" s="33">
        <f t="shared" ca="1" si="61"/>
        <v>21069.999999999996</v>
      </c>
      <c r="U227" s="7">
        <f t="shared" ca="1" si="57"/>
        <v>0.15030674846625763</v>
      </c>
      <c r="V227" s="7">
        <f t="shared" ca="1" si="58"/>
        <v>-0.87023097571866426</v>
      </c>
      <c r="W227" s="33">
        <f t="shared" ca="1" si="62"/>
        <v>-140180</v>
      </c>
      <c r="X227" s="7">
        <f t="shared" ca="1" si="63"/>
        <v>-1</v>
      </c>
      <c r="Y227" s="7">
        <f t="shared" ca="1" si="64"/>
        <v>-0.84969325153374231</v>
      </c>
      <c r="Z227" s="7">
        <f t="shared" ca="1" si="59"/>
        <v>-0.22612640060654138</v>
      </c>
      <c r="AA227" s="33">
        <f t="shared" ca="1" si="65"/>
        <v>-53637.787486894056</v>
      </c>
      <c r="AB227" s="7">
        <f t="shared" ca="1" si="66"/>
        <v>-2.5456947074937859</v>
      </c>
      <c r="AC227" s="7">
        <f t="shared" ca="1" si="67"/>
        <v>-1.1976939795137642</v>
      </c>
      <c r="AH227" s="34"/>
    </row>
    <row r="228" spans="1:34" x14ac:dyDescent="0.25">
      <c r="A228" s="1">
        <v>225</v>
      </c>
      <c r="B228" s="25">
        <v>44007</v>
      </c>
      <c r="C228" s="10" t="s">
        <v>1576</v>
      </c>
      <c r="D228" s="1">
        <v>110</v>
      </c>
      <c r="E228" s="30">
        <v>4300</v>
      </c>
      <c r="F228" s="1">
        <v>102.5</v>
      </c>
      <c r="G228" s="1">
        <v>5.05</v>
      </c>
      <c r="H228" s="1">
        <v>67.5</v>
      </c>
      <c r="I228" s="1">
        <v>0.2</v>
      </c>
      <c r="J228" s="1">
        <v>124700</v>
      </c>
      <c r="K228" s="1">
        <v>184900</v>
      </c>
      <c r="L228" s="1">
        <v>0.1</v>
      </c>
      <c r="M228" s="1">
        <v>0.2</v>
      </c>
      <c r="N228" s="1">
        <v>60200</v>
      </c>
      <c r="O228" s="9"/>
      <c r="P228" s="7">
        <f t="shared" ca="1" si="54"/>
        <v>0.13857142857142857</v>
      </c>
      <c r="Q228" s="7">
        <f t="shared" ca="1" si="60"/>
        <v>6.928571428571428E-3</v>
      </c>
      <c r="R228" s="33">
        <f t="shared" ca="1" si="55"/>
        <v>20855</v>
      </c>
      <c r="S228" s="33">
        <f t="shared" ca="1" si="56"/>
        <v>-129645</v>
      </c>
      <c r="T228" s="33">
        <f t="shared" ca="1" si="61"/>
        <v>20855</v>
      </c>
      <c r="U228" s="7">
        <f t="shared" ca="1" si="57"/>
        <v>0.16086235489220563</v>
      </c>
      <c r="V228" s="7">
        <f t="shared" ca="1" si="58"/>
        <v>-0.87023097571866426</v>
      </c>
      <c r="W228" s="33">
        <f t="shared" ca="1" si="62"/>
        <v>-129645</v>
      </c>
      <c r="X228" s="7">
        <f t="shared" ca="1" si="63"/>
        <v>-1</v>
      </c>
      <c r="Y228" s="7">
        <f t="shared" ca="1" si="64"/>
        <v>-0.83913764510779432</v>
      </c>
      <c r="Z228" s="7">
        <f t="shared" ca="1" si="59"/>
        <v>-0.22612640060654138</v>
      </c>
      <c r="AA228" s="33">
        <f t="shared" ca="1" si="65"/>
        <v>-53852.787486894056</v>
      </c>
      <c r="AB228" s="7">
        <f t="shared" ca="1" si="66"/>
        <v>-2.5822482611792883</v>
      </c>
      <c r="AC228" s="7">
        <f t="shared" ca="1" si="67"/>
        <v>-1.2106929531435413</v>
      </c>
      <c r="AH228" s="34"/>
    </row>
    <row r="229" spans="1:34" x14ac:dyDescent="0.25">
      <c r="A229" s="1">
        <v>226</v>
      </c>
      <c r="B229" s="25">
        <v>44007</v>
      </c>
      <c r="C229" s="10" t="s">
        <v>1576</v>
      </c>
      <c r="D229" s="1">
        <v>110</v>
      </c>
      <c r="E229" s="30">
        <v>4300</v>
      </c>
      <c r="F229" s="1">
        <v>102.5</v>
      </c>
      <c r="G229" s="1">
        <v>5.05</v>
      </c>
      <c r="H229" s="1">
        <v>70</v>
      </c>
      <c r="I229" s="1">
        <v>0.2</v>
      </c>
      <c r="J229" s="1">
        <v>1212600</v>
      </c>
      <c r="K229" s="1">
        <v>541800</v>
      </c>
      <c r="L229" s="1">
        <v>0.15</v>
      </c>
      <c r="M229" s="1">
        <v>0.2</v>
      </c>
      <c r="N229" s="1">
        <v>98900</v>
      </c>
      <c r="O229" s="9"/>
      <c r="P229" s="7">
        <f t="shared" ca="1" si="54"/>
        <v>0.14923076923076922</v>
      </c>
      <c r="Q229" s="7">
        <f t="shared" ca="1" si="60"/>
        <v>7.4615384615384613E-3</v>
      </c>
      <c r="R229" s="33">
        <f t="shared" ca="1" si="55"/>
        <v>20855</v>
      </c>
      <c r="S229" s="33">
        <f t="shared" ca="1" si="56"/>
        <v>-118895</v>
      </c>
      <c r="T229" s="33">
        <f t="shared" ca="1" si="61"/>
        <v>20855</v>
      </c>
      <c r="U229" s="7">
        <f t="shared" ca="1" si="57"/>
        <v>0.17540687160940324</v>
      </c>
      <c r="V229" s="7">
        <f t="shared" ca="1" si="58"/>
        <v>-0.87023097571866426</v>
      </c>
      <c r="W229" s="33">
        <f t="shared" ca="1" si="62"/>
        <v>-118895</v>
      </c>
      <c r="X229" s="7">
        <f t="shared" ca="1" si="63"/>
        <v>-1</v>
      </c>
      <c r="Y229" s="7">
        <f t="shared" ca="1" si="64"/>
        <v>-0.82459312839059673</v>
      </c>
      <c r="Z229" s="7">
        <f t="shared" ca="1" si="59"/>
        <v>-0.22612640060654138</v>
      </c>
      <c r="AA229" s="33">
        <f t="shared" ca="1" si="65"/>
        <v>-53852.787486894056</v>
      </c>
      <c r="AB229" s="7">
        <f t="shared" ca="1" si="66"/>
        <v>-2.5822482611792883</v>
      </c>
      <c r="AC229" s="7">
        <f t="shared" ca="1" si="67"/>
        <v>-1.2034206947849426</v>
      </c>
      <c r="AH229" s="34"/>
    </row>
    <row r="230" spans="1:34" x14ac:dyDescent="0.25">
      <c r="A230" s="1">
        <v>227</v>
      </c>
      <c r="B230" s="25">
        <v>44007</v>
      </c>
      <c r="C230" s="10" t="s">
        <v>1576</v>
      </c>
      <c r="D230" s="1">
        <v>110</v>
      </c>
      <c r="E230" s="30">
        <v>4300</v>
      </c>
      <c r="F230" s="1">
        <v>102.5</v>
      </c>
      <c r="G230" s="1">
        <v>5.05</v>
      </c>
      <c r="H230" s="1">
        <v>72.5</v>
      </c>
      <c r="I230" s="1">
        <v>0.3</v>
      </c>
      <c r="J230" s="1">
        <v>141900</v>
      </c>
      <c r="K230" s="1">
        <v>30100</v>
      </c>
      <c r="L230" s="1">
        <v>0.25</v>
      </c>
      <c r="M230" s="1">
        <v>0.35</v>
      </c>
      <c r="N230" s="1">
        <v>73100</v>
      </c>
      <c r="O230" s="9"/>
      <c r="P230" s="7">
        <f t="shared" ca="1" si="54"/>
        <v>0.15833333333333333</v>
      </c>
      <c r="Q230" s="7">
        <f t="shared" ca="1" si="60"/>
        <v>7.9166666666666656E-3</v>
      </c>
      <c r="R230" s="33">
        <f t="shared" ca="1" si="55"/>
        <v>20425</v>
      </c>
      <c r="S230" s="33">
        <f t="shared" ca="1" si="56"/>
        <v>-108575</v>
      </c>
      <c r="T230" s="33">
        <f t="shared" ca="1" si="61"/>
        <v>20425</v>
      </c>
      <c r="U230" s="7">
        <f t="shared" ca="1" si="57"/>
        <v>0.18811881188118812</v>
      </c>
      <c r="V230" s="7">
        <f t="shared" ca="1" si="58"/>
        <v>-0.87023097571866426</v>
      </c>
      <c r="W230" s="33">
        <f t="shared" ca="1" si="62"/>
        <v>-108575</v>
      </c>
      <c r="X230" s="7">
        <f t="shared" ca="1" si="63"/>
        <v>-1</v>
      </c>
      <c r="Y230" s="7">
        <f t="shared" ca="1" si="64"/>
        <v>-0.81188118811881194</v>
      </c>
      <c r="Z230" s="7">
        <f t="shared" ca="1" si="59"/>
        <v>-0.22612640060654138</v>
      </c>
      <c r="AA230" s="33">
        <f t="shared" ca="1" si="65"/>
        <v>-54282.787486894056</v>
      </c>
      <c r="AB230" s="7">
        <f t="shared" ca="1" si="66"/>
        <v>-2.6576640140462207</v>
      </c>
      <c r="AC230" s="7">
        <f t="shared" ca="1" si="67"/>
        <v>-1.2347726010825162</v>
      </c>
      <c r="AH230" s="34"/>
    </row>
    <row r="231" spans="1:34" x14ac:dyDescent="0.25">
      <c r="A231" s="1">
        <v>228</v>
      </c>
      <c r="B231" s="25">
        <v>44007</v>
      </c>
      <c r="C231" s="10" t="s">
        <v>1576</v>
      </c>
      <c r="D231" s="1">
        <v>110</v>
      </c>
      <c r="E231" s="30">
        <v>4300</v>
      </c>
      <c r="F231" s="1">
        <v>102.5</v>
      </c>
      <c r="G231" s="1">
        <v>5.05</v>
      </c>
      <c r="H231" s="1">
        <v>75</v>
      </c>
      <c r="I231" s="1">
        <v>0.4</v>
      </c>
      <c r="J231" s="1">
        <v>1023400</v>
      </c>
      <c r="K231" s="1">
        <v>163400</v>
      </c>
      <c r="L231" s="1">
        <v>0.35</v>
      </c>
      <c r="M231" s="1">
        <v>0.4</v>
      </c>
      <c r="N231" s="1">
        <v>77400</v>
      </c>
      <c r="O231" s="9"/>
      <c r="P231" s="7">
        <f t="shared" ca="1" si="54"/>
        <v>0.16909090909090907</v>
      </c>
      <c r="Q231" s="7">
        <f t="shared" ca="1" si="60"/>
        <v>8.4545454545454542E-3</v>
      </c>
      <c r="R231" s="33">
        <f t="shared" ca="1" si="55"/>
        <v>19994.999999999996</v>
      </c>
      <c r="S231" s="33">
        <f t="shared" ca="1" si="56"/>
        <v>-98255</v>
      </c>
      <c r="T231" s="33">
        <f t="shared" ca="1" si="61"/>
        <v>19994.999999999996</v>
      </c>
      <c r="U231" s="7">
        <f t="shared" ca="1" si="57"/>
        <v>0.20350109409190367</v>
      </c>
      <c r="V231" s="7">
        <f t="shared" ca="1" si="58"/>
        <v>-0.87023097571866426</v>
      </c>
      <c r="W231" s="33">
        <f t="shared" ca="1" si="62"/>
        <v>-98255</v>
      </c>
      <c r="X231" s="7">
        <f t="shared" ca="1" si="63"/>
        <v>-1</v>
      </c>
      <c r="Y231" s="7">
        <f t="shared" ca="1" si="64"/>
        <v>-0.79649890590809636</v>
      </c>
      <c r="Z231" s="7">
        <f t="shared" ca="1" si="59"/>
        <v>-0.22612640060654138</v>
      </c>
      <c r="AA231" s="33">
        <f t="shared" ca="1" si="65"/>
        <v>-54712.787486894056</v>
      </c>
      <c r="AB231" s="7">
        <f t="shared" ca="1" si="66"/>
        <v>-2.7363234552085056</v>
      </c>
      <c r="AC231" s="7">
        <f t="shared" ca="1" si="67"/>
        <v>-1.2664111805583009</v>
      </c>
      <c r="AH231" s="34"/>
    </row>
    <row r="232" spans="1:34" x14ac:dyDescent="0.25">
      <c r="A232" s="1">
        <v>229</v>
      </c>
      <c r="B232" s="25">
        <v>44007</v>
      </c>
      <c r="C232" s="10" t="s">
        <v>1576</v>
      </c>
      <c r="D232" s="1">
        <v>110</v>
      </c>
      <c r="E232" s="30">
        <v>4300</v>
      </c>
      <c r="F232" s="1">
        <v>102.5</v>
      </c>
      <c r="G232" s="1">
        <v>5.05</v>
      </c>
      <c r="H232" s="1">
        <v>77.5</v>
      </c>
      <c r="I232" s="1">
        <v>0.45</v>
      </c>
      <c r="J232" s="1">
        <v>137600</v>
      </c>
      <c r="K232" s="1">
        <v>172000</v>
      </c>
      <c r="L232" s="1">
        <v>0.4</v>
      </c>
      <c r="M232" s="1">
        <v>0.45</v>
      </c>
      <c r="N232" s="1">
        <v>12900</v>
      </c>
      <c r="O232" s="9"/>
      <c r="P232" s="7">
        <f t="shared" ca="1" si="54"/>
        <v>0.184</v>
      </c>
      <c r="Q232" s="7">
        <f t="shared" ca="1" si="60"/>
        <v>9.1999999999999998E-3</v>
      </c>
      <c r="R232" s="33">
        <f t="shared" ca="1" si="55"/>
        <v>19780</v>
      </c>
      <c r="S232" s="33">
        <f t="shared" ca="1" si="56"/>
        <v>-87720</v>
      </c>
      <c r="T232" s="33">
        <f t="shared" ca="1" si="61"/>
        <v>19780</v>
      </c>
      <c r="U232" s="7">
        <f t="shared" ca="1" si="57"/>
        <v>0.22549019607843138</v>
      </c>
      <c r="V232" s="7">
        <f t="shared" ca="1" si="58"/>
        <v>-0.87023097571866426</v>
      </c>
      <c r="W232" s="33">
        <f t="shared" ca="1" si="62"/>
        <v>-87720</v>
      </c>
      <c r="X232" s="7">
        <f t="shared" ca="1" si="63"/>
        <v>-1</v>
      </c>
      <c r="Y232" s="7">
        <f t="shared" ca="1" si="64"/>
        <v>-0.77450980392156865</v>
      </c>
      <c r="Z232" s="7">
        <f t="shared" ca="1" si="59"/>
        <v>-0.22612640060654138</v>
      </c>
      <c r="AA232" s="33">
        <f t="shared" ca="1" si="65"/>
        <v>-54927.787486894056</v>
      </c>
      <c r="AB232" s="7">
        <f t="shared" ca="1" si="66"/>
        <v>-2.7769356666781624</v>
      </c>
      <c r="AC232" s="7">
        <f t="shared" ca="1" si="67"/>
        <v>-1.2757227352998655</v>
      </c>
      <c r="AH232" s="34"/>
    </row>
    <row r="233" spans="1:34" x14ac:dyDescent="0.25">
      <c r="A233" s="1">
        <v>230</v>
      </c>
      <c r="B233" s="25">
        <v>44007</v>
      </c>
      <c r="C233" s="10" t="s">
        <v>1576</v>
      </c>
      <c r="D233" s="1">
        <v>110</v>
      </c>
      <c r="E233" s="30">
        <v>4300</v>
      </c>
      <c r="F233" s="1">
        <v>102.5</v>
      </c>
      <c r="G233" s="1">
        <v>5.05</v>
      </c>
      <c r="H233" s="1">
        <v>80</v>
      </c>
      <c r="I233" s="1">
        <v>0.65</v>
      </c>
      <c r="J233" s="1">
        <v>2584300</v>
      </c>
      <c r="K233" s="1">
        <v>249400</v>
      </c>
      <c r="L233" s="1">
        <v>0.6</v>
      </c>
      <c r="M233" s="1">
        <v>0.65</v>
      </c>
      <c r="N233" s="1">
        <v>55900</v>
      </c>
      <c r="O233" s="9"/>
      <c r="P233" s="7">
        <f t="shared" ca="1" si="54"/>
        <v>0.19555555555555554</v>
      </c>
      <c r="Q233" s="7">
        <f t="shared" ca="1" si="60"/>
        <v>9.7777777777777776E-3</v>
      </c>
      <c r="R233" s="33">
        <f t="shared" ca="1" si="55"/>
        <v>18919.999999999996</v>
      </c>
      <c r="S233" s="33">
        <f t="shared" ca="1" si="56"/>
        <v>-77830</v>
      </c>
      <c r="T233" s="33">
        <f t="shared" ca="1" si="61"/>
        <v>18919.999999999996</v>
      </c>
      <c r="U233" s="7">
        <f t="shared" ca="1" si="57"/>
        <v>0.24309392265193366</v>
      </c>
      <c r="V233" s="7">
        <f t="shared" ca="1" si="58"/>
        <v>-0.87023097571866426</v>
      </c>
      <c r="W233" s="33">
        <f t="shared" ca="1" si="62"/>
        <v>-77830</v>
      </c>
      <c r="X233" s="7">
        <f t="shared" ca="1" si="63"/>
        <v>-1</v>
      </c>
      <c r="Y233" s="7">
        <f t="shared" ca="1" si="64"/>
        <v>-0.75690607734806636</v>
      </c>
      <c r="Z233" s="7">
        <f t="shared" ca="1" si="59"/>
        <v>-0.22612640060654138</v>
      </c>
      <c r="AA233" s="33">
        <f t="shared" ca="1" si="65"/>
        <v>-55787.787486894056</v>
      </c>
      <c r="AB233" s="7">
        <f t="shared" ca="1" si="66"/>
        <v>-2.9486145606180796</v>
      </c>
      <c r="AC233" s="7">
        <f t="shared" ca="1" si="67"/>
        <v>-1.352760318983073</v>
      </c>
      <c r="AH233" s="34"/>
    </row>
    <row r="234" spans="1:34" x14ac:dyDescent="0.25">
      <c r="A234" s="1">
        <v>231</v>
      </c>
      <c r="B234" s="25">
        <v>44007</v>
      </c>
      <c r="C234" s="10" t="s">
        <v>1576</v>
      </c>
      <c r="D234" s="1">
        <v>110</v>
      </c>
      <c r="E234" s="30">
        <v>4300</v>
      </c>
      <c r="F234" s="1">
        <v>102.5</v>
      </c>
      <c r="G234" s="1">
        <v>5.05</v>
      </c>
      <c r="H234" s="1">
        <v>82.5</v>
      </c>
      <c r="I234" s="1">
        <v>0.9</v>
      </c>
      <c r="J234" s="1">
        <v>296700</v>
      </c>
      <c r="K234" s="1">
        <v>4300</v>
      </c>
      <c r="L234" s="1">
        <v>0.8</v>
      </c>
      <c r="M234" s="1">
        <v>0.9</v>
      </c>
      <c r="N234" s="1">
        <v>21500</v>
      </c>
      <c r="O234" s="9"/>
      <c r="P234" s="7">
        <f t="shared" ca="1" si="54"/>
        <v>0.20749999999999996</v>
      </c>
      <c r="Q234" s="7">
        <f t="shared" ca="1" si="60"/>
        <v>1.0374999999999999E-2</v>
      </c>
      <c r="R234" s="33">
        <f t="shared" ca="1" si="55"/>
        <v>17844.999999999996</v>
      </c>
      <c r="S234" s="33">
        <f t="shared" ca="1" si="56"/>
        <v>-68155</v>
      </c>
      <c r="T234" s="33">
        <f t="shared" ca="1" si="61"/>
        <v>17844.999999999996</v>
      </c>
      <c r="U234" s="7">
        <f t="shared" ca="1" si="57"/>
        <v>0.26182965299684535</v>
      </c>
      <c r="V234" s="7">
        <f t="shared" ca="1" si="58"/>
        <v>-0.87023097571866426</v>
      </c>
      <c r="W234" s="33">
        <f t="shared" ca="1" si="62"/>
        <v>-68155</v>
      </c>
      <c r="X234" s="7">
        <f t="shared" ca="1" si="63"/>
        <v>-1</v>
      </c>
      <c r="Y234" s="7">
        <f t="shared" ca="1" si="64"/>
        <v>-0.73817034700315465</v>
      </c>
      <c r="Z234" s="7">
        <f t="shared" ca="1" si="59"/>
        <v>-0.22612640060654138</v>
      </c>
      <c r="AA234" s="33">
        <f t="shared" ca="1" si="65"/>
        <v>-56862.787486894056</v>
      </c>
      <c r="AB234" s="7">
        <f t="shared" ca="1" si="66"/>
        <v>-3.1864829076432652</v>
      </c>
      <c r="AC234" s="7">
        <f t="shared" ca="1" si="67"/>
        <v>-1.4623266273232098</v>
      </c>
      <c r="AH234" s="34"/>
    </row>
    <row r="235" spans="1:34" x14ac:dyDescent="0.25">
      <c r="A235" s="1">
        <v>232</v>
      </c>
      <c r="B235" s="25">
        <v>44007</v>
      </c>
      <c r="C235" s="10" t="s">
        <v>1576</v>
      </c>
      <c r="D235" s="1">
        <v>110</v>
      </c>
      <c r="E235" s="30">
        <v>4300</v>
      </c>
      <c r="F235" s="1">
        <v>102.5</v>
      </c>
      <c r="G235" s="1">
        <v>5.05</v>
      </c>
      <c r="H235" s="1">
        <v>85</v>
      </c>
      <c r="I235" s="1">
        <v>1</v>
      </c>
      <c r="J235" s="1">
        <v>2992800</v>
      </c>
      <c r="K235" s="1">
        <v>77400</v>
      </c>
      <c r="L235" s="1">
        <v>0.95</v>
      </c>
      <c r="M235" s="1">
        <v>1.05</v>
      </c>
      <c r="N235" s="1">
        <v>73100</v>
      </c>
      <c r="O235" s="9"/>
      <c r="P235" s="7">
        <f t="shared" ca="1" si="54"/>
        <v>0.23142857142857143</v>
      </c>
      <c r="Q235" s="7">
        <f t="shared" ca="1" si="60"/>
        <v>1.1571428571428571E-2</v>
      </c>
      <c r="R235" s="33">
        <f t="shared" ca="1" si="55"/>
        <v>17415</v>
      </c>
      <c r="S235" s="33">
        <f t="shared" ca="1" si="56"/>
        <v>-57835</v>
      </c>
      <c r="T235" s="33">
        <f t="shared" ca="1" si="61"/>
        <v>17415</v>
      </c>
      <c r="U235" s="7">
        <f t="shared" ca="1" si="57"/>
        <v>0.30111524163568776</v>
      </c>
      <c r="V235" s="7">
        <f t="shared" ca="1" si="58"/>
        <v>-0.87023097571866426</v>
      </c>
      <c r="W235" s="33">
        <f t="shared" ca="1" si="62"/>
        <v>-57835</v>
      </c>
      <c r="X235" s="7">
        <f t="shared" ca="1" si="63"/>
        <v>-1</v>
      </c>
      <c r="Y235" s="7">
        <f t="shared" ca="1" si="64"/>
        <v>-0.6988847583643123</v>
      </c>
      <c r="Z235" s="7">
        <f t="shared" ca="1" si="59"/>
        <v>-0.22612640060654138</v>
      </c>
      <c r="AA235" s="33">
        <f t="shared" ca="1" si="65"/>
        <v>-57292.787486894056</v>
      </c>
      <c r="AB235" s="7">
        <f t="shared" ca="1" si="66"/>
        <v>-3.2898528559801354</v>
      </c>
      <c r="AC235" s="7">
        <f t="shared" ca="1" si="67"/>
        <v>-1.4943688071722239</v>
      </c>
      <c r="AH235" s="34"/>
    </row>
    <row r="236" spans="1:34" x14ac:dyDescent="0.25">
      <c r="A236" s="1">
        <v>233</v>
      </c>
      <c r="B236" s="25">
        <v>44007</v>
      </c>
      <c r="C236" s="10" t="s">
        <v>1576</v>
      </c>
      <c r="D236" s="1">
        <v>110</v>
      </c>
      <c r="E236" s="30">
        <v>4300</v>
      </c>
      <c r="F236" s="1">
        <v>102.5</v>
      </c>
      <c r="G236" s="1">
        <v>5.05</v>
      </c>
      <c r="H236" s="1">
        <v>87.5</v>
      </c>
      <c r="I236" s="1">
        <v>1.3</v>
      </c>
      <c r="J236" s="1">
        <v>399900</v>
      </c>
      <c r="K236" s="1">
        <v>4300</v>
      </c>
      <c r="L236" s="1">
        <v>1.3</v>
      </c>
      <c r="M236" s="1">
        <v>1.45</v>
      </c>
      <c r="N236" s="1">
        <v>4300</v>
      </c>
      <c r="O236" s="9"/>
      <c r="P236" s="7">
        <f t="shared" ca="1" si="54"/>
        <v>0.25</v>
      </c>
      <c r="Q236" s="7">
        <f t="shared" ca="1" si="60"/>
        <v>1.2500000000000001E-2</v>
      </c>
      <c r="R236" s="33">
        <f t="shared" ca="1" si="55"/>
        <v>16125</v>
      </c>
      <c r="S236" s="33">
        <f t="shared" ca="1" si="56"/>
        <v>-48375</v>
      </c>
      <c r="T236" s="33">
        <f t="shared" ca="1" si="61"/>
        <v>16125</v>
      </c>
      <c r="U236" s="7">
        <f t="shared" ca="1" si="57"/>
        <v>0.33333333333333331</v>
      </c>
      <c r="V236" s="7">
        <f t="shared" ca="1" si="58"/>
        <v>-0.87023097571866426</v>
      </c>
      <c r="W236" s="33">
        <f t="shared" ca="1" si="62"/>
        <v>-48375</v>
      </c>
      <c r="X236" s="7">
        <f t="shared" ca="1" si="63"/>
        <v>-1</v>
      </c>
      <c r="Y236" s="7">
        <f t="shared" ca="1" si="64"/>
        <v>-0.66666666666666674</v>
      </c>
      <c r="Z236" s="7">
        <f t="shared" ca="1" si="59"/>
        <v>-0.22612640060654138</v>
      </c>
      <c r="AA236" s="33">
        <f t="shared" ca="1" si="65"/>
        <v>-48375</v>
      </c>
      <c r="AB236" s="7">
        <f t="shared" ca="1" si="66"/>
        <v>-3</v>
      </c>
      <c r="AC236" s="7">
        <f t="shared" ca="1" si="67"/>
        <v>-1.3333333333333333</v>
      </c>
      <c r="AH236" s="34"/>
    </row>
    <row r="237" spans="1:34" x14ac:dyDescent="0.25">
      <c r="A237" s="1">
        <v>234</v>
      </c>
      <c r="B237" s="25">
        <v>44007</v>
      </c>
      <c r="C237" s="10" t="s">
        <v>1576</v>
      </c>
      <c r="D237" s="1">
        <v>110</v>
      </c>
      <c r="E237" s="30">
        <v>4300</v>
      </c>
      <c r="F237" s="1">
        <v>102.5</v>
      </c>
      <c r="G237" s="1">
        <v>5.05</v>
      </c>
      <c r="H237" s="1">
        <v>90</v>
      </c>
      <c r="I237" s="1">
        <v>1.7</v>
      </c>
      <c r="J237" s="1">
        <v>2752000</v>
      </c>
      <c r="K237" s="1">
        <v>90300</v>
      </c>
      <c r="L237" s="1">
        <v>1.65</v>
      </c>
      <c r="M237" s="1">
        <v>1.7</v>
      </c>
      <c r="N237" s="1">
        <v>51600</v>
      </c>
      <c r="O237" s="9"/>
      <c r="P237" s="7">
        <f t="shared" ca="1" si="54"/>
        <v>0.26799999999999996</v>
      </c>
      <c r="Q237" s="7">
        <f t="shared" ca="1" si="60"/>
        <v>1.3399999999999999E-2</v>
      </c>
      <c r="R237" s="33">
        <f t="shared" ca="1" si="55"/>
        <v>14404.999999999998</v>
      </c>
      <c r="S237" s="33">
        <f t="shared" ca="1" si="56"/>
        <v>-39345</v>
      </c>
      <c r="T237" s="33">
        <f t="shared" ca="1" si="61"/>
        <v>14404.999999999998</v>
      </c>
      <c r="U237" s="7">
        <f t="shared" ca="1" si="57"/>
        <v>0.36612021857923494</v>
      </c>
      <c r="V237" s="7">
        <f t="shared" ca="1" si="58"/>
        <v>-0.87023097571866426</v>
      </c>
      <c r="W237" s="33">
        <f t="shared" ca="1" si="62"/>
        <v>-39345</v>
      </c>
      <c r="X237" s="7">
        <f t="shared" ca="1" si="63"/>
        <v>-1</v>
      </c>
      <c r="Y237" s="7">
        <f t="shared" ca="1" si="64"/>
        <v>-0.63387978142076506</v>
      </c>
      <c r="Z237" s="7">
        <f t="shared" ca="1" si="59"/>
        <v>-0.22612640060654138</v>
      </c>
      <c r="AA237" s="33">
        <f t="shared" ca="1" si="65"/>
        <v>-39345</v>
      </c>
      <c r="AB237" s="7">
        <f t="shared" ca="1" si="66"/>
        <v>-2.7313432835820901</v>
      </c>
      <c r="AC237" s="7">
        <f t="shared" ca="1" si="67"/>
        <v>-1.1826115325014275</v>
      </c>
      <c r="AH237" s="34"/>
    </row>
    <row r="238" spans="1:34" x14ac:dyDescent="0.25">
      <c r="A238" s="1">
        <v>235</v>
      </c>
      <c r="B238" s="25">
        <v>44007</v>
      </c>
      <c r="C238" s="10" t="s">
        <v>1576</v>
      </c>
      <c r="D238" s="1">
        <v>110</v>
      </c>
      <c r="E238" s="30">
        <v>4300</v>
      </c>
      <c r="F238" s="1">
        <v>102.5</v>
      </c>
      <c r="G238" s="1">
        <v>5.05</v>
      </c>
      <c r="H238" s="1">
        <v>92.5</v>
      </c>
      <c r="I238" s="1">
        <v>2.25</v>
      </c>
      <c r="J238" s="1">
        <v>369800</v>
      </c>
      <c r="K238" s="1">
        <v>8600</v>
      </c>
      <c r="L238" s="1">
        <v>2.15</v>
      </c>
      <c r="M238" s="1">
        <v>2.2000000000000002</v>
      </c>
      <c r="N238" s="1">
        <v>4300</v>
      </c>
      <c r="O238" s="9"/>
      <c r="P238" s="7">
        <f t="shared" ca="1" si="54"/>
        <v>0.27999999999999997</v>
      </c>
      <c r="Q238" s="7">
        <f t="shared" ca="1" si="60"/>
        <v>1.3999999999999999E-2</v>
      </c>
      <c r="R238" s="33">
        <f t="shared" ca="1" si="55"/>
        <v>12040</v>
      </c>
      <c r="S238" s="33">
        <f t="shared" ca="1" si="56"/>
        <v>-30960</v>
      </c>
      <c r="T238" s="33">
        <f t="shared" ca="1" si="61"/>
        <v>12040</v>
      </c>
      <c r="U238" s="7">
        <f t="shared" ca="1" si="57"/>
        <v>0.3888888888888889</v>
      </c>
      <c r="V238" s="7">
        <f t="shared" ca="1" si="58"/>
        <v>-0.87023097571866426</v>
      </c>
      <c r="W238" s="33">
        <f t="shared" ca="1" si="62"/>
        <v>-30960</v>
      </c>
      <c r="X238" s="7">
        <f t="shared" ca="1" si="63"/>
        <v>-1</v>
      </c>
      <c r="Y238" s="7">
        <f t="shared" ca="1" si="64"/>
        <v>-0.61111111111111116</v>
      </c>
      <c r="Z238" s="7">
        <f t="shared" ca="1" si="59"/>
        <v>-0.22612640060654138</v>
      </c>
      <c r="AA238" s="33">
        <f t="shared" ca="1" si="65"/>
        <v>-30960</v>
      </c>
      <c r="AB238" s="7">
        <f t="shared" ca="1" si="66"/>
        <v>-2.5714285714285716</v>
      </c>
      <c r="AC238" s="7">
        <f t="shared" ca="1" si="67"/>
        <v>-1.0912698412698414</v>
      </c>
      <c r="AH238" s="34"/>
    </row>
    <row r="239" spans="1:34" x14ac:dyDescent="0.25">
      <c r="A239" s="1">
        <v>236</v>
      </c>
      <c r="B239" s="25">
        <v>44007</v>
      </c>
      <c r="C239" s="10" t="s">
        <v>1576</v>
      </c>
      <c r="D239" s="1">
        <v>110</v>
      </c>
      <c r="E239" s="30">
        <v>4300</v>
      </c>
      <c r="F239" s="1">
        <v>102.5</v>
      </c>
      <c r="G239" s="1">
        <v>5.05</v>
      </c>
      <c r="H239" s="1">
        <v>95</v>
      </c>
      <c r="I239" s="1">
        <v>2.75</v>
      </c>
      <c r="J239" s="1">
        <v>1496400</v>
      </c>
      <c r="K239" s="1">
        <v>51600</v>
      </c>
      <c r="L239" s="1">
        <v>2.7</v>
      </c>
      <c r="M239" s="1">
        <v>2.75</v>
      </c>
      <c r="N239" s="1">
        <v>30100</v>
      </c>
      <c r="O239" s="9"/>
      <c r="P239" s="7">
        <f t="shared" ca="1" si="54"/>
        <v>0.30666666666666664</v>
      </c>
      <c r="Q239" s="7">
        <f t="shared" ca="1" si="60"/>
        <v>1.5333333333333332E-2</v>
      </c>
      <c r="R239" s="33">
        <f t="shared" ca="1" si="55"/>
        <v>9890</v>
      </c>
      <c r="S239" s="33">
        <f t="shared" ca="1" si="56"/>
        <v>-22360</v>
      </c>
      <c r="T239" s="33">
        <f t="shared" ca="1" si="61"/>
        <v>9890</v>
      </c>
      <c r="U239" s="7">
        <f t="shared" ca="1" si="57"/>
        <v>0.44230769230769229</v>
      </c>
      <c r="V239" s="7">
        <f t="shared" ca="1" si="58"/>
        <v>-0.87023097571866426</v>
      </c>
      <c r="W239" s="33">
        <f t="shared" ca="1" si="62"/>
        <v>-22360</v>
      </c>
      <c r="X239" s="7">
        <f t="shared" ca="1" si="63"/>
        <v>-1</v>
      </c>
      <c r="Y239" s="7">
        <f t="shared" ca="1" si="64"/>
        <v>-0.55769230769230771</v>
      </c>
      <c r="Z239" s="7">
        <f t="shared" ca="1" si="59"/>
        <v>-0.22612640060654138</v>
      </c>
      <c r="AA239" s="33">
        <f t="shared" ca="1" si="65"/>
        <v>-22360</v>
      </c>
      <c r="AB239" s="7">
        <f t="shared" ca="1" si="66"/>
        <v>-2.2608695652173911</v>
      </c>
      <c r="AC239" s="7">
        <f t="shared" ca="1" si="67"/>
        <v>-0.90928093645484942</v>
      </c>
      <c r="AH239" s="34"/>
    </row>
    <row r="240" spans="1:34" x14ac:dyDescent="0.25">
      <c r="A240" s="1">
        <v>237</v>
      </c>
      <c r="B240" s="25">
        <v>44007</v>
      </c>
      <c r="C240" s="10" t="s">
        <v>1576</v>
      </c>
      <c r="D240" s="1">
        <v>110</v>
      </c>
      <c r="E240" s="30">
        <v>4300</v>
      </c>
      <c r="F240" s="1">
        <v>102.5</v>
      </c>
      <c r="G240" s="1">
        <v>5.05</v>
      </c>
      <c r="H240" s="1">
        <v>97.5</v>
      </c>
      <c r="I240" s="1">
        <v>3.4</v>
      </c>
      <c r="J240" s="1">
        <v>417100</v>
      </c>
      <c r="K240" s="1">
        <v>4300</v>
      </c>
      <c r="L240" s="1">
        <v>3.35</v>
      </c>
      <c r="M240" s="1">
        <v>3.45</v>
      </c>
      <c r="N240" s="1">
        <v>30100</v>
      </c>
      <c r="O240" s="9"/>
      <c r="P240" s="7">
        <f t="shared" ca="1" si="54"/>
        <v>0.32999999999999996</v>
      </c>
      <c r="Q240" s="7">
        <f t="shared" ca="1" si="60"/>
        <v>1.6499999999999997E-2</v>
      </c>
      <c r="R240" s="33">
        <f t="shared" ca="1" si="55"/>
        <v>7095</v>
      </c>
      <c r="S240" s="33">
        <f t="shared" ca="1" si="56"/>
        <v>-14405</v>
      </c>
      <c r="T240" s="33">
        <f t="shared" ca="1" si="61"/>
        <v>7095</v>
      </c>
      <c r="U240" s="7">
        <f t="shared" ca="1" si="57"/>
        <v>0.4925373134328358</v>
      </c>
      <c r="V240" s="7">
        <f t="shared" ca="1" si="58"/>
        <v>-0.87023097571866426</v>
      </c>
      <c r="W240" s="33">
        <f t="shared" ca="1" si="62"/>
        <v>-14405</v>
      </c>
      <c r="X240" s="7">
        <f t="shared" ca="1" si="63"/>
        <v>-1</v>
      </c>
      <c r="Y240" s="7">
        <f t="shared" ca="1" si="64"/>
        <v>-0.5074626865671642</v>
      </c>
      <c r="Z240" s="7">
        <f t="shared" ca="1" si="59"/>
        <v>-0.22612640060654138</v>
      </c>
      <c r="AA240" s="33">
        <f t="shared" ca="1" si="65"/>
        <v>-14405</v>
      </c>
      <c r="AB240" s="7">
        <f t="shared" ca="1" si="66"/>
        <v>-2.0303030303030303</v>
      </c>
      <c r="AC240" s="7">
        <f t="shared" ca="1" si="67"/>
        <v>-0.76888285843509729</v>
      </c>
      <c r="AH240" s="34"/>
    </row>
    <row r="241" spans="1:34" x14ac:dyDescent="0.25">
      <c r="A241" s="1">
        <v>238</v>
      </c>
      <c r="B241" s="25">
        <v>44007</v>
      </c>
      <c r="C241" s="10" t="s">
        <v>1576</v>
      </c>
      <c r="D241" s="1">
        <v>110</v>
      </c>
      <c r="E241" s="30">
        <v>4300</v>
      </c>
      <c r="F241" s="1">
        <v>102.5</v>
      </c>
      <c r="G241" s="1">
        <v>5.05</v>
      </c>
      <c r="H241" s="1">
        <v>100</v>
      </c>
      <c r="I241" s="1">
        <v>4</v>
      </c>
      <c r="J241" s="1">
        <v>2769200</v>
      </c>
      <c r="K241" s="1">
        <v>60200</v>
      </c>
      <c r="L241" s="1">
        <v>3.95</v>
      </c>
      <c r="M241" s="1">
        <v>4.05</v>
      </c>
      <c r="N241" s="1">
        <v>60200</v>
      </c>
      <c r="O241" s="9"/>
      <c r="P241" s="7">
        <f t="shared" ca="1" si="54"/>
        <v>0.41999999999999993</v>
      </c>
      <c r="Q241" s="7">
        <f t="shared" ca="1" si="60"/>
        <v>2.0999999999999998E-2</v>
      </c>
      <c r="R241" s="33">
        <f t="shared" ca="1" si="55"/>
        <v>4514.9999999999991</v>
      </c>
      <c r="S241" s="33">
        <f t="shared" ca="1" si="56"/>
        <v>-6235.0000000000009</v>
      </c>
      <c r="T241" s="33">
        <f t="shared" ca="1" si="61"/>
        <v>4514.9999999999991</v>
      </c>
      <c r="U241" s="7">
        <f t="shared" ca="1" si="57"/>
        <v>0.72413793103448254</v>
      </c>
      <c r="V241" s="7">
        <f t="shared" ca="1" si="58"/>
        <v>-0.87023097571866426</v>
      </c>
      <c r="W241" s="33">
        <f t="shared" ca="1" si="62"/>
        <v>-6235.0000000000009</v>
      </c>
      <c r="X241" s="7">
        <f t="shared" ca="1" si="63"/>
        <v>-1</v>
      </c>
      <c r="Y241" s="7">
        <f t="shared" ca="1" si="64"/>
        <v>-0.27586206896551746</v>
      </c>
      <c r="Z241" s="7">
        <f t="shared" ca="1" si="59"/>
        <v>-0.22612640060654138</v>
      </c>
      <c r="AA241" s="33">
        <f t="shared" ca="1" si="65"/>
        <v>-6235.0000000000009</v>
      </c>
      <c r="AB241" s="7">
        <f t="shared" ca="1" si="66"/>
        <v>-1.3809523809523814</v>
      </c>
      <c r="AC241" s="7">
        <f t="shared" ca="1" si="67"/>
        <v>-0.32840722495894942</v>
      </c>
      <c r="AH241" s="34"/>
    </row>
    <row r="242" spans="1:34" x14ac:dyDescent="0.25">
      <c r="A242" s="1">
        <v>239</v>
      </c>
      <c r="B242" s="25">
        <v>44007</v>
      </c>
      <c r="C242" s="10" t="s">
        <v>202</v>
      </c>
      <c r="D242" s="1">
        <v>244.3</v>
      </c>
      <c r="E242" s="30">
        <v>1200</v>
      </c>
      <c r="F242" s="1">
        <v>220</v>
      </c>
      <c r="G242" s="1">
        <v>9.0500000000000007</v>
      </c>
      <c r="H242" s="1">
        <v>170</v>
      </c>
      <c r="I242" s="1">
        <v>1.95</v>
      </c>
      <c r="J242" s="1">
        <v>34800</v>
      </c>
      <c r="K242" s="1">
        <v>1200</v>
      </c>
      <c r="L242" s="1">
        <v>1.05</v>
      </c>
      <c r="M242" s="1">
        <v>1.95</v>
      </c>
      <c r="N242" s="1">
        <v>7200</v>
      </c>
      <c r="O242" s="9"/>
      <c r="P242" s="7">
        <f t="shared" ca="1" si="54"/>
        <v>0.14200000000000002</v>
      </c>
      <c r="Q242" s="7">
        <f t="shared" ca="1" si="60"/>
        <v>7.1000000000000004E-3</v>
      </c>
      <c r="R242" s="33">
        <f t="shared" ca="1" si="55"/>
        <v>8520</v>
      </c>
      <c r="S242" s="33">
        <f t="shared" ca="1" si="56"/>
        <v>-51480</v>
      </c>
      <c r="T242" s="33">
        <f t="shared" ca="1" si="61"/>
        <v>8520</v>
      </c>
      <c r="U242" s="7">
        <f t="shared" ca="1" si="57"/>
        <v>0.1655011655011655</v>
      </c>
      <c r="V242" s="7">
        <f t="shared" ca="1" si="58"/>
        <v>-0.97006882028586916</v>
      </c>
      <c r="W242" s="33">
        <f t="shared" ca="1" si="62"/>
        <v>-51480</v>
      </c>
      <c r="X242" s="7">
        <f t="shared" ca="1" si="63"/>
        <v>-1</v>
      </c>
      <c r="Y242" s="7">
        <f t="shared" ca="1" si="64"/>
        <v>-0.83449883449883444</v>
      </c>
      <c r="Z242" s="7">
        <f t="shared" ca="1" si="59"/>
        <v>-0.18631317881483567</v>
      </c>
      <c r="AA242" s="33">
        <f t="shared" ca="1" si="65"/>
        <v>-16939.571501357208</v>
      </c>
      <c r="AB242" s="7">
        <f t="shared" ca="1" si="66"/>
        <v>-1.9882126175301886</v>
      </c>
      <c r="AC242" s="7">
        <f t="shared" ca="1" si="67"/>
        <v>-0.91135572601451154</v>
      </c>
      <c r="AH242" s="34"/>
    </row>
    <row r="243" spans="1:34" x14ac:dyDescent="0.25">
      <c r="A243" s="1">
        <v>240</v>
      </c>
      <c r="B243" s="25">
        <v>44007</v>
      </c>
      <c r="C243" s="10" t="s">
        <v>202</v>
      </c>
      <c r="D243" s="1">
        <v>244.3</v>
      </c>
      <c r="E243" s="30">
        <v>1200</v>
      </c>
      <c r="F243" s="1">
        <v>220</v>
      </c>
      <c r="G243" s="1">
        <v>9.0500000000000007</v>
      </c>
      <c r="H243" s="1">
        <v>180</v>
      </c>
      <c r="I243" s="1">
        <v>2.2000000000000002</v>
      </c>
      <c r="J243" s="1">
        <v>67200</v>
      </c>
      <c r="K243" s="1">
        <v>1200</v>
      </c>
      <c r="L243" s="1">
        <v>2.2000000000000002</v>
      </c>
      <c r="M243" s="1">
        <v>3</v>
      </c>
      <c r="N243" s="1">
        <v>10800</v>
      </c>
      <c r="O243" s="9"/>
      <c r="P243" s="7">
        <f t="shared" ca="1" si="54"/>
        <v>0.17125000000000001</v>
      </c>
      <c r="Q243" s="7">
        <f t="shared" ca="1" si="60"/>
        <v>8.5625000000000007E-3</v>
      </c>
      <c r="R243" s="33">
        <f t="shared" ca="1" si="55"/>
        <v>8220</v>
      </c>
      <c r="S243" s="33">
        <f t="shared" ca="1" si="56"/>
        <v>-39780</v>
      </c>
      <c r="T243" s="33">
        <f t="shared" ca="1" si="61"/>
        <v>8220</v>
      </c>
      <c r="U243" s="7">
        <f t="shared" ca="1" si="57"/>
        <v>0.2066365007541478</v>
      </c>
      <c r="V243" s="7">
        <f t="shared" ca="1" si="58"/>
        <v>-0.97006882028586916</v>
      </c>
      <c r="W243" s="33">
        <f t="shared" ca="1" si="62"/>
        <v>-39780</v>
      </c>
      <c r="X243" s="7">
        <f t="shared" ca="1" si="63"/>
        <v>-1</v>
      </c>
      <c r="Y243" s="7">
        <f t="shared" ca="1" si="64"/>
        <v>-0.79336349924585226</v>
      </c>
      <c r="Z243" s="7">
        <f t="shared" ca="1" si="59"/>
        <v>-0.18631317881483567</v>
      </c>
      <c r="AA243" s="33">
        <f t="shared" ca="1" si="65"/>
        <v>-17239.571501357208</v>
      </c>
      <c r="AB243" s="7">
        <f t="shared" ca="1" si="66"/>
        <v>-2.0972714721845751</v>
      </c>
      <c r="AC243" s="7">
        <f t="shared" ca="1" si="67"/>
        <v>-0.94531748571521368</v>
      </c>
      <c r="AH243" s="34"/>
    </row>
    <row r="244" spans="1:34" x14ac:dyDescent="0.25">
      <c r="A244" s="1">
        <v>241</v>
      </c>
      <c r="B244" s="25">
        <v>44007</v>
      </c>
      <c r="C244" s="10" t="s">
        <v>202</v>
      </c>
      <c r="D244" s="1">
        <v>244.3</v>
      </c>
      <c r="E244" s="30">
        <v>1200</v>
      </c>
      <c r="F244" s="1">
        <v>220</v>
      </c>
      <c r="G244" s="1">
        <v>9.0500000000000007</v>
      </c>
      <c r="H244" s="1">
        <v>190</v>
      </c>
      <c r="I244" s="1">
        <v>3.2</v>
      </c>
      <c r="J244" s="1">
        <v>56400</v>
      </c>
      <c r="K244" s="1">
        <v>1200</v>
      </c>
      <c r="L244" s="1">
        <v>2.95</v>
      </c>
      <c r="M244" s="1">
        <v>3.4</v>
      </c>
      <c r="N244" s="1">
        <v>1200</v>
      </c>
      <c r="O244" s="9"/>
      <c r="P244" s="7">
        <f t="shared" ca="1" si="54"/>
        <v>0.19500000000000001</v>
      </c>
      <c r="Q244" s="7">
        <f t="shared" ca="1" si="60"/>
        <v>9.75E-3</v>
      </c>
      <c r="R244" s="33">
        <f t="shared" ca="1" si="55"/>
        <v>7020.0000000000009</v>
      </c>
      <c r="S244" s="33">
        <f t="shared" ca="1" si="56"/>
        <v>-28980</v>
      </c>
      <c r="T244" s="33">
        <f t="shared" ca="1" si="61"/>
        <v>7020.0000000000009</v>
      </c>
      <c r="U244" s="7">
        <f t="shared" ca="1" si="57"/>
        <v>0.24223602484472054</v>
      </c>
      <c r="V244" s="7">
        <f t="shared" ca="1" si="58"/>
        <v>-0.97006882028586916</v>
      </c>
      <c r="W244" s="33">
        <f t="shared" ca="1" si="62"/>
        <v>-28980</v>
      </c>
      <c r="X244" s="7">
        <f t="shared" ca="1" si="63"/>
        <v>-1</v>
      </c>
      <c r="Y244" s="7">
        <f t="shared" ca="1" si="64"/>
        <v>-0.75776397515527949</v>
      </c>
      <c r="Z244" s="7">
        <f t="shared" ca="1" si="59"/>
        <v>-0.18631317881483567</v>
      </c>
      <c r="AA244" s="33">
        <f t="shared" ca="1" si="65"/>
        <v>-18439.571501357208</v>
      </c>
      <c r="AB244" s="7">
        <f t="shared" ca="1" si="66"/>
        <v>-2.626719587087921</v>
      </c>
      <c r="AC244" s="7">
        <f t="shared" ca="1" si="67"/>
        <v>-1.1922417811216002</v>
      </c>
      <c r="AH244" s="34"/>
    </row>
    <row r="245" spans="1:34" x14ac:dyDescent="0.25">
      <c r="A245" s="1">
        <v>242</v>
      </c>
      <c r="B245" s="25">
        <v>44007</v>
      </c>
      <c r="C245" s="10" t="s">
        <v>202</v>
      </c>
      <c r="D245" s="1">
        <v>244.3</v>
      </c>
      <c r="E245" s="30">
        <v>1200</v>
      </c>
      <c r="F245" s="1">
        <v>220</v>
      </c>
      <c r="G245" s="1">
        <v>9.0500000000000007</v>
      </c>
      <c r="H245" s="1">
        <v>200</v>
      </c>
      <c r="I245" s="1">
        <v>4.6500000000000004</v>
      </c>
      <c r="J245" s="1">
        <v>214800</v>
      </c>
      <c r="K245" s="1">
        <v>1200</v>
      </c>
      <c r="L245" s="1">
        <v>4.5</v>
      </c>
      <c r="M245" s="1">
        <v>4.6500000000000004</v>
      </c>
      <c r="N245" s="1">
        <v>2400</v>
      </c>
      <c r="O245" s="9"/>
      <c r="P245" s="7">
        <f t="shared" ca="1" si="54"/>
        <v>0.22000000000000003</v>
      </c>
      <c r="Q245" s="7">
        <f t="shared" ca="1" si="60"/>
        <v>1.1000000000000001E-2</v>
      </c>
      <c r="R245" s="33">
        <f t="shared" ca="1" si="55"/>
        <v>5280</v>
      </c>
      <c r="S245" s="33">
        <f t="shared" ca="1" si="56"/>
        <v>-18720</v>
      </c>
      <c r="T245" s="33">
        <f t="shared" ca="1" si="61"/>
        <v>5280</v>
      </c>
      <c r="U245" s="7">
        <f t="shared" ca="1" si="57"/>
        <v>0.28205128205128205</v>
      </c>
      <c r="V245" s="7">
        <f t="shared" ca="1" si="58"/>
        <v>-0.97006882028586916</v>
      </c>
      <c r="W245" s="33">
        <f t="shared" ca="1" si="62"/>
        <v>-18720</v>
      </c>
      <c r="X245" s="7">
        <f t="shared" ca="1" si="63"/>
        <v>-1</v>
      </c>
      <c r="Y245" s="7">
        <f t="shared" ca="1" si="64"/>
        <v>-0.71794871794871795</v>
      </c>
      <c r="Z245" s="7">
        <f t="shared" ca="1" si="59"/>
        <v>-0.18631317881483567</v>
      </c>
      <c r="AA245" s="33">
        <f t="shared" ca="1" si="65"/>
        <v>-18720</v>
      </c>
      <c r="AB245" s="7">
        <f t="shared" ca="1" si="66"/>
        <v>-3.5454545454545454</v>
      </c>
      <c r="AC245" s="7">
        <f t="shared" ca="1" si="67"/>
        <v>-1.6317016317016317</v>
      </c>
      <c r="AH245" s="34"/>
    </row>
    <row r="246" spans="1:34" x14ac:dyDescent="0.25">
      <c r="A246" s="1">
        <v>243</v>
      </c>
      <c r="B246" s="25">
        <v>44007</v>
      </c>
      <c r="C246" s="10" t="s">
        <v>202</v>
      </c>
      <c r="D246" s="1">
        <v>244.3</v>
      </c>
      <c r="E246" s="30">
        <v>1200</v>
      </c>
      <c r="F246" s="1">
        <v>220</v>
      </c>
      <c r="G246" s="1">
        <v>9.0500000000000007</v>
      </c>
      <c r="H246" s="1">
        <v>210</v>
      </c>
      <c r="I246" s="1">
        <v>6.75</v>
      </c>
      <c r="J246" s="1">
        <v>86400</v>
      </c>
      <c r="K246" s="1">
        <v>1200</v>
      </c>
      <c r="L246" s="1">
        <v>6.3</v>
      </c>
      <c r="M246" s="1">
        <v>6.55</v>
      </c>
      <c r="N246" s="1">
        <v>1200</v>
      </c>
      <c r="O246" s="9"/>
      <c r="P246" s="7">
        <f t="shared" ca="1" si="54"/>
        <v>0.23000000000000007</v>
      </c>
      <c r="Q246" s="7">
        <f t="shared" ca="1" si="60"/>
        <v>1.1500000000000003E-2</v>
      </c>
      <c r="R246" s="33">
        <f t="shared" ca="1" si="55"/>
        <v>2760.0000000000009</v>
      </c>
      <c r="S246" s="33">
        <f t="shared" ca="1" si="56"/>
        <v>-9240</v>
      </c>
      <c r="T246" s="33">
        <f t="shared" ca="1" si="61"/>
        <v>2760.0000000000009</v>
      </c>
      <c r="U246" s="7">
        <f t="shared" ca="1" si="57"/>
        <v>0.2987012987012988</v>
      </c>
      <c r="V246" s="7">
        <f t="shared" ca="1" si="58"/>
        <v>-0.97006882028586916</v>
      </c>
      <c r="W246" s="33">
        <f t="shared" ca="1" si="62"/>
        <v>-9240</v>
      </c>
      <c r="X246" s="7">
        <f t="shared" ca="1" si="63"/>
        <v>-1</v>
      </c>
      <c r="Y246" s="7">
        <f t="shared" ca="1" si="64"/>
        <v>-0.7012987012987012</v>
      </c>
      <c r="Z246" s="7">
        <f t="shared" ca="1" si="59"/>
        <v>-0.18631317881483567</v>
      </c>
      <c r="AA246" s="33">
        <f t="shared" ca="1" si="65"/>
        <v>-9240</v>
      </c>
      <c r="AB246" s="7">
        <f t="shared" ca="1" si="66"/>
        <v>-3.3478260869565206</v>
      </c>
      <c r="AC246" s="7">
        <f t="shared" ca="1" si="67"/>
        <v>-1.524562394127611</v>
      </c>
      <c r="AH246" s="34"/>
    </row>
    <row r="247" spans="1:34" x14ac:dyDescent="0.25">
      <c r="A247" s="1">
        <v>244</v>
      </c>
      <c r="B247" s="25">
        <v>44007</v>
      </c>
      <c r="C247" s="10" t="s">
        <v>1695</v>
      </c>
      <c r="D247" s="1">
        <v>104.1</v>
      </c>
      <c r="E247" s="30">
        <v>3500</v>
      </c>
      <c r="F247" s="1">
        <v>92.5</v>
      </c>
      <c r="G247" s="1">
        <v>1.5</v>
      </c>
      <c r="H247" s="1">
        <v>82.5</v>
      </c>
      <c r="I247" s="1">
        <v>0.35</v>
      </c>
      <c r="J247" s="1">
        <v>199500</v>
      </c>
      <c r="K247" s="1">
        <v>3500</v>
      </c>
      <c r="L247" s="1">
        <v>0.35</v>
      </c>
      <c r="M247" s="1">
        <v>0.4</v>
      </c>
      <c r="N247" s="1">
        <v>3500</v>
      </c>
      <c r="O247" s="9"/>
      <c r="P247" s="7">
        <f t="shared" ca="1" si="54"/>
        <v>0.11499999999999999</v>
      </c>
      <c r="Q247" s="7">
        <f t="shared" ca="1" si="60"/>
        <v>5.7499999999999999E-3</v>
      </c>
      <c r="R247" s="33">
        <f t="shared" ca="1" si="55"/>
        <v>4024.9999999999995</v>
      </c>
      <c r="S247" s="33">
        <f t="shared" ca="1" si="56"/>
        <v>-30975</v>
      </c>
      <c r="T247" s="33">
        <f t="shared" ca="1" si="61"/>
        <v>4024.9999999999995</v>
      </c>
      <c r="U247" s="7">
        <f t="shared" ca="1" si="57"/>
        <v>0.12994350282485875</v>
      </c>
      <c r="V247" s="7">
        <f t="shared" ca="1" si="58"/>
        <v>-0.82283039631743171</v>
      </c>
      <c r="W247" s="33">
        <f t="shared" ca="1" si="62"/>
        <v>-30975</v>
      </c>
      <c r="X247" s="7">
        <f t="shared" ca="1" si="63"/>
        <v>-1</v>
      </c>
      <c r="Y247" s="7">
        <f t="shared" ca="1" si="64"/>
        <v>-0.87005649717514122</v>
      </c>
      <c r="Z247" s="7">
        <f t="shared" ca="1" si="59"/>
        <v>-0.28057894158112007</v>
      </c>
      <c r="AA247" s="33">
        <f t="shared" ca="1" si="65"/>
        <v>-30975</v>
      </c>
      <c r="AB247" s="7">
        <f t="shared" ca="1" si="66"/>
        <v>-7.6956521739130448</v>
      </c>
      <c r="AC247" s="7">
        <f t="shared" ca="1" si="67"/>
        <v>-3.7828543355440929</v>
      </c>
      <c r="AH247" s="34"/>
    </row>
    <row r="248" spans="1:34" x14ac:dyDescent="0.25">
      <c r="A248" s="1">
        <v>245</v>
      </c>
      <c r="B248" s="25">
        <v>44007</v>
      </c>
      <c r="C248" s="10" t="s">
        <v>1695</v>
      </c>
      <c r="D248" s="1">
        <v>104.1</v>
      </c>
      <c r="E248" s="30">
        <v>3500</v>
      </c>
      <c r="F248" s="1">
        <v>92.5</v>
      </c>
      <c r="G248" s="1">
        <v>1.5</v>
      </c>
      <c r="H248" s="1">
        <v>85</v>
      </c>
      <c r="I248" s="1">
        <v>0.45</v>
      </c>
      <c r="J248" s="1">
        <v>2243500</v>
      </c>
      <c r="K248" s="1">
        <v>94500</v>
      </c>
      <c r="L248" s="1">
        <v>0.4</v>
      </c>
      <c r="M248" s="1">
        <v>0.45</v>
      </c>
      <c r="N248" s="1">
        <v>7000</v>
      </c>
      <c r="O248" s="9"/>
      <c r="P248" s="7">
        <f t="shared" ca="1" si="54"/>
        <v>0.14000000000000001</v>
      </c>
      <c r="Q248" s="7">
        <f t="shared" ca="1" si="60"/>
        <v>7.000000000000001E-3</v>
      </c>
      <c r="R248" s="33">
        <f t="shared" ca="1" si="55"/>
        <v>3675</v>
      </c>
      <c r="S248" s="33">
        <f t="shared" ca="1" si="56"/>
        <v>-22575</v>
      </c>
      <c r="T248" s="33">
        <f t="shared" ca="1" si="61"/>
        <v>3675</v>
      </c>
      <c r="U248" s="7">
        <f t="shared" ca="1" si="57"/>
        <v>0.16279069767441862</v>
      </c>
      <c r="V248" s="7">
        <f t="shared" ca="1" si="58"/>
        <v>-0.82283039631743171</v>
      </c>
      <c r="W248" s="33">
        <f t="shared" ca="1" si="62"/>
        <v>-22575</v>
      </c>
      <c r="X248" s="7">
        <f t="shared" ca="1" si="63"/>
        <v>-1</v>
      </c>
      <c r="Y248" s="7">
        <f t="shared" ca="1" si="64"/>
        <v>-0.83720930232558133</v>
      </c>
      <c r="Z248" s="7">
        <f t="shared" ca="1" si="59"/>
        <v>-0.28057894158112007</v>
      </c>
      <c r="AA248" s="33">
        <f t="shared" ca="1" si="65"/>
        <v>-22575</v>
      </c>
      <c r="AB248" s="7">
        <f t="shared" ca="1" si="66"/>
        <v>-6.1428571428571432</v>
      </c>
      <c r="AC248" s="7">
        <f t="shared" ca="1" si="67"/>
        <v>-2.9900332225913622</v>
      </c>
      <c r="AH248" s="34"/>
    </row>
    <row r="249" spans="1:34" x14ac:dyDescent="0.25">
      <c r="A249" s="1">
        <v>246</v>
      </c>
      <c r="B249" s="25">
        <v>44007</v>
      </c>
      <c r="C249" s="10" t="s">
        <v>1695</v>
      </c>
      <c r="D249" s="1">
        <v>104.1</v>
      </c>
      <c r="E249" s="30">
        <v>3500</v>
      </c>
      <c r="F249" s="1">
        <v>92.5</v>
      </c>
      <c r="G249" s="1">
        <v>1.5</v>
      </c>
      <c r="H249" s="1">
        <v>87.5</v>
      </c>
      <c r="I249" s="1">
        <v>0.65</v>
      </c>
      <c r="J249" s="1">
        <v>843500</v>
      </c>
      <c r="K249" s="1">
        <v>14000</v>
      </c>
      <c r="L249" s="1">
        <v>0.6</v>
      </c>
      <c r="M249" s="1">
        <v>0.75</v>
      </c>
      <c r="N249" s="1">
        <v>7000</v>
      </c>
      <c r="O249" s="9"/>
      <c r="P249" s="7">
        <f t="shared" ca="1" si="54"/>
        <v>0.16999999999999998</v>
      </c>
      <c r="Q249" s="7">
        <f t="shared" ca="1" si="60"/>
        <v>8.4999999999999989E-3</v>
      </c>
      <c r="R249" s="33">
        <f t="shared" ca="1" si="55"/>
        <v>2975</v>
      </c>
      <c r="S249" s="33">
        <f t="shared" ca="1" si="56"/>
        <v>-14525</v>
      </c>
      <c r="T249" s="33">
        <f t="shared" ca="1" si="61"/>
        <v>2975</v>
      </c>
      <c r="U249" s="7">
        <f t="shared" ca="1" si="57"/>
        <v>0.20481927710843373</v>
      </c>
      <c r="V249" s="7">
        <f t="shared" ca="1" si="58"/>
        <v>-0.82283039631743171</v>
      </c>
      <c r="W249" s="33">
        <f t="shared" ca="1" si="62"/>
        <v>-14525</v>
      </c>
      <c r="X249" s="7">
        <f t="shared" ca="1" si="63"/>
        <v>-1</v>
      </c>
      <c r="Y249" s="7">
        <f t="shared" ca="1" si="64"/>
        <v>-0.79518072289156627</v>
      </c>
      <c r="Z249" s="7">
        <f t="shared" ca="1" si="59"/>
        <v>-0.28057894158112007</v>
      </c>
      <c r="AA249" s="33">
        <f t="shared" ca="1" si="65"/>
        <v>-14525</v>
      </c>
      <c r="AB249" s="7">
        <f t="shared" ca="1" si="66"/>
        <v>-4.882352941176471</v>
      </c>
      <c r="AC249" s="7">
        <f t="shared" ca="1" si="67"/>
        <v>-2.3387668320340187</v>
      </c>
      <c r="AH249" s="34"/>
    </row>
    <row r="250" spans="1:34" x14ac:dyDescent="0.25">
      <c r="A250" s="1">
        <v>247</v>
      </c>
      <c r="B250" s="25">
        <v>44007</v>
      </c>
      <c r="C250" s="10" t="s">
        <v>1695</v>
      </c>
      <c r="D250" s="1">
        <v>104.1</v>
      </c>
      <c r="E250" s="30">
        <v>3500</v>
      </c>
      <c r="F250" s="1">
        <v>92.5</v>
      </c>
      <c r="G250" s="1">
        <v>1.5</v>
      </c>
      <c r="H250" s="1">
        <v>90</v>
      </c>
      <c r="I250" s="1">
        <v>1.1000000000000001</v>
      </c>
      <c r="J250" s="1">
        <v>2075500</v>
      </c>
      <c r="K250" s="1">
        <v>98000</v>
      </c>
      <c r="L250" s="1">
        <v>1</v>
      </c>
      <c r="M250" s="1">
        <v>1.1000000000000001</v>
      </c>
      <c r="N250" s="1">
        <v>52500</v>
      </c>
      <c r="O250" s="9"/>
      <c r="P250" s="7">
        <f t="shared" ca="1" si="54"/>
        <v>0.15999999999999998</v>
      </c>
      <c r="Q250" s="7">
        <f t="shared" ca="1" si="60"/>
        <v>7.9999999999999984E-3</v>
      </c>
      <c r="R250" s="33">
        <f t="shared" ca="1" si="55"/>
        <v>1399.9999999999998</v>
      </c>
      <c r="S250" s="33">
        <f t="shared" ca="1" si="56"/>
        <v>-7350</v>
      </c>
      <c r="T250" s="33">
        <f t="shared" ca="1" si="61"/>
        <v>1399.9999999999998</v>
      </c>
      <c r="U250" s="7">
        <f t="shared" ca="1" si="57"/>
        <v>0.19047619047619044</v>
      </c>
      <c r="V250" s="7">
        <f t="shared" ca="1" si="58"/>
        <v>-0.82283039631743171</v>
      </c>
      <c r="W250" s="33">
        <f t="shared" ca="1" si="62"/>
        <v>-7350</v>
      </c>
      <c r="X250" s="7">
        <f t="shared" ca="1" si="63"/>
        <v>-1</v>
      </c>
      <c r="Y250" s="7">
        <f t="shared" ca="1" si="64"/>
        <v>-0.80952380952380953</v>
      </c>
      <c r="Z250" s="7">
        <f t="shared" ca="1" si="59"/>
        <v>-0.28057894158112007</v>
      </c>
      <c r="AA250" s="33">
        <f t="shared" ca="1" si="65"/>
        <v>-7350</v>
      </c>
      <c r="AB250" s="7">
        <f t="shared" ca="1" si="66"/>
        <v>-5.2500000000000009</v>
      </c>
      <c r="AC250" s="7">
        <f t="shared" ca="1" si="67"/>
        <v>-2.5297619047619051</v>
      </c>
      <c r="AH250" s="34"/>
    </row>
    <row r="251" spans="1:34" x14ac:dyDescent="0.25">
      <c r="A251" s="1">
        <v>248</v>
      </c>
      <c r="B251" s="25">
        <v>44007</v>
      </c>
      <c r="C251" s="10" t="s">
        <v>247</v>
      </c>
      <c r="D251" s="1">
        <v>393.7</v>
      </c>
      <c r="E251" s="30">
        <v>2300</v>
      </c>
      <c r="F251" s="1">
        <v>370</v>
      </c>
      <c r="G251" s="1">
        <v>7.95</v>
      </c>
      <c r="H251" s="1">
        <v>310</v>
      </c>
      <c r="I251" s="1">
        <v>0.7</v>
      </c>
      <c r="J251" s="1">
        <v>34500</v>
      </c>
      <c r="K251" s="1">
        <v>2300</v>
      </c>
      <c r="L251" s="1">
        <v>0.7</v>
      </c>
      <c r="M251" s="1">
        <v>1</v>
      </c>
      <c r="N251" s="1">
        <v>34500</v>
      </c>
      <c r="O251" s="9"/>
      <c r="P251" s="7">
        <f t="shared" ca="1" si="54"/>
        <v>0.12083333333333333</v>
      </c>
      <c r="Q251" s="7">
        <f t="shared" ca="1" si="60"/>
        <v>6.0416666666666665E-3</v>
      </c>
      <c r="R251" s="33">
        <f t="shared" ca="1" si="55"/>
        <v>16675</v>
      </c>
      <c r="S251" s="33">
        <f t="shared" ca="1" si="56"/>
        <v>-121325</v>
      </c>
      <c r="T251" s="33">
        <f t="shared" ca="1" si="61"/>
        <v>16675</v>
      </c>
      <c r="U251" s="7">
        <f t="shared" ca="1" si="57"/>
        <v>0.13744075829383887</v>
      </c>
      <c r="V251" s="7">
        <f t="shared" ca="1" si="58"/>
        <v>-0.19843509073772073</v>
      </c>
      <c r="W251" s="33">
        <f t="shared" ca="1" si="62"/>
        <v>-108499.95901391347</v>
      </c>
      <c r="X251" s="7">
        <f t="shared" ca="1" si="63"/>
        <v>-0.89429185257707366</v>
      </c>
      <c r="Y251" s="7">
        <f t="shared" ca="1" si="64"/>
        <v>-0.75685109428323483</v>
      </c>
      <c r="Z251" s="7">
        <f t="shared" ca="1" si="59"/>
        <v>-6.1209702315831824E-2</v>
      </c>
      <c r="AA251" s="33">
        <f t="shared" ca="1" si="65"/>
        <v>15759.002455991111</v>
      </c>
      <c r="AB251" s="7">
        <f t="shared" ca="1" si="66"/>
        <v>0.94506761355269031</v>
      </c>
      <c r="AC251" s="7">
        <f t="shared" ca="1" si="67"/>
        <v>0.54125418592326457</v>
      </c>
      <c r="AH251" s="34"/>
    </row>
    <row r="252" spans="1:34" x14ac:dyDescent="0.25">
      <c r="A252" s="1">
        <v>249</v>
      </c>
      <c r="B252" s="25">
        <v>44007</v>
      </c>
      <c r="C252" s="10" t="s">
        <v>247</v>
      </c>
      <c r="D252" s="1">
        <v>393.7</v>
      </c>
      <c r="E252" s="30">
        <v>2300</v>
      </c>
      <c r="F252" s="1">
        <v>370</v>
      </c>
      <c r="G252" s="1">
        <v>7.95</v>
      </c>
      <c r="H252" s="1">
        <v>320</v>
      </c>
      <c r="I252" s="1">
        <v>0.85</v>
      </c>
      <c r="J252" s="1">
        <v>108100</v>
      </c>
      <c r="K252" s="1">
        <v>4600</v>
      </c>
      <c r="L252" s="1">
        <v>0.75</v>
      </c>
      <c r="M252" s="1">
        <v>0.85</v>
      </c>
      <c r="N252" s="1">
        <v>2300</v>
      </c>
      <c r="O252" s="9"/>
      <c r="P252" s="7">
        <f t="shared" ca="1" si="54"/>
        <v>0.14200000000000002</v>
      </c>
      <c r="Q252" s="7">
        <f t="shared" ca="1" si="60"/>
        <v>7.1000000000000004E-3</v>
      </c>
      <c r="R252" s="33">
        <f t="shared" ca="1" si="55"/>
        <v>16330.000000000002</v>
      </c>
      <c r="S252" s="33">
        <f t="shared" ca="1" si="56"/>
        <v>-98670</v>
      </c>
      <c r="T252" s="33">
        <f t="shared" ca="1" si="61"/>
        <v>16330.000000000002</v>
      </c>
      <c r="U252" s="7">
        <f t="shared" ca="1" si="57"/>
        <v>0.16550116550116553</v>
      </c>
      <c r="V252" s="7">
        <f t="shared" ca="1" si="58"/>
        <v>-0.19843509073772073</v>
      </c>
      <c r="W252" s="33">
        <f t="shared" ca="1" si="62"/>
        <v>-98670</v>
      </c>
      <c r="X252" s="7">
        <f t="shared" ca="1" si="63"/>
        <v>-1</v>
      </c>
      <c r="Y252" s="7">
        <f t="shared" ca="1" si="64"/>
        <v>-0.83449883449883444</v>
      </c>
      <c r="Z252" s="7">
        <f t="shared" ca="1" si="59"/>
        <v>-6.1209702315831824E-2</v>
      </c>
      <c r="AA252" s="33">
        <f t="shared" ca="1" si="65"/>
        <v>15414.002455991113</v>
      </c>
      <c r="AB252" s="7">
        <f t="shared" ca="1" si="66"/>
        <v>0.9439070701770429</v>
      </c>
      <c r="AC252" s="7">
        <f t="shared" ca="1" si="67"/>
        <v>0.55470411783910423</v>
      </c>
      <c r="AH252" s="34"/>
    </row>
    <row r="253" spans="1:34" x14ac:dyDescent="0.25">
      <c r="A253" s="1">
        <v>250</v>
      </c>
      <c r="B253" s="25">
        <v>44007</v>
      </c>
      <c r="C253" s="10" t="s">
        <v>247</v>
      </c>
      <c r="D253" s="1">
        <v>393.7</v>
      </c>
      <c r="E253" s="30">
        <v>2300</v>
      </c>
      <c r="F253" s="1">
        <v>370</v>
      </c>
      <c r="G253" s="1">
        <v>7.95</v>
      </c>
      <c r="H253" s="1">
        <v>330</v>
      </c>
      <c r="I253" s="1">
        <v>1.4</v>
      </c>
      <c r="J253" s="1">
        <v>112700</v>
      </c>
      <c r="K253" s="1">
        <v>2300</v>
      </c>
      <c r="L253" s="1">
        <v>1.3</v>
      </c>
      <c r="M253" s="1">
        <v>1.55</v>
      </c>
      <c r="N253" s="1">
        <v>2300</v>
      </c>
      <c r="O253" s="9"/>
      <c r="P253" s="7">
        <f t="shared" ca="1" si="54"/>
        <v>0.16375000000000001</v>
      </c>
      <c r="Q253" s="7">
        <f t="shared" ca="1" si="60"/>
        <v>8.1875000000000003E-3</v>
      </c>
      <c r="R253" s="33">
        <f t="shared" ca="1" si="55"/>
        <v>15065.000000000002</v>
      </c>
      <c r="S253" s="33">
        <f t="shared" ca="1" si="56"/>
        <v>-76935</v>
      </c>
      <c r="T253" s="33">
        <f t="shared" ca="1" si="61"/>
        <v>15065.000000000002</v>
      </c>
      <c r="U253" s="7">
        <f t="shared" ca="1" si="57"/>
        <v>0.19581464872944696</v>
      </c>
      <c r="V253" s="7">
        <f t="shared" ca="1" si="58"/>
        <v>-0.19843509073772073</v>
      </c>
      <c r="W253" s="33">
        <f t="shared" ca="1" si="62"/>
        <v>-76935</v>
      </c>
      <c r="X253" s="7">
        <f t="shared" ca="1" si="63"/>
        <v>-1</v>
      </c>
      <c r="Y253" s="7">
        <f t="shared" ca="1" si="64"/>
        <v>-0.80418535127055302</v>
      </c>
      <c r="Z253" s="7">
        <f t="shared" ca="1" si="59"/>
        <v>-6.1209702315831824E-2</v>
      </c>
      <c r="AA253" s="33">
        <f t="shared" ca="1" si="65"/>
        <v>14149.002455991113</v>
      </c>
      <c r="AB253" s="7">
        <f t="shared" ca="1" si="66"/>
        <v>0.93919697683313053</v>
      </c>
      <c r="AC253" s="7">
        <f t="shared" ca="1" si="67"/>
        <v>0.56750581278128875</v>
      </c>
      <c r="AH253" s="34"/>
    </row>
    <row r="254" spans="1:34" x14ac:dyDescent="0.25">
      <c r="A254" s="1">
        <v>251</v>
      </c>
      <c r="B254" s="25">
        <v>44007</v>
      </c>
      <c r="C254" s="10" t="s">
        <v>247</v>
      </c>
      <c r="D254" s="1">
        <v>393.7</v>
      </c>
      <c r="E254" s="30">
        <v>2300</v>
      </c>
      <c r="F254" s="1">
        <v>370</v>
      </c>
      <c r="G254" s="1">
        <v>7.95</v>
      </c>
      <c r="H254" s="1">
        <v>340</v>
      </c>
      <c r="I254" s="1">
        <v>2.35</v>
      </c>
      <c r="J254" s="1">
        <v>161000</v>
      </c>
      <c r="K254" s="1">
        <v>2300</v>
      </c>
      <c r="L254" s="1">
        <v>2.0499999999999998</v>
      </c>
      <c r="M254" s="1">
        <v>2.35</v>
      </c>
      <c r="N254" s="1">
        <v>2300</v>
      </c>
      <c r="O254" s="9"/>
      <c r="P254" s="7">
        <f t="shared" ca="1" si="54"/>
        <v>0.18666666666666665</v>
      </c>
      <c r="Q254" s="7">
        <f t="shared" ca="1" si="60"/>
        <v>9.3333333333333324E-3</v>
      </c>
      <c r="R254" s="33">
        <f t="shared" ca="1" si="55"/>
        <v>12880</v>
      </c>
      <c r="S254" s="33">
        <f t="shared" ca="1" si="56"/>
        <v>-56120</v>
      </c>
      <c r="T254" s="33">
        <f t="shared" ca="1" si="61"/>
        <v>12880</v>
      </c>
      <c r="U254" s="7">
        <f t="shared" ca="1" si="57"/>
        <v>0.22950819672131148</v>
      </c>
      <c r="V254" s="7">
        <f t="shared" ca="1" si="58"/>
        <v>-0.19843509073772073</v>
      </c>
      <c r="W254" s="33">
        <f t="shared" ca="1" si="62"/>
        <v>-56120</v>
      </c>
      <c r="X254" s="7">
        <f t="shared" ca="1" si="63"/>
        <v>-1</v>
      </c>
      <c r="Y254" s="7">
        <f t="shared" ca="1" si="64"/>
        <v>-0.77049180327868849</v>
      </c>
      <c r="Z254" s="7">
        <f t="shared" ca="1" si="59"/>
        <v>-6.1209702315831824E-2</v>
      </c>
      <c r="AA254" s="33">
        <f t="shared" ca="1" si="65"/>
        <v>11964.002455991111</v>
      </c>
      <c r="AB254" s="7">
        <f t="shared" ca="1" si="66"/>
        <v>0.92888217826017938</v>
      </c>
      <c r="AC254" s="7">
        <f t="shared" ca="1" si="67"/>
        <v>0.57919518749074539</v>
      </c>
      <c r="AH254" s="34"/>
    </row>
    <row r="255" spans="1:34" x14ac:dyDescent="0.25">
      <c r="A255" s="1">
        <v>252</v>
      </c>
      <c r="B255" s="25">
        <v>44007</v>
      </c>
      <c r="C255" s="10" t="s">
        <v>247</v>
      </c>
      <c r="D255" s="1">
        <v>393.7</v>
      </c>
      <c r="E255" s="30">
        <v>2300</v>
      </c>
      <c r="F255" s="1">
        <v>370</v>
      </c>
      <c r="G255" s="1">
        <v>7.95</v>
      </c>
      <c r="H255" s="1">
        <v>350</v>
      </c>
      <c r="I255" s="1">
        <v>3.55</v>
      </c>
      <c r="J255" s="1">
        <v>246100</v>
      </c>
      <c r="K255" s="1">
        <v>2300</v>
      </c>
      <c r="L255" s="1">
        <v>3.45</v>
      </c>
      <c r="M255" s="1">
        <v>3.6</v>
      </c>
      <c r="N255" s="1">
        <v>2300</v>
      </c>
      <c r="O255" s="9"/>
      <c r="P255" s="7">
        <f t="shared" ca="1" si="54"/>
        <v>0.22000000000000003</v>
      </c>
      <c r="Q255" s="7">
        <f t="shared" ca="1" si="60"/>
        <v>1.1000000000000001E-2</v>
      </c>
      <c r="R255" s="33">
        <f t="shared" ca="1" si="55"/>
        <v>10120</v>
      </c>
      <c r="S255" s="33">
        <f t="shared" ca="1" si="56"/>
        <v>-35880</v>
      </c>
      <c r="T255" s="33">
        <f t="shared" ca="1" si="61"/>
        <v>10120</v>
      </c>
      <c r="U255" s="7">
        <f t="shared" ca="1" si="57"/>
        <v>0.28205128205128205</v>
      </c>
      <c r="V255" s="7">
        <f t="shared" ca="1" si="58"/>
        <v>-0.19843509073772073</v>
      </c>
      <c r="W255" s="33">
        <f t="shared" ca="1" si="62"/>
        <v>-35880</v>
      </c>
      <c r="X255" s="7">
        <f t="shared" ca="1" si="63"/>
        <v>-1</v>
      </c>
      <c r="Y255" s="7">
        <f t="shared" ca="1" si="64"/>
        <v>-0.71794871794871795</v>
      </c>
      <c r="Z255" s="7">
        <f t="shared" ca="1" si="59"/>
        <v>-6.1209702315831824E-2</v>
      </c>
      <c r="AA255" s="33">
        <f t="shared" ca="1" si="65"/>
        <v>9204.0024559911108</v>
      </c>
      <c r="AB255" s="7">
        <f t="shared" ca="1" si="66"/>
        <v>0.90948640869477382</v>
      </c>
      <c r="AC255" s="7">
        <f t="shared" ca="1" si="67"/>
        <v>0.59576884537302788</v>
      </c>
      <c r="AH255" s="34"/>
    </row>
    <row r="256" spans="1:34" x14ac:dyDescent="0.25">
      <c r="A256" s="1">
        <v>253</v>
      </c>
      <c r="B256" s="25">
        <v>44007</v>
      </c>
      <c r="C256" s="10" t="s">
        <v>247</v>
      </c>
      <c r="D256" s="1">
        <v>393.7</v>
      </c>
      <c r="E256" s="30">
        <v>2300</v>
      </c>
      <c r="F256" s="1">
        <v>370</v>
      </c>
      <c r="G256" s="1">
        <v>7.95</v>
      </c>
      <c r="H256" s="1">
        <v>360</v>
      </c>
      <c r="I256" s="1">
        <v>5.4</v>
      </c>
      <c r="J256" s="1">
        <v>220800</v>
      </c>
      <c r="K256" s="1">
        <v>2300</v>
      </c>
      <c r="L256" s="1">
        <v>5.4</v>
      </c>
      <c r="M256" s="1">
        <v>5.55</v>
      </c>
      <c r="N256" s="1">
        <v>4600</v>
      </c>
      <c r="O256" s="9"/>
      <c r="P256" s="7">
        <f t="shared" ca="1" si="54"/>
        <v>0.255</v>
      </c>
      <c r="Q256" s="7">
        <f t="shared" ca="1" si="60"/>
        <v>1.2750000000000001E-2</v>
      </c>
      <c r="R256" s="33">
        <f t="shared" ca="1" si="55"/>
        <v>5865</v>
      </c>
      <c r="S256" s="33">
        <f t="shared" ca="1" si="56"/>
        <v>-17135</v>
      </c>
      <c r="T256" s="33">
        <f t="shared" ca="1" si="61"/>
        <v>5865</v>
      </c>
      <c r="U256" s="7">
        <f t="shared" ca="1" si="57"/>
        <v>0.34228187919463088</v>
      </c>
      <c r="V256" s="7">
        <f t="shared" ca="1" si="58"/>
        <v>-0.19843509073772073</v>
      </c>
      <c r="W256" s="33">
        <f t="shared" ca="1" si="62"/>
        <v>-17135</v>
      </c>
      <c r="X256" s="7">
        <f t="shared" ca="1" si="63"/>
        <v>-1</v>
      </c>
      <c r="Y256" s="7">
        <f t="shared" ca="1" si="64"/>
        <v>-0.65771812080536907</v>
      </c>
      <c r="Z256" s="7">
        <f t="shared" ca="1" si="59"/>
        <v>-6.1209702315831824E-2</v>
      </c>
      <c r="AA256" s="33">
        <f t="shared" ca="1" si="65"/>
        <v>4949.0024559911117</v>
      </c>
      <c r="AB256" s="7">
        <f t="shared" ca="1" si="66"/>
        <v>0.84381968559098242</v>
      </c>
      <c r="AC256" s="7">
        <f t="shared" ca="1" si="67"/>
        <v>0.59305078239280662</v>
      </c>
      <c r="AH256" s="34"/>
    </row>
    <row r="257" spans="1:34" x14ac:dyDescent="0.25">
      <c r="A257" s="1">
        <v>254</v>
      </c>
      <c r="B257" s="25">
        <v>44007</v>
      </c>
      <c r="C257" s="10" t="s">
        <v>247</v>
      </c>
      <c r="D257" s="1">
        <v>393.7</v>
      </c>
      <c r="E257" s="30">
        <v>2300</v>
      </c>
      <c r="F257" s="1">
        <v>370</v>
      </c>
      <c r="G257" s="1">
        <v>7.95</v>
      </c>
      <c r="H257" s="1">
        <v>365</v>
      </c>
      <c r="I257" s="1">
        <v>7.35</v>
      </c>
      <c r="J257" s="1">
        <v>41400</v>
      </c>
      <c r="K257" s="1">
        <v>2300</v>
      </c>
      <c r="L257" s="1">
        <v>6.6</v>
      </c>
      <c r="M257" s="1">
        <v>6.8</v>
      </c>
      <c r="N257" s="1">
        <v>4600</v>
      </c>
      <c r="O257" s="9"/>
      <c r="P257" s="7">
        <f t="shared" ca="1" si="54"/>
        <v>0.12000000000000011</v>
      </c>
      <c r="Q257" s="7">
        <f t="shared" ca="1" si="60"/>
        <v>6.0000000000000053E-3</v>
      </c>
      <c r="R257" s="33">
        <f t="shared" ca="1" si="55"/>
        <v>1380.0000000000011</v>
      </c>
      <c r="S257" s="33">
        <f t="shared" ca="1" si="56"/>
        <v>-10119.999999999998</v>
      </c>
      <c r="T257" s="33">
        <f t="shared" ca="1" si="61"/>
        <v>1380.0000000000011</v>
      </c>
      <c r="U257" s="7">
        <f t="shared" ca="1" si="57"/>
        <v>0.13636363636363649</v>
      </c>
      <c r="V257" s="7">
        <f t="shared" ca="1" si="58"/>
        <v>-0.19843509073772073</v>
      </c>
      <c r="W257" s="33">
        <f t="shared" ca="1" si="62"/>
        <v>-10119.999999999998</v>
      </c>
      <c r="X257" s="7">
        <f t="shared" ca="1" si="63"/>
        <v>-1</v>
      </c>
      <c r="Y257" s="7">
        <f t="shared" ca="1" si="64"/>
        <v>-0.86363636363636354</v>
      </c>
      <c r="Z257" s="7">
        <f t="shared" ca="1" si="59"/>
        <v>-6.1209702315831824E-2</v>
      </c>
      <c r="AA257" s="33">
        <f t="shared" ca="1" si="65"/>
        <v>464.00245599111258</v>
      </c>
      <c r="AB257" s="7">
        <f t="shared" ca="1" si="66"/>
        <v>0.33623366376167552</v>
      </c>
      <c r="AC257" s="7">
        <f t="shared" ca="1" si="67"/>
        <v>0.23629865006265599</v>
      </c>
      <c r="AH257" s="34"/>
    </row>
    <row r="258" spans="1:34" x14ac:dyDescent="0.25">
      <c r="A258" s="1">
        <v>255</v>
      </c>
      <c r="B258" s="25">
        <v>44007</v>
      </c>
      <c r="C258" s="10" t="s">
        <v>327</v>
      </c>
      <c r="D258" s="1">
        <v>657.5</v>
      </c>
      <c r="E258" s="30">
        <v>1150</v>
      </c>
      <c r="F258" s="1">
        <v>590</v>
      </c>
      <c r="G258" s="1">
        <v>5.0999999999999996</v>
      </c>
      <c r="H258" s="1">
        <v>560</v>
      </c>
      <c r="I258" s="1">
        <v>2</v>
      </c>
      <c r="J258" s="1">
        <v>24150</v>
      </c>
      <c r="K258" s="1">
        <v>1150</v>
      </c>
      <c r="L258" s="1">
        <v>1.65</v>
      </c>
      <c r="M258" s="1">
        <v>2.2999999999999998</v>
      </c>
      <c r="N258" s="1">
        <v>1150</v>
      </c>
      <c r="O258" s="9"/>
      <c r="P258" s="7">
        <f t="shared" ca="1" si="54"/>
        <v>0.10333333333333332</v>
      </c>
      <c r="Q258" s="7">
        <f t="shared" ca="1" si="60"/>
        <v>5.1666666666666658E-3</v>
      </c>
      <c r="R258" s="33">
        <f t="shared" ca="1" si="55"/>
        <v>3564.9999999999995</v>
      </c>
      <c r="S258" s="33">
        <f t="shared" ca="1" si="56"/>
        <v>-30935</v>
      </c>
      <c r="T258" s="33">
        <f t="shared" ca="1" si="61"/>
        <v>3564.9999999999995</v>
      </c>
      <c r="U258" s="7">
        <f t="shared" ca="1" si="57"/>
        <v>0.11524163568773232</v>
      </c>
      <c r="V258" s="7">
        <f t="shared" ca="1" si="58"/>
        <v>-0.17608406720133871</v>
      </c>
      <c r="W258" s="33">
        <f t="shared" ca="1" si="62"/>
        <v>-30935</v>
      </c>
      <c r="X258" s="7">
        <f t="shared" ca="1" si="63"/>
        <v>-1</v>
      </c>
      <c r="Y258" s="7">
        <f t="shared" ca="1" si="64"/>
        <v>-0.88475836431226762</v>
      </c>
      <c r="Z258" s="7">
        <f t="shared" ca="1" si="59"/>
        <v>-5.9527404472965832E-2</v>
      </c>
      <c r="AA258" s="33">
        <f t="shared" ca="1" si="65"/>
        <v>3564.9999999999995</v>
      </c>
      <c r="AB258" s="7">
        <f t="shared" ca="1" si="66"/>
        <v>1</v>
      </c>
      <c r="AC258" s="7">
        <f t="shared" ca="1" si="67"/>
        <v>0.55762081784386619</v>
      </c>
      <c r="AH258" s="34"/>
    </row>
    <row r="259" spans="1:34" x14ac:dyDescent="0.25">
      <c r="A259" s="1">
        <v>256</v>
      </c>
      <c r="B259" s="25">
        <v>44007</v>
      </c>
      <c r="C259" s="10" t="s">
        <v>327</v>
      </c>
      <c r="D259" s="1">
        <v>657.5</v>
      </c>
      <c r="E259" s="30">
        <v>1150</v>
      </c>
      <c r="F259" s="1">
        <v>590</v>
      </c>
      <c r="G259" s="1">
        <v>5.0999999999999996</v>
      </c>
      <c r="H259" s="1">
        <v>580</v>
      </c>
      <c r="I259" s="1">
        <v>3.85</v>
      </c>
      <c r="J259" s="1">
        <v>136850</v>
      </c>
      <c r="K259" s="1">
        <v>3450</v>
      </c>
      <c r="L259" s="1">
        <v>3.3</v>
      </c>
      <c r="M259" s="1">
        <v>3.55</v>
      </c>
      <c r="N259" s="1">
        <v>1150</v>
      </c>
      <c r="O259" s="9"/>
      <c r="P259" s="7">
        <f t="shared" ca="1" si="54"/>
        <v>0.12499999999999996</v>
      </c>
      <c r="Q259" s="7">
        <f t="shared" ca="1" si="60"/>
        <v>6.2499999999999977E-3</v>
      </c>
      <c r="R259" s="33">
        <f t="shared" ca="1" si="55"/>
        <v>1437.4999999999995</v>
      </c>
      <c r="S259" s="33">
        <f t="shared" ca="1" si="56"/>
        <v>-10062.5</v>
      </c>
      <c r="T259" s="33">
        <f t="shared" ca="1" si="61"/>
        <v>1437.4999999999995</v>
      </c>
      <c r="U259" s="7">
        <f t="shared" ca="1" si="57"/>
        <v>0.14285714285714282</v>
      </c>
      <c r="V259" s="7">
        <f t="shared" ca="1" si="58"/>
        <v>-0.17608406720133871</v>
      </c>
      <c r="W259" s="33">
        <f t="shared" ca="1" si="62"/>
        <v>-10062.5</v>
      </c>
      <c r="X259" s="7">
        <f t="shared" ca="1" si="63"/>
        <v>-1</v>
      </c>
      <c r="Y259" s="7">
        <f t="shared" ca="1" si="64"/>
        <v>-0.85714285714285721</v>
      </c>
      <c r="Z259" s="7">
        <f t="shared" ca="1" si="59"/>
        <v>-5.9527404472965832E-2</v>
      </c>
      <c r="AA259" s="33">
        <f t="shared" ca="1" si="65"/>
        <v>1437.4999999999995</v>
      </c>
      <c r="AB259" s="7">
        <f t="shared" ca="1" si="66"/>
        <v>1</v>
      </c>
      <c r="AC259" s="7">
        <f t="shared" ca="1" si="67"/>
        <v>0.5714285714285714</v>
      </c>
      <c r="AH259" s="34"/>
    </row>
    <row r="260" spans="1:34" x14ac:dyDescent="0.25">
      <c r="A260" s="1">
        <v>257</v>
      </c>
      <c r="B260" s="25">
        <v>44007</v>
      </c>
      <c r="C260" s="10" t="s">
        <v>696</v>
      </c>
      <c r="D260" s="1">
        <v>489.35</v>
      </c>
      <c r="E260" s="30">
        <v>1375</v>
      </c>
      <c r="F260" s="1">
        <v>450</v>
      </c>
      <c r="G260" s="1">
        <v>7.5</v>
      </c>
      <c r="H260" s="1">
        <v>400</v>
      </c>
      <c r="I260" s="1">
        <v>1.05</v>
      </c>
      <c r="J260" s="1">
        <v>37125</v>
      </c>
      <c r="K260" s="1">
        <v>2750</v>
      </c>
      <c r="L260" s="1">
        <v>1.05</v>
      </c>
      <c r="M260" s="1">
        <v>1.45</v>
      </c>
      <c r="N260" s="1">
        <v>2750</v>
      </c>
      <c r="O260" s="9"/>
      <c r="P260" s="7">
        <f t="shared" ref="P260:P323" ca="1" si="68">($G260-$I260)/($F260-$H260)</f>
        <v>0.129</v>
      </c>
      <c r="Q260" s="7">
        <f t="shared" ca="1" si="60"/>
        <v>6.45E-3</v>
      </c>
      <c r="R260" s="33">
        <f t="shared" ref="R260:R323" ca="1" si="69">$E260*($G260-$I260)</f>
        <v>8868.75</v>
      </c>
      <c r="S260" s="33">
        <f t="shared" ref="S260:S323" ca="1" si="70">-(($F260-$H260)*$E260-$R260)</f>
        <v>-59881.25</v>
      </c>
      <c r="T260" s="33">
        <f t="shared" ca="1" si="61"/>
        <v>8868.75</v>
      </c>
      <c r="U260" s="7">
        <f t="shared" ref="U260:U323" ca="1" si="71">ABS($T260/$S260)</f>
        <v>0.14810562571756603</v>
      </c>
      <c r="V260" s="7">
        <f t="shared" ref="V260:V323" ca="1" si="72">mrigxl_max_drawdown($C260,INT($B260-TODAY()))</f>
        <v>-0.45061286989945015</v>
      </c>
      <c r="W260" s="33">
        <f t="shared" ca="1" si="62"/>
        <v>-59881.25</v>
      </c>
      <c r="X260" s="7">
        <f t="shared" ca="1" si="63"/>
        <v>-1</v>
      </c>
      <c r="Y260" s="7">
        <f t="shared" ca="1" si="64"/>
        <v>-0.85189437428243397</v>
      </c>
      <c r="Z260" s="7">
        <f t="shared" ref="Z260:Z323" ca="1" si="73">mrigxl_avg_drawdown($C260,INT($B260-TODAY()))</f>
        <v>-0.10477905606029363</v>
      </c>
      <c r="AA260" s="33">
        <f t="shared" ca="1" si="65"/>
        <v>-7526.2427392688587</v>
      </c>
      <c r="AB260" s="7">
        <f t="shared" ca="1" si="66"/>
        <v>-0.84862497412474802</v>
      </c>
      <c r="AC260" s="7">
        <f t="shared" ca="1" si="67"/>
        <v>-0.350259674203591</v>
      </c>
      <c r="AH260" s="34"/>
    </row>
    <row r="261" spans="1:34" x14ac:dyDescent="0.25">
      <c r="A261" s="1">
        <v>258</v>
      </c>
      <c r="B261" s="25">
        <v>44007</v>
      </c>
      <c r="C261" s="10" t="s">
        <v>696</v>
      </c>
      <c r="D261" s="1">
        <v>489.35</v>
      </c>
      <c r="E261" s="30">
        <v>1375</v>
      </c>
      <c r="F261" s="1">
        <v>450</v>
      </c>
      <c r="G261" s="1">
        <v>7.5</v>
      </c>
      <c r="H261" s="1">
        <v>430</v>
      </c>
      <c r="I261" s="1">
        <v>3</v>
      </c>
      <c r="J261" s="1">
        <v>41250</v>
      </c>
      <c r="K261" s="1">
        <v>12375</v>
      </c>
      <c r="L261" s="1">
        <v>2.25</v>
      </c>
      <c r="M261" s="1">
        <v>4.8499999999999996</v>
      </c>
      <c r="N261" s="1">
        <v>12375</v>
      </c>
      <c r="O261" s="9"/>
      <c r="P261" s="7">
        <f t="shared" ca="1" si="68"/>
        <v>0.22500000000000001</v>
      </c>
      <c r="Q261" s="7">
        <f t="shared" ca="1" si="60"/>
        <v>1.125E-2</v>
      </c>
      <c r="R261" s="33">
        <f t="shared" ca="1" si="69"/>
        <v>6187.5</v>
      </c>
      <c r="S261" s="33">
        <f t="shared" ca="1" si="70"/>
        <v>-21312.5</v>
      </c>
      <c r="T261" s="33">
        <f t="shared" ca="1" si="61"/>
        <v>6187.5</v>
      </c>
      <c r="U261" s="7">
        <f t="shared" ca="1" si="71"/>
        <v>0.29032258064516131</v>
      </c>
      <c r="V261" s="7">
        <f t="shared" ca="1" si="72"/>
        <v>-0.45061286989945015</v>
      </c>
      <c r="W261" s="33">
        <f t="shared" ca="1" si="62"/>
        <v>-21312.5</v>
      </c>
      <c r="X261" s="7">
        <f t="shared" ca="1" si="63"/>
        <v>-1</v>
      </c>
      <c r="Y261" s="7">
        <f t="shared" ca="1" si="64"/>
        <v>-0.70967741935483875</v>
      </c>
      <c r="Z261" s="7">
        <f t="shared" ca="1" si="73"/>
        <v>-0.10477905606029363</v>
      </c>
      <c r="AA261" s="33">
        <f t="shared" ca="1" si="65"/>
        <v>-10207.492739268859</v>
      </c>
      <c r="AB261" s="7">
        <f t="shared" ca="1" si="66"/>
        <v>-1.6496957962454721</v>
      </c>
      <c r="AC261" s="7">
        <f t="shared" ca="1" si="67"/>
        <v>-0.67968660780015544</v>
      </c>
      <c r="AH261" s="34"/>
    </row>
    <row r="262" spans="1:34" x14ac:dyDescent="0.25">
      <c r="A262" s="1">
        <v>259</v>
      </c>
      <c r="B262" s="25">
        <v>44007</v>
      </c>
      <c r="C262" s="10" t="s">
        <v>696</v>
      </c>
      <c r="D262" s="1">
        <v>489.35</v>
      </c>
      <c r="E262" s="30">
        <v>1375</v>
      </c>
      <c r="F262" s="1">
        <v>450</v>
      </c>
      <c r="G262" s="1">
        <v>7.5</v>
      </c>
      <c r="H262" s="1">
        <v>440</v>
      </c>
      <c r="I262" s="1">
        <v>5.15</v>
      </c>
      <c r="J262" s="1">
        <v>75625</v>
      </c>
      <c r="K262" s="1">
        <v>2750</v>
      </c>
      <c r="L262" s="1">
        <v>5.05</v>
      </c>
      <c r="M262" s="1">
        <v>5.25</v>
      </c>
      <c r="N262" s="1">
        <v>2750</v>
      </c>
      <c r="O262" s="9"/>
      <c r="P262" s="7">
        <f t="shared" ca="1" si="68"/>
        <v>0.23499999999999996</v>
      </c>
      <c r="Q262" s="7">
        <f t="shared" ca="1" si="60"/>
        <v>1.1749999999999998E-2</v>
      </c>
      <c r="R262" s="33">
        <f t="shared" ca="1" si="69"/>
        <v>3231.2499999999995</v>
      </c>
      <c r="S262" s="33">
        <f t="shared" ca="1" si="70"/>
        <v>-10518.75</v>
      </c>
      <c r="T262" s="33">
        <f t="shared" ca="1" si="61"/>
        <v>3231.2499999999995</v>
      </c>
      <c r="U262" s="7">
        <f t="shared" ca="1" si="71"/>
        <v>0.30718954248366009</v>
      </c>
      <c r="V262" s="7">
        <f t="shared" ca="1" si="72"/>
        <v>-0.45061286989945015</v>
      </c>
      <c r="W262" s="33">
        <f t="shared" ca="1" si="62"/>
        <v>-10518.75</v>
      </c>
      <c r="X262" s="7">
        <f t="shared" ca="1" si="63"/>
        <v>-1</v>
      </c>
      <c r="Y262" s="7">
        <f t="shared" ca="1" si="64"/>
        <v>-0.69281045751633985</v>
      </c>
      <c r="Z262" s="7">
        <f t="shared" ca="1" si="73"/>
        <v>-0.10477905606029363</v>
      </c>
      <c r="AA262" s="33">
        <f t="shared" ca="1" si="65"/>
        <v>-10518.75</v>
      </c>
      <c r="AB262" s="7">
        <f t="shared" ca="1" si="66"/>
        <v>-3.2553191489361706</v>
      </c>
      <c r="AC262" s="7">
        <f t="shared" ca="1" si="67"/>
        <v>-1.4740648032262553</v>
      </c>
      <c r="AH262" s="34"/>
    </row>
    <row r="263" spans="1:34" x14ac:dyDescent="0.25">
      <c r="A263" s="1">
        <v>260</v>
      </c>
      <c r="B263" s="25">
        <v>44007</v>
      </c>
      <c r="C263" s="10" t="s">
        <v>1726</v>
      </c>
      <c r="D263" s="1">
        <v>579.1</v>
      </c>
      <c r="E263" s="30">
        <v>1000</v>
      </c>
      <c r="F263" s="1">
        <v>530</v>
      </c>
      <c r="G263" s="1">
        <v>8.1</v>
      </c>
      <c r="H263" s="1">
        <v>470</v>
      </c>
      <c r="I263" s="1">
        <v>1.8</v>
      </c>
      <c r="J263" s="1">
        <v>46000</v>
      </c>
      <c r="K263" s="1">
        <v>1000</v>
      </c>
      <c r="L263" s="1">
        <v>1.55</v>
      </c>
      <c r="M263" s="1">
        <v>1.95</v>
      </c>
      <c r="N263" s="1">
        <v>1000</v>
      </c>
      <c r="O263" s="9"/>
      <c r="P263" s="7">
        <f t="shared" ca="1" si="68"/>
        <v>0.105</v>
      </c>
      <c r="Q263" s="7">
        <f t="shared" ca="1" si="60"/>
        <v>5.2499999999999995E-3</v>
      </c>
      <c r="R263" s="33">
        <f t="shared" ca="1" si="69"/>
        <v>6300</v>
      </c>
      <c r="S263" s="33">
        <f t="shared" ca="1" si="70"/>
        <v>-53700</v>
      </c>
      <c r="T263" s="33">
        <f t="shared" ca="1" si="61"/>
        <v>6300</v>
      </c>
      <c r="U263" s="7">
        <f t="shared" ca="1" si="71"/>
        <v>0.11731843575418995</v>
      </c>
      <c r="V263" s="7">
        <f t="shared" ca="1" si="72"/>
        <v>-0.41582897273049846</v>
      </c>
      <c r="W263" s="33">
        <f t="shared" ca="1" si="62"/>
        <v>-53700</v>
      </c>
      <c r="X263" s="7">
        <f t="shared" ca="1" si="63"/>
        <v>-1</v>
      </c>
      <c r="Y263" s="7">
        <f t="shared" ca="1" si="64"/>
        <v>-0.88268156424581001</v>
      </c>
      <c r="Z263" s="7">
        <f t="shared" ca="1" si="73"/>
        <v>-9.7980264886534801E-2</v>
      </c>
      <c r="AA263" s="33">
        <f t="shared" ca="1" si="65"/>
        <v>-1340.3713957922719</v>
      </c>
      <c r="AB263" s="7">
        <f t="shared" ca="1" si="66"/>
        <v>-0.21275736441147172</v>
      </c>
      <c r="AC263" s="7">
        <f t="shared" ca="1" si="67"/>
        <v>-4.7719464328640888E-2</v>
      </c>
      <c r="AH263" s="34"/>
    </row>
    <row r="264" spans="1:34" x14ac:dyDescent="0.25">
      <c r="A264" s="1">
        <v>261</v>
      </c>
      <c r="B264" s="25">
        <v>44007</v>
      </c>
      <c r="C264" s="10" t="s">
        <v>1726</v>
      </c>
      <c r="D264" s="1">
        <v>579.1</v>
      </c>
      <c r="E264" s="30">
        <v>1000</v>
      </c>
      <c r="F264" s="1">
        <v>530</v>
      </c>
      <c r="G264" s="1">
        <v>8.1</v>
      </c>
      <c r="H264" s="1">
        <v>480</v>
      </c>
      <c r="I264" s="1">
        <v>2.5</v>
      </c>
      <c r="J264" s="1">
        <v>105000</v>
      </c>
      <c r="K264" s="1">
        <v>1000</v>
      </c>
      <c r="L264" s="1">
        <v>2.15</v>
      </c>
      <c r="M264" s="1">
        <v>2.85</v>
      </c>
      <c r="N264" s="1">
        <v>2000</v>
      </c>
      <c r="O264" s="9"/>
      <c r="P264" s="7">
        <f t="shared" ca="1" si="68"/>
        <v>0.11199999999999999</v>
      </c>
      <c r="Q264" s="7">
        <f t="shared" ca="1" si="60"/>
        <v>5.5999999999999991E-3</v>
      </c>
      <c r="R264" s="33">
        <f t="shared" ca="1" si="69"/>
        <v>5600</v>
      </c>
      <c r="S264" s="33">
        <f t="shared" ca="1" si="70"/>
        <v>-44400</v>
      </c>
      <c r="T264" s="33">
        <f t="shared" ca="1" si="61"/>
        <v>5600</v>
      </c>
      <c r="U264" s="7">
        <f t="shared" ca="1" si="71"/>
        <v>0.12612612612612611</v>
      </c>
      <c r="V264" s="7">
        <f t="shared" ca="1" si="72"/>
        <v>-0.41582897273049846</v>
      </c>
      <c r="W264" s="33">
        <f t="shared" ca="1" si="62"/>
        <v>-44400</v>
      </c>
      <c r="X264" s="7">
        <f t="shared" ca="1" si="63"/>
        <v>-1</v>
      </c>
      <c r="Y264" s="7">
        <f t="shared" ca="1" si="64"/>
        <v>-0.87387387387387383</v>
      </c>
      <c r="Z264" s="7">
        <f t="shared" ca="1" si="73"/>
        <v>-9.7980264886534801E-2</v>
      </c>
      <c r="AA264" s="33">
        <f t="shared" ca="1" si="65"/>
        <v>-2040.3713957922719</v>
      </c>
      <c r="AB264" s="7">
        <f t="shared" ca="1" si="66"/>
        <v>-0.36435203496290569</v>
      </c>
      <c r="AC264" s="7">
        <f t="shared" ca="1" si="67"/>
        <v>-0.11911295441838979</v>
      </c>
      <c r="AH264" s="34"/>
    </row>
    <row r="265" spans="1:34" x14ac:dyDescent="0.25">
      <c r="A265" s="1">
        <v>262</v>
      </c>
      <c r="B265" s="25">
        <v>44007</v>
      </c>
      <c r="C265" s="10" t="s">
        <v>1726</v>
      </c>
      <c r="D265" s="1">
        <v>579.1</v>
      </c>
      <c r="E265" s="30">
        <v>1000</v>
      </c>
      <c r="F265" s="1">
        <v>530</v>
      </c>
      <c r="G265" s="1">
        <v>8.1</v>
      </c>
      <c r="H265" s="1">
        <v>500</v>
      </c>
      <c r="I265" s="1">
        <v>3.9</v>
      </c>
      <c r="J265" s="1">
        <v>477000</v>
      </c>
      <c r="K265" s="1">
        <v>5000</v>
      </c>
      <c r="L265" s="1">
        <v>3.8</v>
      </c>
      <c r="M265" s="1">
        <v>4</v>
      </c>
      <c r="N265" s="1">
        <v>4000</v>
      </c>
      <c r="O265" s="9"/>
      <c r="P265" s="7">
        <f t="shared" ca="1" si="68"/>
        <v>0.13999999999999999</v>
      </c>
      <c r="Q265" s="7">
        <f t="shared" ca="1" si="60"/>
        <v>6.9999999999999993E-3</v>
      </c>
      <c r="R265" s="33">
        <f t="shared" ca="1" si="69"/>
        <v>4199.9999999999991</v>
      </c>
      <c r="S265" s="33">
        <f t="shared" ca="1" si="70"/>
        <v>-25800</v>
      </c>
      <c r="T265" s="33">
        <f t="shared" ca="1" si="61"/>
        <v>4199.9999999999991</v>
      </c>
      <c r="U265" s="7">
        <f t="shared" ca="1" si="71"/>
        <v>0.16279069767441856</v>
      </c>
      <c r="V265" s="7">
        <f t="shared" ca="1" si="72"/>
        <v>-0.41582897273049846</v>
      </c>
      <c r="W265" s="33">
        <f t="shared" ca="1" si="62"/>
        <v>-25800</v>
      </c>
      <c r="X265" s="7">
        <f t="shared" ca="1" si="63"/>
        <v>-1</v>
      </c>
      <c r="Y265" s="7">
        <f t="shared" ca="1" si="64"/>
        <v>-0.83720930232558144</v>
      </c>
      <c r="Z265" s="7">
        <f t="shared" ca="1" si="73"/>
        <v>-9.7980264886534801E-2</v>
      </c>
      <c r="AA265" s="33">
        <f t="shared" ca="1" si="65"/>
        <v>-3440.3713957922728</v>
      </c>
      <c r="AB265" s="7">
        <f t="shared" ca="1" si="66"/>
        <v>-0.81913604661720796</v>
      </c>
      <c r="AC265" s="7">
        <f t="shared" ca="1" si="67"/>
        <v>-0.3281726744713947</v>
      </c>
      <c r="AH265" s="34"/>
    </row>
    <row r="266" spans="1:34" x14ac:dyDescent="0.25">
      <c r="A266" s="1">
        <v>263</v>
      </c>
      <c r="B266" s="25">
        <v>44007</v>
      </c>
      <c r="C266" s="10" t="s">
        <v>1726</v>
      </c>
      <c r="D266" s="1">
        <v>579.1</v>
      </c>
      <c r="E266" s="30">
        <v>1000</v>
      </c>
      <c r="F266" s="1">
        <v>530</v>
      </c>
      <c r="G266" s="1">
        <v>8.1</v>
      </c>
      <c r="H266" s="1">
        <v>510</v>
      </c>
      <c r="I266" s="1">
        <v>5</v>
      </c>
      <c r="J266" s="1">
        <v>32000</v>
      </c>
      <c r="K266" s="1">
        <v>1000</v>
      </c>
      <c r="L266" s="1">
        <v>4.8499999999999996</v>
      </c>
      <c r="M266" s="1">
        <v>5.2</v>
      </c>
      <c r="N266" s="1">
        <v>3000</v>
      </c>
      <c r="O266" s="9"/>
      <c r="P266" s="7">
        <f t="shared" ca="1" si="68"/>
        <v>0.15499999999999997</v>
      </c>
      <c r="Q266" s="7">
        <f t="shared" ca="1" si="60"/>
        <v>7.7499999999999982E-3</v>
      </c>
      <c r="R266" s="33">
        <f t="shared" ca="1" si="69"/>
        <v>3099.9999999999995</v>
      </c>
      <c r="S266" s="33">
        <f t="shared" ca="1" si="70"/>
        <v>-16900</v>
      </c>
      <c r="T266" s="33">
        <f t="shared" ca="1" si="61"/>
        <v>3099.9999999999995</v>
      </c>
      <c r="U266" s="7">
        <f t="shared" ca="1" si="71"/>
        <v>0.18343195266272186</v>
      </c>
      <c r="V266" s="7">
        <f t="shared" ca="1" si="72"/>
        <v>-0.41582897273049846</v>
      </c>
      <c r="W266" s="33">
        <f t="shared" ca="1" si="62"/>
        <v>-16900</v>
      </c>
      <c r="X266" s="7">
        <f t="shared" ca="1" si="63"/>
        <v>-1</v>
      </c>
      <c r="Y266" s="7">
        <f t="shared" ca="1" si="64"/>
        <v>-0.81656804733727817</v>
      </c>
      <c r="Z266" s="7">
        <f t="shared" ca="1" si="73"/>
        <v>-9.7980264886534801E-2</v>
      </c>
      <c r="AA266" s="33">
        <f t="shared" ca="1" si="65"/>
        <v>-4540.3713957922719</v>
      </c>
      <c r="AB266" s="7">
        <f t="shared" ca="1" si="66"/>
        <v>-1.4646359341265396</v>
      </c>
      <c r="AC266" s="7">
        <f t="shared" ca="1" si="67"/>
        <v>-0.64060199073190882</v>
      </c>
      <c r="AH266" s="34"/>
    </row>
    <row r="267" spans="1:34" x14ac:dyDescent="0.25">
      <c r="A267" s="1">
        <v>264</v>
      </c>
      <c r="B267" s="25">
        <v>44007</v>
      </c>
      <c r="C267" s="10" t="s">
        <v>1726</v>
      </c>
      <c r="D267" s="1">
        <v>579.1</v>
      </c>
      <c r="E267" s="30">
        <v>1000</v>
      </c>
      <c r="F267" s="1">
        <v>530</v>
      </c>
      <c r="G267" s="1">
        <v>8.1</v>
      </c>
      <c r="H267" s="1">
        <v>520</v>
      </c>
      <c r="I267" s="1">
        <v>6.3</v>
      </c>
      <c r="J267" s="1">
        <v>126000</v>
      </c>
      <c r="K267" s="1">
        <v>1000</v>
      </c>
      <c r="L267" s="1">
        <v>6.3</v>
      </c>
      <c r="M267" s="1">
        <v>6.45</v>
      </c>
      <c r="N267" s="1">
        <v>2000</v>
      </c>
      <c r="O267" s="9"/>
      <c r="P267" s="7">
        <f t="shared" ca="1" si="68"/>
        <v>0.18</v>
      </c>
      <c r="Q267" s="7">
        <f t="shared" ca="1" si="60"/>
        <v>8.9999999999999993E-3</v>
      </c>
      <c r="R267" s="33">
        <f t="shared" ca="1" si="69"/>
        <v>1799.9999999999998</v>
      </c>
      <c r="S267" s="33">
        <f t="shared" ca="1" si="70"/>
        <v>-8200</v>
      </c>
      <c r="T267" s="33">
        <f t="shared" ca="1" si="61"/>
        <v>1799.9999999999998</v>
      </c>
      <c r="U267" s="7">
        <f t="shared" ca="1" si="71"/>
        <v>0.21951219512195119</v>
      </c>
      <c r="V267" s="7">
        <f t="shared" ca="1" si="72"/>
        <v>-0.41582897273049846</v>
      </c>
      <c r="W267" s="33">
        <f t="shared" ca="1" si="62"/>
        <v>-8200</v>
      </c>
      <c r="X267" s="7">
        <f t="shared" ca="1" si="63"/>
        <v>-1</v>
      </c>
      <c r="Y267" s="7">
        <f t="shared" ca="1" si="64"/>
        <v>-0.78048780487804881</v>
      </c>
      <c r="Z267" s="7">
        <f t="shared" ca="1" si="73"/>
        <v>-9.7980264886534801E-2</v>
      </c>
      <c r="AA267" s="33">
        <f t="shared" ca="1" si="65"/>
        <v>-5840.3713957922719</v>
      </c>
      <c r="AB267" s="7">
        <f t="shared" ca="1" si="66"/>
        <v>-3.2446507754401512</v>
      </c>
      <c r="AC267" s="7">
        <f t="shared" ca="1" si="67"/>
        <v>-1.5125692901590999</v>
      </c>
      <c r="AH267" s="34"/>
    </row>
    <row r="268" spans="1:34" x14ac:dyDescent="0.25">
      <c r="A268" s="1">
        <v>265</v>
      </c>
      <c r="B268" s="25">
        <v>44007</v>
      </c>
      <c r="C268" s="10" t="s">
        <v>16</v>
      </c>
      <c r="D268" s="1">
        <v>752.55</v>
      </c>
      <c r="E268" s="30">
        <v>1000</v>
      </c>
      <c r="F268" s="1">
        <v>680</v>
      </c>
      <c r="G268" s="1">
        <v>10.9</v>
      </c>
      <c r="H268" s="1">
        <v>600</v>
      </c>
      <c r="I268" s="1">
        <v>1.9</v>
      </c>
      <c r="J268" s="1">
        <v>280000</v>
      </c>
      <c r="K268" s="1">
        <v>1000</v>
      </c>
      <c r="L268" s="1">
        <v>1.85</v>
      </c>
      <c r="M268" s="1">
        <v>2</v>
      </c>
      <c r="N268" s="1">
        <v>1000</v>
      </c>
      <c r="O268" s="9"/>
      <c r="P268" s="7">
        <f t="shared" ca="1" si="68"/>
        <v>0.1125</v>
      </c>
      <c r="Q268" s="7">
        <f t="shared" ca="1" si="60"/>
        <v>5.6249999999999998E-3</v>
      </c>
      <c r="R268" s="33">
        <f t="shared" ca="1" si="69"/>
        <v>9000</v>
      </c>
      <c r="S268" s="33">
        <f t="shared" ca="1" si="70"/>
        <v>-71000</v>
      </c>
      <c r="T268" s="33">
        <f t="shared" ca="1" si="61"/>
        <v>9000</v>
      </c>
      <c r="U268" s="7">
        <f t="shared" ca="1" si="71"/>
        <v>0.12676056338028169</v>
      </c>
      <c r="V268" s="7">
        <f t="shared" ca="1" si="72"/>
        <v>-0.71405035508209469</v>
      </c>
      <c r="W268" s="33">
        <f t="shared" ca="1" si="62"/>
        <v>-71000</v>
      </c>
      <c r="X268" s="7">
        <f t="shared" ca="1" si="63"/>
        <v>-1</v>
      </c>
      <c r="Y268" s="7">
        <f t="shared" ca="1" si="64"/>
        <v>-0.87323943661971826</v>
      </c>
      <c r="Z268" s="7">
        <f t="shared" ca="1" si="73"/>
        <v>-0.14054177139803889</v>
      </c>
      <c r="AA268" s="33">
        <f t="shared" ca="1" si="65"/>
        <v>-24214.710065594205</v>
      </c>
      <c r="AB268" s="7">
        <f t="shared" ca="1" si="66"/>
        <v>-2.6905233406215783</v>
      </c>
      <c r="AC268" s="7">
        <f t="shared" ca="1" si="67"/>
        <v>-1.2818813886206484</v>
      </c>
      <c r="AH268" s="34"/>
    </row>
    <row r="269" spans="1:34" x14ac:dyDescent="0.25">
      <c r="A269" s="1">
        <v>266</v>
      </c>
      <c r="B269" s="25">
        <v>44007</v>
      </c>
      <c r="C269" s="10" t="s">
        <v>16</v>
      </c>
      <c r="D269" s="1">
        <v>752.55</v>
      </c>
      <c r="E269" s="30">
        <v>1000</v>
      </c>
      <c r="F269" s="1">
        <v>680</v>
      </c>
      <c r="G269" s="1">
        <v>10.9</v>
      </c>
      <c r="H269" s="1">
        <v>620</v>
      </c>
      <c r="I269" s="1">
        <v>2.9</v>
      </c>
      <c r="J269" s="1">
        <v>53000</v>
      </c>
      <c r="K269" s="1">
        <v>1000</v>
      </c>
      <c r="L269" s="1">
        <v>2.75</v>
      </c>
      <c r="M269" s="1">
        <v>2.95</v>
      </c>
      <c r="N269" s="1">
        <v>1000</v>
      </c>
      <c r="O269" s="9"/>
      <c r="P269" s="7">
        <f t="shared" ca="1" si="68"/>
        <v>0.13333333333333333</v>
      </c>
      <c r="Q269" s="7">
        <f t="shared" ca="1" si="60"/>
        <v>6.6666666666666662E-3</v>
      </c>
      <c r="R269" s="33">
        <f t="shared" ca="1" si="69"/>
        <v>8000</v>
      </c>
      <c r="S269" s="33">
        <f t="shared" ca="1" si="70"/>
        <v>-52000</v>
      </c>
      <c r="T269" s="33">
        <f t="shared" ca="1" si="61"/>
        <v>8000</v>
      </c>
      <c r="U269" s="7">
        <f t="shared" ca="1" si="71"/>
        <v>0.15384615384615385</v>
      </c>
      <c r="V269" s="7">
        <f t="shared" ca="1" si="72"/>
        <v>-0.71405035508209469</v>
      </c>
      <c r="W269" s="33">
        <f t="shared" ca="1" si="62"/>
        <v>-52000</v>
      </c>
      <c r="X269" s="7">
        <f t="shared" ca="1" si="63"/>
        <v>-1</v>
      </c>
      <c r="Y269" s="7">
        <f t="shared" ca="1" si="64"/>
        <v>-0.84615384615384615</v>
      </c>
      <c r="Z269" s="7">
        <f t="shared" ca="1" si="73"/>
        <v>-0.14054177139803889</v>
      </c>
      <c r="AA269" s="33">
        <f t="shared" ca="1" si="65"/>
        <v>-25214.710065594205</v>
      </c>
      <c r="AB269" s="7">
        <f t="shared" ca="1" si="66"/>
        <v>-3.1518387581992755</v>
      </c>
      <c r="AC269" s="7">
        <f t="shared" ca="1" si="67"/>
        <v>-1.4989963021765609</v>
      </c>
      <c r="AH269" s="34"/>
    </row>
    <row r="270" spans="1:34" x14ac:dyDescent="0.25">
      <c r="A270" s="1">
        <v>267</v>
      </c>
      <c r="B270" s="25">
        <v>44007</v>
      </c>
      <c r="C270" s="10" t="s">
        <v>16</v>
      </c>
      <c r="D270" s="1">
        <v>752.55</v>
      </c>
      <c r="E270" s="30">
        <v>1000</v>
      </c>
      <c r="F270" s="1">
        <v>680</v>
      </c>
      <c r="G270" s="1">
        <v>10.9</v>
      </c>
      <c r="H270" s="1">
        <v>640</v>
      </c>
      <c r="I270" s="1">
        <v>4.5999999999999996</v>
      </c>
      <c r="J270" s="1">
        <v>99000</v>
      </c>
      <c r="K270" s="1">
        <v>1000</v>
      </c>
      <c r="L270" s="1">
        <v>4.3499999999999996</v>
      </c>
      <c r="M270" s="1">
        <v>4.5</v>
      </c>
      <c r="N270" s="1">
        <v>1000</v>
      </c>
      <c r="O270" s="9"/>
      <c r="P270" s="7">
        <f t="shared" ca="1" si="68"/>
        <v>0.15750000000000003</v>
      </c>
      <c r="Q270" s="7">
        <f t="shared" ca="1" si="60"/>
        <v>7.8750000000000018E-3</v>
      </c>
      <c r="R270" s="33">
        <f t="shared" ca="1" si="69"/>
        <v>6300.0000000000009</v>
      </c>
      <c r="S270" s="33">
        <f t="shared" ca="1" si="70"/>
        <v>-33700</v>
      </c>
      <c r="T270" s="33">
        <f t="shared" ca="1" si="61"/>
        <v>6300.0000000000009</v>
      </c>
      <c r="U270" s="7">
        <f t="shared" ca="1" si="71"/>
        <v>0.18694362017804156</v>
      </c>
      <c r="V270" s="7">
        <f t="shared" ca="1" si="72"/>
        <v>-0.71405035508209469</v>
      </c>
      <c r="W270" s="33">
        <f t="shared" ca="1" si="62"/>
        <v>-33700</v>
      </c>
      <c r="X270" s="7">
        <f t="shared" ca="1" si="63"/>
        <v>-1</v>
      </c>
      <c r="Y270" s="7">
        <f t="shared" ca="1" si="64"/>
        <v>-0.81305637982195844</v>
      </c>
      <c r="Z270" s="7">
        <f t="shared" ca="1" si="73"/>
        <v>-0.14054177139803889</v>
      </c>
      <c r="AA270" s="33">
        <f t="shared" ca="1" si="65"/>
        <v>-26914.710065594205</v>
      </c>
      <c r="AB270" s="7">
        <f t="shared" ca="1" si="66"/>
        <v>-4.2721762008879685</v>
      </c>
      <c r="AC270" s="7">
        <f t="shared" ca="1" si="67"/>
        <v>-2.0426162903549634</v>
      </c>
      <c r="AH270" s="34"/>
    </row>
    <row r="271" spans="1:34" x14ac:dyDescent="0.25">
      <c r="A271" s="1">
        <v>268</v>
      </c>
      <c r="B271" s="25">
        <v>44007</v>
      </c>
      <c r="C271" s="10" t="s">
        <v>16</v>
      </c>
      <c r="D271" s="1">
        <v>752.55</v>
      </c>
      <c r="E271" s="30">
        <v>1000</v>
      </c>
      <c r="F271" s="1">
        <v>680</v>
      </c>
      <c r="G271" s="1">
        <v>10.9</v>
      </c>
      <c r="H271" s="1">
        <v>660</v>
      </c>
      <c r="I271" s="1">
        <v>7</v>
      </c>
      <c r="J271" s="1">
        <v>315000</v>
      </c>
      <c r="K271" s="1">
        <v>1000</v>
      </c>
      <c r="L271" s="1">
        <v>7.1</v>
      </c>
      <c r="M271" s="1">
        <v>7.25</v>
      </c>
      <c r="N271" s="1">
        <v>4000</v>
      </c>
      <c r="O271" s="9"/>
      <c r="P271" s="7">
        <f t="shared" ca="1" si="68"/>
        <v>0.19500000000000001</v>
      </c>
      <c r="Q271" s="7">
        <f t="shared" ca="1" si="60"/>
        <v>9.75E-3</v>
      </c>
      <c r="R271" s="33">
        <f t="shared" ca="1" si="69"/>
        <v>3900.0000000000005</v>
      </c>
      <c r="S271" s="33">
        <f t="shared" ca="1" si="70"/>
        <v>-16100</v>
      </c>
      <c r="T271" s="33">
        <f t="shared" ca="1" si="61"/>
        <v>3900.0000000000005</v>
      </c>
      <c r="U271" s="7">
        <f t="shared" ca="1" si="71"/>
        <v>0.24223602484472054</v>
      </c>
      <c r="V271" s="7">
        <f t="shared" ca="1" si="72"/>
        <v>-0.71405035508209469</v>
      </c>
      <c r="W271" s="33">
        <f t="shared" ca="1" si="62"/>
        <v>-16100</v>
      </c>
      <c r="X271" s="7">
        <f t="shared" ca="1" si="63"/>
        <v>-1</v>
      </c>
      <c r="Y271" s="7">
        <f t="shared" ca="1" si="64"/>
        <v>-0.75776397515527949</v>
      </c>
      <c r="Z271" s="7">
        <f t="shared" ca="1" si="73"/>
        <v>-0.14054177139803889</v>
      </c>
      <c r="AA271" s="33">
        <f t="shared" ca="1" si="65"/>
        <v>-16100</v>
      </c>
      <c r="AB271" s="7">
        <f t="shared" ca="1" si="66"/>
        <v>-4.1282051282051277</v>
      </c>
      <c r="AC271" s="7">
        <f t="shared" ca="1" si="67"/>
        <v>-1.9429845516802036</v>
      </c>
      <c r="AH271" s="34"/>
    </row>
    <row r="272" spans="1:34" x14ac:dyDescent="0.25">
      <c r="A272" s="1">
        <v>269</v>
      </c>
      <c r="B272" s="25">
        <v>44007</v>
      </c>
      <c r="C272" s="10" t="s">
        <v>606</v>
      </c>
      <c r="D272" s="1">
        <v>568.4</v>
      </c>
      <c r="E272" s="30">
        <v>1000</v>
      </c>
      <c r="F272" s="1">
        <v>530</v>
      </c>
      <c r="G272" s="1">
        <v>10</v>
      </c>
      <c r="H272" s="1">
        <v>440</v>
      </c>
      <c r="I272" s="1">
        <v>1</v>
      </c>
      <c r="J272" s="1">
        <v>39000</v>
      </c>
      <c r="K272" s="1">
        <v>1000</v>
      </c>
      <c r="L272" s="1">
        <v>0.95</v>
      </c>
      <c r="M272" s="1">
        <v>1.95</v>
      </c>
      <c r="N272" s="1">
        <v>14000</v>
      </c>
      <c r="O272" s="9"/>
      <c r="P272" s="7">
        <f t="shared" ca="1" si="68"/>
        <v>0.1</v>
      </c>
      <c r="Q272" s="7">
        <f t="shared" ca="1" si="60"/>
        <v>5.0000000000000001E-3</v>
      </c>
      <c r="R272" s="33">
        <f t="shared" ca="1" si="69"/>
        <v>9000</v>
      </c>
      <c r="S272" s="33">
        <f t="shared" ca="1" si="70"/>
        <v>-81000</v>
      </c>
      <c r="T272" s="33">
        <f t="shared" ca="1" si="61"/>
        <v>9000</v>
      </c>
      <c r="U272" s="7">
        <f t="shared" ca="1" si="71"/>
        <v>0.1111111111111111</v>
      </c>
      <c r="V272" s="7">
        <f t="shared" ca="1" si="72"/>
        <v>-0.31235641893895111</v>
      </c>
      <c r="W272" s="33">
        <f t="shared" ca="1" si="62"/>
        <v>-81000</v>
      </c>
      <c r="X272" s="7">
        <f t="shared" ca="1" si="63"/>
        <v>-1</v>
      </c>
      <c r="Y272" s="7">
        <f t="shared" ca="1" si="64"/>
        <v>-0.88888888888888884</v>
      </c>
      <c r="Z272" s="7">
        <f t="shared" ca="1" si="73"/>
        <v>-7.5495934232289993E-2</v>
      </c>
      <c r="AA272" s="33">
        <f t="shared" ca="1" si="65"/>
        <v>4488.1109823663792</v>
      </c>
      <c r="AB272" s="7">
        <f t="shared" ca="1" si="66"/>
        <v>0.49867899804070881</v>
      </c>
      <c r="AC272" s="7">
        <f t="shared" ca="1" si="67"/>
        <v>0.30489505457590993</v>
      </c>
      <c r="AH272" s="34"/>
    </row>
    <row r="273" spans="1:34" x14ac:dyDescent="0.25">
      <c r="A273" s="1">
        <v>270</v>
      </c>
      <c r="B273" s="25">
        <v>44007</v>
      </c>
      <c r="C273" s="10" t="s">
        <v>606</v>
      </c>
      <c r="D273" s="1">
        <v>568.4</v>
      </c>
      <c r="E273" s="30">
        <v>1000</v>
      </c>
      <c r="F273" s="1">
        <v>530</v>
      </c>
      <c r="G273" s="1">
        <v>10</v>
      </c>
      <c r="H273" s="1">
        <v>480</v>
      </c>
      <c r="I273" s="1">
        <v>3.3</v>
      </c>
      <c r="J273" s="1">
        <v>87000</v>
      </c>
      <c r="K273" s="1">
        <v>1000</v>
      </c>
      <c r="L273" s="1">
        <v>2.2000000000000002</v>
      </c>
      <c r="M273" s="1">
        <v>4.3499999999999996</v>
      </c>
      <c r="N273" s="1">
        <v>14000</v>
      </c>
      <c r="O273" s="9"/>
      <c r="P273" s="7">
        <f t="shared" ca="1" si="68"/>
        <v>0.13400000000000001</v>
      </c>
      <c r="Q273" s="7">
        <f t="shared" ca="1" si="60"/>
        <v>6.7000000000000002E-3</v>
      </c>
      <c r="R273" s="33">
        <f t="shared" ca="1" si="69"/>
        <v>6700</v>
      </c>
      <c r="S273" s="33">
        <f t="shared" ca="1" si="70"/>
        <v>-43300</v>
      </c>
      <c r="T273" s="33">
        <f t="shared" ca="1" si="61"/>
        <v>6700</v>
      </c>
      <c r="U273" s="7">
        <f t="shared" ca="1" si="71"/>
        <v>0.15473441108545036</v>
      </c>
      <c r="V273" s="7">
        <f t="shared" ca="1" si="72"/>
        <v>-0.31235641893895111</v>
      </c>
      <c r="W273" s="33">
        <f t="shared" ca="1" si="62"/>
        <v>-43300</v>
      </c>
      <c r="X273" s="7">
        <f t="shared" ca="1" si="63"/>
        <v>-1</v>
      </c>
      <c r="Y273" s="7">
        <f t="shared" ca="1" si="64"/>
        <v>-0.84526558891454961</v>
      </c>
      <c r="Z273" s="7">
        <f t="shared" ca="1" si="73"/>
        <v>-7.5495934232289993E-2</v>
      </c>
      <c r="AA273" s="33">
        <f t="shared" ca="1" si="65"/>
        <v>2188.1109823663792</v>
      </c>
      <c r="AB273" s="7">
        <f t="shared" ca="1" si="66"/>
        <v>0.3265837287113999</v>
      </c>
      <c r="AC273" s="7">
        <f t="shared" ca="1" si="67"/>
        <v>0.24065906989842512</v>
      </c>
      <c r="AH273" s="34"/>
    </row>
    <row r="274" spans="1:34" x14ac:dyDescent="0.25">
      <c r="A274" s="1">
        <v>271</v>
      </c>
      <c r="B274" s="25">
        <v>44007</v>
      </c>
      <c r="C274" s="10" t="s">
        <v>606</v>
      </c>
      <c r="D274" s="1">
        <v>568.4</v>
      </c>
      <c r="E274" s="30">
        <v>1000</v>
      </c>
      <c r="F274" s="1">
        <v>530</v>
      </c>
      <c r="G274" s="1">
        <v>10</v>
      </c>
      <c r="H274" s="1">
        <v>500</v>
      </c>
      <c r="I274" s="1">
        <v>4.7</v>
      </c>
      <c r="J274" s="1">
        <v>358000</v>
      </c>
      <c r="K274" s="1">
        <v>1000</v>
      </c>
      <c r="L274" s="1">
        <v>4.6500000000000004</v>
      </c>
      <c r="M274" s="1">
        <v>4.8499999999999996</v>
      </c>
      <c r="N274" s="1">
        <v>3000</v>
      </c>
      <c r="O274" s="9"/>
      <c r="P274" s="7">
        <f t="shared" ca="1" si="68"/>
        <v>0.17666666666666667</v>
      </c>
      <c r="Q274" s="7">
        <f t="shared" ca="1" si="60"/>
        <v>8.8333333333333337E-3</v>
      </c>
      <c r="R274" s="33">
        <f t="shared" ca="1" si="69"/>
        <v>5300</v>
      </c>
      <c r="S274" s="33">
        <f t="shared" ca="1" si="70"/>
        <v>-24700</v>
      </c>
      <c r="T274" s="33">
        <f t="shared" ca="1" si="61"/>
        <v>5300</v>
      </c>
      <c r="U274" s="7">
        <f t="shared" ca="1" si="71"/>
        <v>0.2145748987854251</v>
      </c>
      <c r="V274" s="7">
        <f t="shared" ca="1" si="72"/>
        <v>-0.31235641893895111</v>
      </c>
      <c r="W274" s="33">
        <f t="shared" ca="1" si="62"/>
        <v>-24700</v>
      </c>
      <c r="X274" s="7">
        <f t="shared" ca="1" si="63"/>
        <v>-1</v>
      </c>
      <c r="Y274" s="7">
        <f t="shared" ca="1" si="64"/>
        <v>-0.78542510121457487</v>
      </c>
      <c r="Z274" s="7">
        <f t="shared" ca="1" si="73"/>
        <v>-7.5495934232289993E-2</v>
      </c>
      <c r="AA274" s="33">
        <f t="shared" ca="1" si="65"/>
        <v>788.11098236637918</v>
      </c>
      <c r="AB274" s="7">
        <f t="shared" ca="1" si="66"/>
        <v>0.14870018535214702</v>
      </c>
      <c r="AC274" s="7">
        <f t="shared" ca="1" si="67"/>
        <v>0.18163754206878607</v>
      </c>
      <c r="AH274" s="34"/>
    </row>
    <row r="275" spans="1:34" x14ac:dyDescent="0.25">
      <c r="A275" s="1">
        <v>272</v>
      </c>
      <c r="B275" s="25">
        <v>44007</v>
      </c>
      <c r="C275" s="10" t="s">
        <v>606</v>
      </c>
      <c r="D275" s="1">
        <v>568.4</v>
      </c>
      <c r="E275" s="30">
        <v>1000</v>
      </c>
      <c r="F275" s="1">
        <v>530</v>
      </c>
      <c r="G275" s="1">
        <v>10</v>
      </c>
      <c r="H275" s="1">
        <v>520</v>
      </c>
      <c r="I275" s="1">
        <v>7.95</v>
      </c>
      <c r="J275" s="1">
        <v>71000</v>
      </c>
      <c r="K275" s="1">
        <v>2000</v>
      </c>
      <c r="L275" s="1">
        <v>7.75</v>
      </c>
      <c r="M275" s="1">
        <v>8</v>
      </c>
      <c r="N275" s="1">
        <v>2000</v>
      </c>
      <c r="O275" s="9"/>
      <c r="P275" s="7">
        <f t="shared" ca="1" si="68"/>
        <v>0.20499999999999999</v>
      </c>
      <c r="Q275" s="7">
        <f t="shared" ca="1" si="60"/>
        <v>1.0249999999999999E-2</v>
      </c>
      <c r="R275" s="33">
        <f t="shared" ca="1" si="69"/>
        <v>2050</v>
      </c>
      <c r="S275" s="33">
        <f t="shared" ca="1" si="70"/>
        <v>-7950</v>
      </c>
      <c r="T275" s="33">
        <f t="shared" ca="1" si="61"/>
        <v>2050</v>
      </c>
      <c r="U275" s="7">
        <f t="shared" ca="1" si="71"/>
        <v>0.25786163522012578</v>
      </c>
      <c r="V275" s="7">
        <f t="shared" ca="1" si="72"/>
        <v>-0.31235641893895111</v>
      </c>
      <c r="W275" s="33">
        <f t="shared" ca="1" si="62"/>
        <v>-7950</v>
      </c>
      <c r="X275" s="7">
        <f t="shared" ca="1" si="63"/>
        <v>-1</v>
      </c>
      <c r="Y275" s="7">
        <f t="shared" ca="1" si="64"/>
        <v>-0.74213836477987427</v>
      </c>
      <c r="Z275" s="7">
        <f t="shared" ca="1" si="73"/>
        <v>-7.5495934232289993E-2</v>
      </c>
      <c r="AA275" s="33">
        <f t="shared" ca="1" si="65"/>
        <v>-2461.8890176336208</v>
      </c>
      <c r="AB275" s="7">
        <f t="shared" ca="1" si="66"/>
        <v>-1.2009214720164003</v>
      </c>
      <c r="AC275" s="7">
        <f t="shared" ca="1" si="67"/>
        <v>-0.47152991839813729</v>
      </c>
      <c r="AH275" s="34"/>
    </row>
    <row r="276" spans="1:34" x14ac:dyDescent="0.25">
      <c r="A276" s="1">
        <v>273</v>
      </c>
      <c r="B276" s="25">
        <v>44007</v>
      </c>
      <c r="C276" s="10" t="s">
        <v>545</v>
      </c>
      <c r="D276" s="1">
        <v>20.100000000000001</v>
      </c>
      <c r="E276" s="30">
        <v>45000</v>
      </c>
      <c r="F276" s="1">
        <v>19</v>
      </c>
      <c r="G276" s="1">
        <v>0.5</v>
      </c>
      <c r="H276" s="1">
        <v>16</v>
      </c>
      <c r="I276" s="1">
        <v>0.05</v>
      </c>
      <c r="J276" s="1">
        <v>1980000</v>
      </c>
      <c r="K276" s="1">
        <v>225000</v>
      </c>
      <c r="L276" s="1">
        <v>0.05</v>
      </c>
      <c r="M276" s="1">
        <v>0.1</v>
      </c>
      <c r="N276" s="1">
        <v>1305000</v>
      </c>
      <c r="O276" s="9"/>
      <c r="P276" s="7">
        <f t="shared" ca="1" si="68"/>
        <v>0.15</v>
      </c>
      <c r="Q276" s="7">
        <f t="shared" ca="1" si="60"/>
        <v>7.4999999999999997E-3</v>
      </c>
      <c r="R276" s="33">
        <f t="shared" ca="1" si="69"/>
        <v>20250</v>
      </c>
      <c r="S276" s="33">
        <f t="shared" ca="1" si="70"/>
        <v>-114750</v>
      </c>
      <c r="T276" s="33">
        <f t="shared" ca="1" si="61"/>
        <v>20250</v>
      </c>
      <c r="U276" s="7">
        <f t="shared" ca="1" si="71"/>
        <v>0.17647058823529413</v>
      </c>
      <c r="V276" s="7">
        <f t="shared" ca="1" si="72"/>
        <v>-0.45254440787396699</v>
      </c>
      <c r="W276" s="33">
        <f t="shared" ca="1" si="62"/>
        <v>-114750</v>
      </c>
      <c r="X276" s="7">
        <f t="shared" ca="1" si="63"/>
        <v>-1</v>
      </c>
      <c r="Y276" s="7">
        <f t="shared" ca="1" si="64"/>
        <v>-0.82352941176470584</v>
      </c>
      <c r="Z276" s="7">
        <f t="shared" ca="1" si="73"/>
        <v>-9.5273819271405297E-2</v>
      </c>
      <c r="AA276" s="33">
        <f t="shared" ca="1" si="65"/>
        <v>-16425.16953098611</v>
      </c>
      <c r="AB276" s="7">
        <f t="shared" ca="1" si="66"/>
        <v>-0.8111194830116597</v>
      </c>
      <c r="AC276" s="7">
        <f t="shared" ca="1" si="67"/>
        <v>-0.31732444738818277</v>
      </c>
      <c r="AH276" s="34"/>
    </row>
    <row r="277" spans="1:34" x14ac:dyDescent="0.25">
      <c r="A277" s="1">
        <v>274</v>
      </c>
      <c r="B277" s="25">
        <v>44007</v>
      </c>
      <c r="C277" s="10" t="s">
        <v>545</v>
      </c>
      <c r="D277" s="1">
        <v>20.100000000000001</v>
      </c>
      <c r="E277" s="30">
        <v>45000</v>
      </c>
      <c r="F277" s="1">
        <v>19</v>
      </c>
      <c r="G277" s="1">
        <v>0.5</v>
      </c>
      <c r="H277" s="1">
        <v>17</v>
      </c>
      <c r="I277" s="1">
        <v>0.15</v>
      </c>
      <c r="J277" s="1">
        <v>2385000</v>
      </c>
      <c r="K277" s="1">
        <v>1620000</v>
      </c>
      <c r="L277" s="1">
        <v>0.1</v>
      </c>
      <c r="M277" s="1">
        <v>0.15</v>
      </c>
      <c r="N277" s="1">
        <v>405000</v>
      </c>
      <c r="O277" s="9"/>
      <c r="P277" s="7">
        <f t="shared" ca="1" si="68"/>
        <v>0.17499999999999999</v>
      </c>
      <c r="Q277" s="7">
        <f t="shared" ca="1" si="60"/>
        <v>8.7499999999999991E-3</v>
      </c>
      <c r="R277" s="33">
        <f t="shared" ca="1" si="69"/>
        <v>15749.999999999998</v>
      </c>
      <c r="S277" s="33">
        <f t="shared" ca="1" si="70"/>
        <v>-74250</v>
      </c>
      <c r="T277" s="33">
        <f t="shared" ca="1" si="61"/>
        <v>15749.999999999998</v>
      </c>
      <c r="U277" s="7">
        <f t="shared" ca="1" si="71"/>
        <v>0.2121212121212121</v>
      </c>
      <c r="V277" s="7">
        <f t="shared" ca="1" si="72"/>
        <v>-0.45254440787396699</v>
      </c>
      <c r="W277" s="33">
        <f t="shared" ca="1" si="62"/>
        <v>-74250</v>
      </c>
      <c r="X277" s="7">
        <f t="shared" ca="1" si="63"/>
        <v>-1</v>
      </c>
      <c r="Y277" s="7">
        <f t="shared" ca="1" si="64"/>
        <v>-0.78787878787878785</v>
      </c>
      <c r="Z277" s="7">
        <f t="shared" ca="1" si="73"/>
        <v>-9.5273819271405297E-2</v>
      </c>
      <c r="AA277" s="33">
        <f t="shared" ca="1" si="65"/>
        <v>-20925.16953098611</v>
      </c>
      <c r="AB277" s="7">
        <f t="shared" ca="1" si="66"/>
        <v>-1.3285821924435626</v>
      </c>
      <c r="AC277" s="7">
        <f t="shared" ca="1" si="67"/>
        <v>-0.55823049016117521</v>
      </c>
      <c r="AH277" s="34"/>
    </row>
    <row r="278" spans="1:34" x14ac:dyDescent="0.25">
      <c r="A278" s="1">
        <v>275</v>
      </c>
      <c r="B278" s="25">
        <v>44007</v>
      </c>
      <c r="C278" s="10" t="s">
        <v>545</v>
      </c>
      <c r="D278" s="1">
        <v>20.100000000000001</v>
      </c>
      <c r="E278" s="30">
        <v>45000</v>
      </c>
      <c r="F278" s="1">
        <v>19</v>
      </c>
      <c r="G278" s="1">
        <v>0.5</v>
      </c>
      <c r="H278" s="1">
        <v>18</v>
      </c>
      <c r="I278" s="1">
        <v>0.25</v>
      </c>
      <c r="J278" s="1">
        <v>1170000</v>
      </c>
      <c r="K278" s="1">
        <v>45000</v>
      </c>
      <c r="L278" s="1">
        <v>0.25</v>
      </c>
      <c r="M278" s="1">
        <v>0.3</v>
      </c>
      <c r="N278" s="1">
        <v>315000</v>
      </c>
      <c r="O278" s="9"/>
      <c r="P278" s="7">
        <f t="shared" ca="1" si="68"/>
        <v>0.25</v>
      </c>
      <c r="Q278" s="7">
        <f t="shared" ca="1" si="60"/>
        <v>1.2500000000000001E-2</v>
      </c>
      <c r="R278" s="33">
        <f t="shared" ca="1" si="69"/>
        <v>11250</v>
      </c>
      <c r="S278" s="33">
        <f t="shared" ca="1" si="70"/>
        <v>-33750</v>
      </c>
      <c r="T278" s="33">
        <f t="shared" ca="1" si="61"/>
        <v>11250</v>
      </c>
      <c r="U278" s="7">
        <f t="shared" ca="1" si="71"/>
        <v>0.33333333333333331</v>
      </c>
      <c r="V278" s="7">
        <f t="shared" ca="1" si="72"/>
        <v>-0.45254440787396699</v>
      </c>
      <c r="W278" s="33">
        <f t="shared" ca="1" si="62"/>
        <v>-33750</v>
      </c>
      <c r="X278" s="7">
        <f t="shared" ca="1" si="63"/>
        <v>-1</v>
      </c>
      <c r="Y278" s="7">
        <f t="shared" ca="1" si="64"/>
        <v>-0.66666666666666674</v>
      </c>
      <c r="Z278" s="7">
        <f t="shared" ca="1" si="73"/>
        <v>-9.5273819271405297E-2</v>
      </c>
      <c r="AA278" s="33">
        <f t="shared" ca="1" si="65"/>
        <v>-25425.16953098611</v>
      </c>
      <c r="AB278" s="7">
        <f t="shared" ca="1" si="66"/>
        <v>-2.2600150694209877</v>
      </c>
      <c r="AC278" s="7">
        <f t="shared" ca="1" si="67"/>
        <v>-0.96334086804382724</v>
      </c>
      <c r="AH278" s="34"/>
    </row>
    <row r="279" spans="1:34" x14ac:dyDescent="0.25">
      <c r="A279" s="1">
        <v>276</v>
      </c>
      <c r="B279" s="25">
        <v>44007</v>
      </c>
      <c r="C279" s="10" t="s">
        <v>1661</v>
      </c>
      <c r="D279" s="1">
        <v>183.1</v>
      </c>
      <c r="E279" s="30">
        <v>1700</v>
      </c>
      <c r="F279" s="1">
        <v>165</v>
      </c>
      <c r="G279" s="1">
        <v>5.65</v>
      </c>
      <c r="H279" s="1">
        <v>140</v>
      </c>
      <c r="I279" s="1">
        <v>1.35</v>
      </c>
      <c r="J279" s="1">
        <v>56100</v>
      </c>
      <c r="K279" s="1">
        <v>1700</v>
      </c>
      <c r="L279" s="1">
        <v>0.8</v>
      </c>
      <c r="M279" s="1">
        <v>1.9</v>
      </c>
      <c r="N279" s="1">
        <v>28900</v>
      </c>
      <c r="O279" s="9"/>
      <c r="P279" s="7">
        <f t="shared" ca="1" si="68"/>
        <v>0.17200000000000004</v>
      </c>
      <c r="Q279" s="7">
        <f t="shared" ca="1" si="60"/>
        <v>8.6000000000000017E-3</v>
      </c>
      <c r="R279" s="33">
        <f t="shared" ca="1" si="69"/>
        <v>7310.0000000000009</v>
      </c>
      <c r="S279" s="33">
        <f t="shared" ca="1" si="70"/>
        <v>-35190</v>
      </c>
      <c r="T279" s="33">
        <f t="shared" ca="1" si="61"/>
        <v>7310.0000000000009</v>
      </c>
      <c r="U279" s="7">
        <f t="shared" ca="1" si="71"/>
        <v>0.20772946859903385</v>
      </c>
      <c r="V279" s="7">
        <f t="shared" ca="1" si="72"/>
        <v>-0.99775072087721106</v>
      </c>
      <c r="W279" s="33">
        <f t="shared" ca="1" si="62"/>
        <v>-35190</v>
      </c>
      <c r="X279" s="7">
        <f t="shared" ca="1" si="63"/>
        <v>-1</v>
      </c>
      <c r="Y279" s="7">
        <f t="shared" ca="1" si="64"/>
        <v>-0.79227053140096615</v>
      </c>
      <c r="Z279" s="7">
        <f t="shared" ca="1" si="73"/>
        <v>-0.24266384240783354</v>
      </c>
      <c r="AA279" s="33">
        <f t="shared" ca="1" si="65"/>
        <v>-35190</v>
      </c>
      <c r="AB279" s="7">
        <f t="shared" ca="1" si="66"/>
        <v>-4.8139534883720927</v>
      </c>
      <c r="AC279" s="7">
        <f t="shared" ca="1" si="67"/>
        <v>-2.3031120098865294</v>
      </c>
      <c r="AH279" s="34"/>
    </row>
    <row r="280" spans="1:34" x14ac:dyDescent="0.25">
      <c r="A280" s="1">
        <v>277</v>
      </c>
      <c r="B280" s="25">
        <v>44007</v>
      </c>
      <c r="C280" s="10" t="s">
        <v>1661</v>
      </c>
      <c r="D280" s="1">
        <v>183.1</v>
      </c>
      <c r="E280" s="30">
        <v>1700</v>
      </c>
      <c r="F280" s="1">
        <v>165</v>
      </c>
      <c r="G280" s="1">
        <v>5.65</v>
      </c>
      <c r="H280" s="1">
        <v>150</v>
      </c>
      <c r="I280" s="1">
        <v>2.1</v>
      </c>
      <c r="J280" s="1">
        <v>115600</v>
      </c>
      <c r="K280" s="1">
        <v>3400</v>
      </c>
      <c r="L280" s="1">
        <v>1.7</v>
      </c>
      <c r="M280" s="1">
        <v>2.25</v>
      </c>
      <c r="N280" s="1">
        <v>3400</v>
      </c>
      <c r="O280" s="9"/>
      <c r="P280" s="7">
        <f t="shared" ca="1" si="68"/>
        <v>0.23666666666666669</v>
      </c>
      <c r="Q280" s="7">
        <f t="shared" ca="1" si="60"/>
        <v>1.1833333333333335E-2</v>
      </c>
      <c r="R280" s="33">
        <f t="shared" ca="1" si="69"/>
        <v>6035</v>
      </c>
      <c r="S280" s="33">
        <f t="shared" ca="1" si="70"/>
        <v>-19465</v>
      </c>
      <c r="T280" s="33">
        <f t="shared" ca="1" si="61"/>
        <v>6035</v>
      </c>
      <c r="U280" s="7">
        <f t="shared" ca="1" si="71"/>
        <v>0.31004366812227074</v>
      </c>
      <c r="V280" s="7">
        <f t="shared" ca="1" si="72"/>
        <v>-0.99775072087721106</v>
      </c>
      <c r="W280" s="33">
        <f t="shared" ca="1" si="62"/>
        <v>-19465</v>
      </c>
      <c r="X280" s="7">
        <f t="shared" ca="1" si="63"/>
        <v>-1</v>
      </c>
      <c r="Y280" s="7">
        <f t="shared" ca="1" si="64"/>
        <v>-0.68995633187772931</v>
      </c>
      <c r="Z280" s="7">
        <f t="shared" ca="1" si="73"/>
        <v>-0.24266384240783354</v>
      </c>
      <c r="AA280" s="33">
        <f t="shared" ca="1" si="65"/>
        <v>-19465</v>
      </c>
      <c r="AB280" s="7">
        <f t="shared" ca="1" si="66"/>
        <v>-3.2253521126760565</v>
      </c>
      <c r="AC280" s="7">
        <f t="shared" ca="1" si="67"/>
        <v>-1.4576542222768929</v>
      </c>
      <c r="AH280" s="34"/>
    </row>
    <row r="281" spans="1:34" x14ac:dyDescent="0.25">
      <c r="A281" s="1">
        <v>278</v>
      </c>
      <c r="B281" s="25">
        <v>44007</v>
      </c>
      <c r="C281" s="10" t="s">
        <v>1661</v>
      </c>
      <c r="D281" s="1">
        <v>183.1</v>
      </c>
      <c r="E281" s="30">
        <v>1700</v>
      </c>
      <c r="F281" s="1">
        <v>165</v>
      </c>
      <c r="G281" s="1">
        <v>5.65</v>
      </c>
      <c r="H281" s="1">
        <v>160</v>
      </c>
      <c r="I281" s="1">
        <v>3.4</v>
      </c>
      <c r="J281" s="1">
        <v>127500</v>
      </c>
      <c r="K281" s="1">
        <v>3400</v>
      </c>
      <c r="L281" s="1">
        <v>3.35</v>
      </c>
      <c r="M281" s="1">
        <v>3.5</v>
      </c>
      <c r="N281" s="1">
        <v>1700</v>
      </c>
      <c r="O281" s="9"/>
      <c r="P281" s="7">
        <f t="shared" ca="1" si="68"/>
        <v>0.45000000000000007</v>
      </c>
      <c r="Q281" s="7">
        <f t="shared" ca="1" si="60"/>
        <v>2.2500000000000003E-2</v>
      </c>
      <c r="R281" s="33">
        <f t="shared" ca="1" si="69"/>
        <v>3825.0000000000009</v>
      </c>
      <c r="S281" s="33">
        <f t="shared" ca="1" si="70"/>
        <v>-4674.9999999999991</v>
      </c>
      <c r="T281" s="33">
        <f t="shared" ca="1" si="61"/>
        <v>3825.0000000000009</v>
      </c>
      <c r="U281" s="7">
        <f t="shared" ca="1" si="71"/>
        <v>0.81818181818181857</v>
      </c>
      <c r="V281" s="7">
        <f t="shared" ca="1" si="72"/>
        <v>-0.99775072087721106</v>
      </c>
      <c r="W281" s="33">
        <f t="shared" ca="1" si="62"/>
        <v>-4674.9999999999991</v>
      </c>
      <c r="X281" s="7">
        <f t="shared" ca="1" si="63"/>
        <v>-1</v>
      </c>
      <c r="Y281" s="7">
        <f t="shared" ca="1" si="64"/>
        <v>-0.18181818181818143</v>
      </c>
      <c r="Z281" s="7">
        <f t="shared" ca="1" si="73"/>
        <v>-0.24266384240783354</v>
      </c>
      <c r="AA281" s="33">
        <f t="shared" ca="1" si="65"/>
        <v>-4674.9999999999991</v>
      </c>
      <c r="AB281" s="7">
        <f t="shared" ca="1" si="66"/>
        <v>-1.2222222222222217</v>
      </c>
      <c r="AC281" s="7">
        <f t="shared" ca="1" si="67"/>
        <v>-0.20202020202020154</v>
      </c>
      <c r="AH281" s="34"/>
    </row>
    <row r="282" spans="1:34" x14ac:dyDescent="0.25">
      <c r="A282" s="1">
        <v>279</v>
      </c>
      <c r="B282" s="25">
        <v>44007</v>
      </c>
      <c r="C282" s="10" t="s">
        <v>812</v>
      </c>
      <c r="D282" s="1">
        <v>1681.4</v>
      </c>
      <c r="E282" s="30">
        <v>500</v>
      </c>
      <c r="F282" s="1">
        <v>1620</v>
      </c>
      <c r="G282" s="1">
        <v>49.5</v>
      </c>
      <c r="H282" s="1">
        <v>1300</v>
      </c>
      <c r="I282" s="1">
        <v>3.5</v>
      </c>
      <c r="J282" s="1">
        <v>25000</v>
      </c>
      <c r="K282" s="1">
        <v>500</v>
      </c>
      <c r="L282" s="1">
        <v>2.0499999999999998</v>
      </c>
      <c r="M282" s="1">
        <v>4</v>
      </c>
      <c r="N282" s="1">
        <v>500</v>
      </c>
      <c r="O282" s="9"/>
      <c r="P282" s="7">
        <f t="shared" ca="1" si="68"/>
        <v>0.14374999999999999</v>
      </c>
      <c r="Q282" s="7">
        <f t="shared" ca="1" si="60"/>
        <v>7.1874999999999994E-3</v>
      </c>
      <c r="R282" s="33">
        <f t="shared" ca="1" si="69"/>
        <v>23000</v>
      </c>
      <c r="S282" s="33">
        <f t="shared" ca="1" si="70"/>
        <v>-137000</v>
      </c>
      <c r="T282" s="33">
        <f t="shared" ca="1" si="61"/>
        <v>23000</v>
      </c>
      <c r="U282" s="7">
        <f t="shared" ca="1" si="71"/>
        <v>0.16788321167883211</v>
      </c>
      <c r="V282" s="7">
        <f t="shared" ca="1" si="72"/>
        <v>-0.40083874596773367</v>
      </c>
      <c r="W282" s="33">
        <f t="shared" ca="1" si="62"/>
        <v>-137000</v>
      </c>
      <c r="X282" s="7">
        <f t="shared" ca="1" si="63"/>
        <v>-1</v>
      </c>
      <c r="Y282" s="7">
        <f t="shared" ca="1" si="64"/>
        <v>-0.83211678832116787</v>
      </c>
      <c r="Z282" s="7">
        <f t="shared" ca="1" si="73"/>
        <v>-0.15245286739807035</v>
      </c>
      <c r="AA282" s="33">
        <f t="shared" ca="1" si="65"/>
        <v>-74467.125621557672</v>
      </c>
      <c r="AB282" s="7">
        <f t="shared" ca="1" si="66"/>
        <v>-3.2377011139807683</v>
      </c>
      <c r="AC282" s="7">
        <f t="shared" ca="1" si="67"/>
        <v>-1.5349089511509681</v>
      </c>
      <c r="AH282" s="34"/>
    </row>
    <row r="283" spans="1:34" x14ac:dyDescent="0.25">
      <c r="A283" s="1">
        <v>280</v>
      </c>
      <c r="B283" s="25">
        <v>44007</v>
      </c>
      <c r="C283" s="10" t="s">
        <v>812</v>
      </c>
      <c r="D283" s="1">
        <v>1681.4</v>
      </c>
      <c r="E283" s="30">
        <v>500</v>
      </c>
      <c r="F283" s="1">
        <v>1620</v>
      </c>
      <c r="G283" s="1">
        <v>49.5</v>
      </c>
      <c r="H283" s="1">
        <v>1400</v>
      </c>
      <c r="I283" s="1">
        <v>8.6</v>
      </c>
      <c r="J283" s="1">
        <v>60500</v>
      </c>
      <c r="K283" s="1">
        <v>500</v>
      </c>
      <c r="L283" s="1">
        <v>7.5</v>
      </c>
      <c r="M283" s="1">
        <v>7.7</v>
      </c>
      <c r="N283" s="1">
        <v>500</v>
      </c>
      <c r="O283" s="9"/>
      <c r="P283" s="7">
        <f t="shared" ca="1" si="68"/>
        <v>0.18590909090909091</v>
      </c>
      <c r="Q283" s="7">
        <f t="shared" ref="Q283:Q340" ca="1" si="74">P283/($B283-TODAY())</f>
        <v>9.295454545454546E-3</v>
      </c>
      <c r="R283" s="33">
        <f t="shared" ca="1" si="69"/>
        <v>20450</v>
      </c>
      <c r="S283" s="33">
        <f t="shared" ca="1" si="70"/>
        <v>-89550</v>
      </c>
      <c r="T283" s="33">
        <f t="shared" ref="T283:T340" ca="1" si="75">R283</f>
        <v>20450</v>
      </c>
      <c r="U283" s="7">
        <f t="shared" ca="1" si="71"/>
        <v>0.2283640424343942</v>
      </c>
      <c r="V283" s="7">
        <f t="shared" ca="1" si="72"/>
        <v>-0.40083874596773367</v>
      </c>
      <c r="W283" s="33">
        <f t="shared" ref="W283:W340" ca="1" si="76">-(MAX(($F283-MAX($D283*(1+V283),$H283)),0)*$E283-$R283)</f>
        <v>-89550</v>
      </c>
      <c r="X283" s="7">
        <f t="shared" ref="X283:X340" ca="1" si="77">W283/ABS($S283)</f>
        <v>-1</v>
      </c>
      <c r="Y283" s="7">
        <f t="shared" ref="Y283:Y340" ca="1" si="78">$U283+X283</f>
        <v>-0.77163595756560577</v>
      </c>
      <c r="Z283" s="7">
        <f t="shared" ca="1" si="73"/>
        <v>-0.15245286739807035</v>
      </c>
      <c r="AA283" s="33">
        <f t="shared" ref="AA283:AA340" ca="1" si="79">-(MAX(($F283-MAX($D283*(1+Z283),$H283)),0)*$E283-$R283)</f>
        <v>-77017.125621557672</v>
      </c>
      <c r="AB283" s="7">
        <f t="shared" ref="AB283:AB340" ca="1" si="80">AA283/$R283</f>
        <v>-3.7661186123011086</v>
      </c>
      <c r="AC283" s="7">
        <f t="shared" ref="AC283:AC340" ca="1" si="81">AVERAGE($U283,AB283)</f>
        <v>-1.7688772849333572</v>
      </c>
      <c r="AH283" s="34"/>
    </row>
    <row r="284" spans="1:34" x14ac:dyDescent="0.25">
      <c r="A284" s="1">
        <v>281</v>
      </c>
      <c r="B284" s="25">
        <v>44007</v>
      </c>
      <c r="C284" s="10" t="s">
        <v>812</v>
      </c>
      <c r="D284" s="1">
        <v>1681.4</v>
      </c>
      <c r="E284" s="30">
        <v>500</v>
      </c>
      <c r="F284" s="1">
        <v>1620</v>
      </c>
      <c r="G284" s="1">
        <v>49.5</v>
      </c>
      <c r="H284" s="1">
        <v>1500</v>
      </c>
      <c r="I284" s="1">
        <v>18</v>
      </c>
      <c r="J284" s="1">
        <v>69500</v>
      </c>
      <c r="K284" s="1">
        <v>3000</v>
      </c>
      <c r="L284" s="1">
        <v>17.3</v>
      </c>
      <c r="M284" s="1">
        <v>18.649999999999999</v>
      </c>
      <c r="N284" s="1">
        <v>1000</v>
      </c>
      <c r="O284" s="9"/>
      <c r="P284" s="7">
        <f t="shared" ca="1" si="68"/>
        <v>0.26250000000000001</v>
      </c>
      <c r="Q284" s="7">
        <f t="shared" ca="1" si="74"/>
        <v>1.3125000000000001E-2</v>
      </c>
      <c r="R284" s="33">
        <f t="shared" ca="1" si="69"/>
        <v>15750</v>
      </c>
      <c r="S284" s="33">
        <f t="shared" ca="1" si="70"/>
        <v>-44250</v>
      </c>
      <c r="T284" s="33">
        <f t="shared" ca="1" si="75"/>
        <v>15750</v>
      </c>
      <c r="U284" s="7">
        <f t="shared" ca="1" si="71"/>
        <v>0.3559322033898305</v>
      </c>
      <c r="V284" s="7">
        <f t="shared" ca="1" si="72"/>
        <v>-0.40083874596773367</v>
      </c>
      <c r="W284" s="33">
        <f t="shared" ca="1" si="76"/>
        <v>-44250</v>
      </c>
      <c r="X284" s="7">
        <f t="shared" ca="1" si="77"/>
        <v>-1</v>
      </c>
      <c r="Y284" s="7">
        <f t="shared" ca="1" si="78"/>
        <v>-0.64406779661016955</v>
      </c>
      <c r="Z284" s="7">
        <f t="shared" ca="1" si="73"/>
        <v>-0.15245286739807035</v>
      </c>
      <c r="AA284" s="33">
        <f t="shared" ca="1" si="79"/>
        <v>-44250</v>
      </c>
      <c r="AB284" s="7">
        <f t="shared" ca="1" si="80"/>
        <v>-2.8095238095238093</v>
      </c>
      <c r="AC284" s="7">
        <f t="shared" ca="1" si="81"/>
        <v>-1.2267958030669894</v>
      </c>
      <c r="AH284" s="34"/>
    </row>
    <row r="285" spans="1:34" x14ac:dyDescent="0.25">
      <c r="A285" s="1">
        <v>282</v>
      </c>
      <c r="B285" s="25">
        <v>44007</v>
      </c>
      <c r="C285" s="10" t="s">
        <v>812</v>
      </c>
      <c r="D285" s="1">
        <v>1681.4</v>
      </c>
      <c r="E285" s="30">
        <v>500</v>
      </c>
      <c r="F285" s="1">
        <v>1620</v>
      </c>
      <c r="G285" s="1">
        <v>49.5</v>
      </c>
      <c r="H285" s="1">
        <v>1550</v>
      </c>
      <c r="I285" s="1">
        <v>29.05</v>
      </c>
      <c r="J285" s="1">
        <v>24000</v>
      </c>
      <c r="K285" s="1">
        <v>500</v>
      </c>
      <c r="L285" s="1">
        <v>28.4</v>
      </c>
      <c r="M285" s="1">
        <v>29.25</v>
      </c>
      <c r="N285" s="1">
        <v>500</v>
      </c>
      <c r="O285" s="9"/>
      <c r="P285" s="7">
        <f t="shared" ca="1" si="68"/>
        <v>0.29214285714285715</v>
      </c>
      <c r="Q285" s="7">
        <f t="shared" ca="1" si="74"/>
        <v>1.4607142857142857E-2</v>
      </c>
      <c r="R285" s="33">
        <f t="shared" ca="1" si="69"/>
        <v>10225</v>
      </c>
      <c r="S285" s="33">
        <f t="shared" ca="1" si="70"/>
        <v>-24775</v>
      </c>
      <c r="T285" s="33">
        <f t="shared" ca="1" si="75"/>
        <v>10225</v>
      </c>
      <c r="U285" s="7">
        <f t="shared" ca="1" si="71"/>
        <v>0.4127144298688194</v>
      </c>
      <c r="V285" s="7">
        <f t="shared" ca="1" si="72"/>
        <v>-0.40083874596773367</v>
      </c>
      <c r="W285" s="33">
        <f t="shared" ca="1" si="76"/>
        <v>-24775</v>
      </c>
      <c r="X285" s="7">
        <f t="shared" ca="1" si="77"/>
        <v>-1</v>
      </c>
      <c r="Y285" s="7">
        <f t="shared" ca="1" si="78"/>
        <v>-0.58728557013118055</v>
      </c>
      <c r="Z285" s="7">
        <f t="shared" ca="1" si="73"/>
        <v>-0.15245286739807035</v>
      </c>
      <c r="AA285" s="33">
        <f t="shared" ca="1" si="79"/>
        <v>-24775</v>
      </c>
      <c r="AB285" s="7">
        <f t="shared" ca="1" si="80"/>
        <v>-2.4229828850855744</v>
      </c>
      <c r="AC285" s="7">
        <f t="shared" ca="1" si="81"/>
        <v>-1.0051342276083775</v>
      </c>
      <c r="AH285" s="34"/>
    </row>
    <row r="286" spans="1:34" x14ac:dyDescent="0.25">
      <c r="A286" s="1">
        <v>283</v>
      </c>
      <c r="B286" s="25">
        <v>44007</v>
      </c>
      <c r="C286" s="10" t="s">
        <v>812</v>
      </c>
      <c r="D286" s="1">
        <v>1681.4</v>
      </c>
      <c r="E286" s="30">
        <v>500</v>
      </c>
      <c r="F286" s="1">
        <v>1620</v>
      </c>
      <c r="G286" s="1">
        <v>49.5</v>
      </c>
      <c r="H286" s="1">
        <v>1600</v>
      </c>
      <c r="I286" s="1">
        <v>44</v>
      </c>
      <c r="J286" s="1">
        <v>132000</v>
      </c>
      <c r="K286" s="1">
        <v>500</v>
      </c>
      <c r="L286" s="1">
        <v>43.4</v>
      </c>
      <c r="M286" s="1">
        <v>44.4</v>
      </c>
      <c r="N286" s="1">
        <v>500</v>
      </c>
      <c r="O286" s="9"/>
      <c r="P286" s="7">
        <f t="shared" ca="1" si="68"/>
        <v>0.27500000000000002</v>
      </c>
      <c r="Q286" s="7">
        <f t="shared" ca="1" si="74"/>
        <v>1.3750000000000002E-2</v>
      </c>
      <c r="R286" s="33">
        <f t="shared" ca="1" si="69"/>
        <v>2750</v>
      </c>
      <c r="S286" s="33">
        <f t="shared" ca="1" si="70"/>
        <v>-7250</v>
      </c>
      <c r="T286" s="33">
        <f t="shared" ca="1" si="75"/>
        <v>2750</v>
      </c>
      <c r="U286" s="7">
        <f t="shared" ca="1" si="71"/>
        <v>0.37931034482758619</v>
      </c>
      <c r="V286" s="7">
        <f t="shared" ca="1" si="72"/>
        <v>-0.40083874596773367</v>
      </c>
      <c r="W286" s="33">
        <f t="shared" ca="1" si="76"/>
        <v>-7250</v>
      </c>
      <c r="X286" s="7">
        <f t="shared" ca="1" si="77"/>
        <v>-1</v>
      </c>
      <c r="Y286" s="7">
        <f t="shared" ca="1" si="78"/>
        <v>-0.62068965517241381</v>
      </c>
      <c r="Z286" s="7">
        <f t="shared" ca="1" si="73"/>
        <v>-0.15245286739807035</v>
      </c>
      <c r="AA286" s="33">
        <f t="shared" ca="1" si="79"/>
        <v>-7250</v>
      </c>
      <c r="AB286" s="7">
        <f t="shared" ca="1" si="80"/>
        <v>-2.6363636363636362</v>
      </c>
      <c r="AC286" s="7">
        <f t="shared" ca="1" si="81"/>
        <v>-1.128526645768025</v>
      </c>
      <c r="AH286" s="34"/>
    </row>
    <row r="287" spans="1:34" x14ac:dyDescent="0.25">
      <c r="A287" s="1">
        <v>284</v>
      </c>
      <c r="B287" s="25">
        <v>44007</v>
      </c>
      <c r="C287" s="10" t="s">
        <v>1139</v>
      </c>
      <c r="D287" s="1">
        <v>87.1</v>
      </c>
      <c r="E287" s="30">
        <v>4100</v>
      </c>
      <c r="F287" s="1">
        <v>82</v>
      </c>
      <c r="G287" s="1">
        <v>1.95</v>
      </c>
      <c r="H287" s="1">
        <v>65</v>
      </c>
      <c r="I287" s="1">
        <v>0.2</v>
      </c>
      <c r="J287" s="1">
        <v>225500</v>
      </c>
      <c r="K287" s="1">
        <v>8200</v>
      </c>
      <c r="L287" s="1">
        <v>0.2</v>
      </c>
      <c r="M287" s="1">
        <v>0.25</v>
      </c>
      <c r="N287" s="1">
        <v>24600</v>
      </c>
      <c r="O287" s="9"/>
      <c r="P287" s="7">
        <f t="shared" ca="1" si="68"/>
        <v>0.10294117647058823</v>
      </c>
      <c r="Q287" s="7">
        <f t="shared" ca="1" si="74"/>
        <v>5.1470588235294117E-3</v>
      </c>
      <c r="R287" s="33">
        <f t="shared" ca="1" si="69"/>
        <v>7175</v>
      </c>
      <c r="S287" s="33">
        <f t="shared" ca="1" si="70"/>
        <v>-62525</v>
      </c>
      <c r="T287" s="33">
        <f t="shared" ca="1" si="75"/>
        <v>7175</v>
      </c>
      <c r="U287" s="7">
        <f t="shared" ca="1" si="71"/>
        <v>0.11475409836065574</v>
      </c>
      <c r="V287" s="7">
        <f t="shared" ca="1" si="72"/>
        <v>-0.57317971588701988</v>
      </c>
      <c r="W287" s="33">
        <f t="shared" ca="1" si="76"/>
        <v>-62525</v>
      </c>
      <c r="X287" s="7">
        <f t="shared" ca="1" si="77"/>
        <v>-1</v>
      </c>
      <c r="Y287" s="7">
        <f t="shared" ca="1" si="78"/>
        <v>-0.88524590163934425</v>
      </c>
      <c r="Z287" s="7">
        <f t="shared" ca="1" si="73"/>
        <v>-0.13366057230907988</v>
      </c>
      <c r="AA287" s="33">
        <f t="shared" ca="1" si="79"/>
        <v>-19646.526977295562</v>
      </c>
      <c r="AB287" s="7">
        <f t="shared" ca="1" si="80"/>
        <v>-2.7381919132119248</v>
      </c>
      <c r="AC287" s="7">
        <f t="shared" ca="1" si="81"/>
        <v>-1.3117189074256346</v>
      </c>
      <c r="AH287" s="34"/>
    </row>
    <row r="288" spans="1:34" x14ac:dyDescent="0.25">
      <c r="A288" s="1">
        <v>285</v>
      </c>
      <c r="B288" s="25">
        <v>44007</v>
      </c>
      <c r="C288" s="10" t="s">
        <v>1139</v>
      </c>
      <c r="D288" s="1">
        <v>87.1</v>
      </c>
      <c r="E288" s="30">
        <v>4100</v>
      </c>
      <c r="F288" s="1">
        <v>82</v>
      </c>
      <c r="G288" s="1">
        <v>1.95</v>
      </c>
      <c r="H288" s="1">
        <v>70</v>
      </c>
      <c r="I288" s="1">
        <v>0.45</v>
      </c>
      <c r="J288" s="1">
        <v>590400</v>
      </c>
      <c r="K288" s="1">
        <v>12300</v>
      </c>
      <c r="L288" s="1">
        <v>0.4</v>
      </c>
      <c r="M288" s="1">
        <v>0.5</v>
      </c>
      <c r="N288" s="1">
        <v>24600</v>
      </c>
      <c r="O288" s="9"/>
      <c r="P288" s="7">
        <f t="shared" ca="1" si="68"/>
        <v>0.125</v>
      </c>
      <c r="Q288" s="7">
        <f t="shared" ca="1" si="74"/>
        <v>6.2500000000000003E-3</v>
      </c>
      <c r="R288" s="33">
        <f t="shared" ca="1" si="69"/>
        <v>6150</v>
      </c>
      <c r="S288" s="33">
        <f t="shared" ca="1" si="70"/>
        <v>-43050</v>
      </c>
      <c r="T288" s="33">
        <f t="shared" ca="1" si="75"/>
        <v>6150</v>
      </c>
      <c r="U288" s="7">
        <f t="shared" ca="1" si="71"/>
        <v>0.14285714285714285</v>
      </c>
      <c r="V288" s="7">
        <f t="shared" ca="1" si="72"/>
        <v>-0.57317971588701988</v>
      </c>
      <c r="W288" s="33">
        <f t="shared" ca="1" si="76"/>
        <v>-43050</v>
      </c>
      <c r="X288" s="7">
        <f t="shared" ca="1" si="77"/>
        <v>-1</v>
      </c>
      <c r="Y288" s="7">
        <f t="shared" ca="1" si="78"/>
        <v>-0.85714285714285721</v>
      </c>
      <c r="Z288" s="7">
        <f t="shared" ca="1" si="73"/>
        <v>-0.13366057230907988</v>
      </c>
      <c r="AA288" s="33">
        <f t="shared" ca="1" si="79"/>
        <v>-20671.526977295562</v>
      </c>
      <c r="AB288" s="7">
        <f t="shared" ca="1" si="80"/>
        <v>-3.3612238987472458</v>
      </c>
      <c r="AC288" s="7">
        <f t="shared" ca="1" si="81"/>
        <v>-1.6091833779450515</v>
      </c>
      <c r="AH288" s="34"/>
    </row>
    <row r="289" spans="1:34" x14ac:dyDescent="0.25">
      <c r="A289" s="1">
        <v>286</v>
      </c>
      <c r="B289" s="25">
        <v>44007</v>
      </c>
      <c r="C289" s="10" t="s">
        <v>1139</v>
      </c>
      <c r="D289" s="1">
        <v>87.1</v>
      </c>
      <c r="E289" s="30">
        <v>4100</v>
      </c>
      <c r="F289" s="1">
        <v>82</v>
      </c>
      <c r="G289" s="1">
        <v>1.95</v>
      </c>
      <c r="H289" s="1">
        <v>71</v>
      </c>
      <c r="I289" s="1">
        <v>0.6</v>
      </c>
      <c r="J289" s="1">
        <v>24600</v>
      </c>
      <c r="K289" s="1">
        <v>12300</v>
      </c>
      <c r="L289" s="1">
        <v>0.2</v>
      </c>
      <c r="M289" s="1">
        <v>0.65</v>
      </c>
      <c r="N289" s="1">
        <v>16400</v>
      </c>
      <c r="O289" s="9"/>
      <c r="P289" s="7">
        <f t="shared" ca="1" si="68"/>
        <v>0.12272727272727274</v>
      </c>
      <c r="Q289" s="7">
        <f t="shared" ca="1" si="74"/>
        <v>6.1363636363636368E-3</v>
      </c>
      <c r="R289" s="33">
        <f t="shared" ca="1" si="69"/>
        <v>5535</v>
      </c>
      <c r="S289" s="33">
        <f t="shared" ca="1" si="70"/>
        <v>-39565</v>
      </c>
      <c r="T289" s="33">
        <f t="shared" ca="1" si="75"/>
        <v>5535</v>
      </c>
      <c r="U289" s="7">
        <f t="shared" ca="1" si="71"/>
        <v>0.13989637305699482</v>
      </c>
      <c r="V289" s="7">
        <f t="shared" ca="1" si="72"/>
        <v>-0.57317971588701988</v>
      </c>
      <c r="W289" s="33">
        <f t="shared" ca="1" si="76"/>
        <v>-39565</v>
      </c>
      <c r="X289" s="7">
        <f t="shared" ca="1" si="77"/>
        <v>-1</v>
      </c>
      <c r="Y289" s="7">
        <f t="shared" ca="1" si="78"/>
        <v>-0.86010362694300513</v>
      </c>
      <c r="Z289" s="7">
        <f t="shared" ca="1" si="73"/>
        <v>-0.13366057230907988</v>
      </c>
      <c r="AA289" s="33">
        <f t="shared" ca="1" si="79"/>
        <v>-21286.526977295562</v>
      </c>
      <c r="AB289" s="7">
        <f t="shared" ca="1" si="80"/>
        <v>-3.8458043319413844</v>
      </c>
      <c r="AC289" s="7">
        <f t="shared" ca="1" si="81"/>
        <v>-1.8529539794421948</v>
      </c>
      <c r="AH289" s="34"/>
    </row>
    <row r="290" spans="1:34" x14ac:dyDescent="0.25">
      <c r="A290" s="1">
        <v>287</v>
      </c>
      <c r="B290" s="25">
        <v>44007</v>
      </c>
      <c r="C290" s="10" t="s">
        <v>1139</v>
      </c>
      <c r="D290" s="1">
        <v>87.1</v>
      </c>
      <c r="E290" s="30">
        <v>4100</v>
      </c>
      <c r="F290" s="1">
        <v>82</v>
      </c>
      <c r="G290" s="1">
        <v>1.95</v>
      </c>
      <c r="H290" s="1">
        <v>72.5</v>
      </c>
      <c r="I290" s="1">
        <v>0.55000000000000004</v>
      </c>
      <c r="J290" s="1">
        <v>49200</v>
      </c>
      <c r="K290" s="1">
        <v>12300</v>
      </c>
      <c r="L290" s="1">
        <v>0.4</v>
      </c>
      <c r="M290" s="1">
        <v>0.55000000000000004</v>
      </c>
      <c r="N290" s="1">
        <v>4100</v>
      </c>
      <c r="O290" s="9"/>
      <c r="P290" s="7">
        <f t="shared" ca="1" si="68"/>
        <v>0.14736842105263157</v>
      </c>
      <c r="Q290" s="7">
        <f t="shared" ca="1" si="74"/>
        <v>7.3684210526315779E-3</v>
      </c>
      <c r="R290" s="33">
        <f t="shared" ca="1" si="69"/>
        <v>5740</v>
      </c>
      <c r="S290" s="33">
        <f t="shared" ca="1" si="70"/>
        <v>-33210</v>
      </c>
      <c r="T290" s="33">
        <f t="shared" ca="1" si="75"/>
        <v>5740</v>
      </c>
      <c r="U290" s="7">
        <f t="shared" ca="1" si="71"/>
        <v>0.1728395061728395</v>
      </c>
      <c r="V290" s="7">
        <f t="shared" ca="1" si="72"/>
        <v>-0.57317971588701988</v>
      </c>
      <c r="W290" s="33">
        <f t="shared" ca="1" si="76"/>
        <v>-33210</v>
      </c>
      <c r="X290" s="7">
        <f t="shared" ca="1" si="77"/>
        <v>-1</v>
      </c>
      <c r="Y290" s="7">
        <f t="shared" ca="1" si="78"/>
        <v>-0.8271604938271605</v>
      </c>
      <c r="Z290" s="7">
        <f t="shared" ca="1" si="73"/>
        <v>-0.13366057230907988</v>
      </c>
      <c r="AA290" s="33">
        <f t="shared" ca="1" si="79"/>
        <v>-21081.526977295562</v>
      </c>
      <c r="AB290" s="7">
        <f t="shared" ca="1" si="80"/>
        <v>-3.6727398915149063</v>
      </c>
      <c r="AC290" s="7">
        <f t="shared" ca="1" si="81"/>
        <v>-1.7499501926710335</v>
      </c>
      <c r="AH290" s="34"/>
    </row>
    <row r="291" spans="1:34" x14ac:dyDescent="0.25">
      <c r="A291" s="1">
        <v>288</v>
      </c>
      <c r="B291" s="25">
        <v>44007</v>
      </c>
      <c r="C291" s="10" t="s">
        <v>1139</v>
      </c>
      <c r="D291" s="1">
        <v>87.1</v>
      </c>
      <c r="E291" s="30">
        <v>4100</v>
      </c>
      <c r="F291" s="1">
        <v>82</v>
      </c>
      <c r="G291" s="1">
        <v>1.95</v>
      </c>
      <c r="H291" s="1">
        <v>75</v>
      </c>
      <c r="I291" s="1">
        <v>0.85</v>
      </c>
      <c r="J291" s="1">
        <v>1193100</v>
      </c>
      <c r="K291" s="1">
        <v>28700</v>
      </c>
      <c r="L291" s="1">
        <v>0.8</v>
      </c>
      <c r="M291" s="1">
        <v>0.85</v>
      </c>
      <c r="N291" s="1">
        <v>12300</v>
      </c>
      <c r="O291" s="9"/>
      <c r="P291" s="7">
        <f t="shared" ca="1" si="68"/>
        <v>0.15714285714285717</v>
      </c>
      <c r="Q291" s="7">
        <f t="shared" ca="1" si="74"/>
        <v>7.8571428571428577E-3</v>
      </c>
      <c r="R291" s="33">
        <f t="shared" ca="1" si="69"/>
        <v>4510</v>
      </c>
      <c r="S291" s="33">
        <f t="shared" ca="1" si="70"/>
        <v>-24190</v>
      </c>
      <c r="T291" s="33">
        <f t="shared" ca="1" si="75"/>
        <v>4510</v>
      </c>
      <c r="U291" s="7">
        <f t="shared" ca="1" si="71"/>
        <v>0.1864406779661017</v>
      </c>
      <c r="V291" s="7">
        <f t="shared" ca="1" si="72"/>
        <v>-0.57317971588701988</v>
      </c>
      <c r="W291" s="33">
        <f t="shared" ca="1" si="76"/>
        <v>-24190</v>
      </c>
      <c r="X291" s="7">
        <f t="shared" ca="1" si="77"/>
        <v>-1</v>
      </c>
      <c r="Y291" s="7">
        <f t="shared" ca="1" si="78"/>
        <v>-0.81355932203389836</v>
      </c>
      <c r="Z291" s="7">
        <f t="shared" ca="1" si="73"/>
        <v>-0.13366057230907988</v>
      </c>
      <c r="AA291" s="33">
        <f t="shared" ca="1" si="79"/>
        <v>-22311.526977295562</v>
      </c>
      <c r="AB291" s="7">
        <f t="shared" ca="1" si="80"/>
        <v>-4.947123498291699</v>
      </c>
      <c r="AC291" s="7">
        <f t="shared" ca="1" si="81"/>
        <v>-2.3803414101627984</v>
      </c>
      <c r="AH291" s="34"/>
    </row>
    <row r="292" spans="1:34" x14ac:dyDescent="0.25">
      <c r="A292" s="1">
        <v>289</v>
      </c>
      <c r="B292" s="25">
        <v>44007</v>
      </c>
      <c r="C292" s="10" t="s">
        <v>1139</v>
      </c>
      <c r="D292" s="1">
        <v>87.1</v>
      </c>
      <c r="E292" s="30">
        <v>4100</v>
      </c>
      <c r="F292" s="1">
        <v>82</v>
      </c>
      <c r="G292" s="1">
        <v>1.95</v>
      </c>
      <c r="H292" s="1">
        <v>76</v>
      </c>
      <c r="I292" s="1">
        <v>1</v>
      </c>
      <c r="J292" s="1">
        <v>69700</v>
      </c>
      <c r="K292" s="1">
        <v>4100</v>
      </c>
      <c r="L292" s="1">
        <v>0.8</v>
      </c>
      <c r="M292" s="1">
        <v>1.1499999999999999</v>
      </c>
      <c r="N292" s="1">
        <v>8200</v>
      </c>
      <c r="O292" s="9"/>
      <c r="P292" s="7">
        <f t="shared" ca="1" si="68"/>
        <v>0.15833333333333333</v>
      </c>
      <c r="Q292" s="7">
        <f t="shared" ca="1" si="74"/>
        <v>7.9166666666666656E-3</v>
      </c>
      <c r="R292" s="33">
        <f t="shared" ca="1" si="69"/>
        <v>3895</v>
      </c>
      <c r="S292" s="33">
        <f t="shared" ca="1" si="70"/>
        <v>-20705</v>
      </c>
      <c r="T292" s="33">
        <f t="shared" ca="1" si="75"/>
        <v>3895</v>
      </c>
      <c r="U292" s="7">
        <f t="shared" ca="1" si="71"/>
        <v>0.18811881188118812</v>
      </c>
      <c r="V292" s="7">
        <f t="shared" ca="1" si="72"/>
        <v>-0.57317971588701988</v>
      </c>
      <c r="W292" s="33">
        <f t="shared" ca="1" si="76"/>
        <v>-20705</v>
      </c>
      <c r="X292" s="7">
        <f t="shared" ca="1" si="77"/>
        <v>-1</v>
      </c>
      <c r="Y292" s="7">
        <f t="shared" ca="1" si="78"/>
        <v>-0.81188118811881194</v>
      </c>
      <c r="Z292" s="7">
        <f t="shared" ca="1" si="73"/>
        <v>-0.13366057230907988</v>
      </c>
      <c r="AA292" s="33">
        <f t="shared" ca="1" si="79"/>
        <v>-20705</v>
      </c>
      <c r="AB292" s="7">
        <f t="shared" ca="1" si="80"/>
        <v>-5.3157894736842106</v>
      </c>
      <c r="AC292" s="7">
        <f t="shared" ca="1" si="81"/>
        <v>-2.5638353309015112</v>
      </c>
      <c r="AH292" s="34"/>
    </row>
    <row r="293" spans="1:34" x14ac:dyDescent="0.25">
      <c r="A293" s="1">
        <v>290</v>
      </c>
      <c r="B293" s="25">
        <v>44007</v>
      </c>
      <c r="C293" s="10" t="s">
        <v>1139</v>
      </c>
      <c r="D293" s="1">
        <v>87.1</v>
      </c>
      <c r="E293" s="30">
        <v>4100</v>
      </c>
      <c r="F293" s="1">
        <v>82</v>
      </c>
      <c r="G293" s="1">
        <v>1.95</v>
      </c>
      <c r="H293" s="1">
        <v>77.5</v>
      </c>
      <c r="I293" s="1">
        <v>1.1499999999999999</v>
      </c>
      <c r="J293" s="1">
        <v>168100</v>
      </c>
      <c r="K293" s="1">
        <v>4100</v>
      </c>
      <c r="L293" s="1">
        <v>1</v>
      </c>
      <c r="M293" s="1">
        <v>1.3</v>
      </c>
      <c r="N293" s="1">
        <v>4100</v>
      </c>
      <c r="O293" s="9"/>
      <c r="P293" s="7">
        <f t="shared" ca="1" si="68"/>
        <v>0.17777777777777778</v>
      </c>
      <c r="Q293" s="7">
        <f t="shared" ca="1" si="74"/>
        <v>8.8888888888888889E-3</v>
      </c>
      <c r="R293" s="33">
        <f t="shared" ca="1" si="69"/>
        <v>3280</v>
      </c>
      <c r="S293" s="33">
        <f t="shared" ca="1" si="70"/>
        <v>-15170</v>
      </c>
      <c r="T293" s="33">
        <f t="shared" ca="1" si="75"/>
        <v>3280</v>
      </c>
      <c r="U293" s="7">
        <f t="shared" ca="1" si="71"/>
        <v>0.21621621621621623</v>
      </c>
      <c r="V293" s="7">
        <f t="shared" ca="1" si="72"/>
        <v>-0.57317971588701988</v>
      </c>
      <c r="W293" s="33">
        <f t="shared" ca="1" si="76"/>
        <v>-15170</v>
      </c>
      <c r="X293" s="7">
        <f t="shared" ca="1" si="77"/>
        <v>-1</v>
      </c>
      <c r="Y293" s="7">
        <f t="shared" ca="1" si="78"/>
        <v>-0.78378378378378377</v>
      </c>
      <c r="Z293" s="7">
        <f t="shared" ca="1" si="73"/>
        <v>-0.13366057230907988</v>
      </c>
      <c r="AA293" s="33">
        <f t="shared" ca="1" si="79"/>
        <v>-15170</v>
      </c>
      <c r="AB293" s="7">
        <f t="shared" ca="1" si="80"/>
        <v>-4.625</v>
      </c>
      <c r="AC293" s="7">
        <f t="shared" ca="1" si="81"/>
        <v>-2.2043918918918921</v>
      </c>
      <c r="AH293" s="34"/>
    </row>
    <row r="294" spans="1:34" x14ac:dyDescent="0.25">
      <c r="A294" s="1">
        <v>291</v>
      </c>
      <c r="B294" s="25">
        <v>44007</v>
      </c>
      <c r="C294" s="10" t="s">
        <v>1139</v>
      </c>
      <c r="D294" s="1">
        <v>87.1</v>
      </c>
      <c r="E294" s="30">
        <v>4100</v>
      </c>
      <c r="F294" s="1">
        <v>82</v>
      </c>
      <c r="G294" s="1">
        <v>1.95</v>
      </c>
      <c r="H294" s="1">
        <v>80</v>
      </c>
      <c r="I294" s="1">
        <v>1.7</v>
      </c>
      <c r="J294" s="1">
        <v>959400</v>
      </c>
      <c r="K294" s="1">
        <v>8200</v>
      </c>
      <c r="L294" s="1">
        <v>1.65</v>
      </c>
      <c r="M294" s="1">
        <v>1.75</v>
      </c>
      <c r="N294" s="1">
        <v>12300</v>
      </c>
      <c r="O294" s="9"/>
      <c r="P294" s="7">
        <f t="shared" ca="1" si="68"/>
        <v>0.125</v>
      </c>
      <c r="Q294" s="7">
        <f t="shared" ca="1" si="74"/>
        <v>6.2500000000000003E-3</v>
      </c>
      <c r="R294" s="33">
        <f t="shared" ca="1" si="69"/>
        <v>1025</v>
      </c>
      <c r="S294" s="33">
        <f t="shared" ca="1" si="70"/>
        <v>-7175</v>
      </c>
      <c r="T294" s="33">
        <f t="shared" ca="1" si="75"/>
        <v>1025</v>
      </c>
      <c r="U294" s="7">
        <f t="shared" ca="1" si="71"/>
        <v>0.14285714285714285</v>
      </c>
      <c r="V294" s="7">
        <f t="shared" ca="1" si="72"/>
        <v>-0.57317971588701988</v>
      </c>
      <c r="W294" s="33">
        <f t="shared" ca="1" si="76"/>
        <v>-7175</v>
      </c>
      <c r="X294" s="7">
        <f t="shared" ca="1" si="77"/>
        <v>-1</v>
      </c>
      <c r="Y294" s="7">
        <f t="shared" ca="1" si="78"/>
        <v>-0.85714285714285721</v>
      </c>
      <c r="Z294" s="7">
        <f t="shared" ca="1" si="73"/>
        <v>-0.13366057230907988</v>
      </c>
      <c r="AA294" s="33">
        <f t="shared" ca="1" si="79"/>
        <v>-7175</v>
      </c>
      <c r="AB294" s="7">
        <f t="shared" ca="1" si="80"/>
        <v>-7</v>
      </c>
      <c r="AC294" s="7">
        <f t="shared" ca="1" si="81"/>
        <v>-3.4285714285714284</v>
      </c>
      <c r="AH294" s="34"/>
    </row>
    <row r="295" spans="1:34" x14ac:dyDescent="0.25">
      <c r="A295" s="1">
        <v>292</v>
      </c>
      <c r="B295" s="25">
        <v>44007</v>
      </c>
      <c r="C295" s="10" t="s">
        <v>1580</v>
      </c>
      <c r="D295" s="1">
        <v>339</v>
      </c>
      <c r="E295" s="30">
        <v>1500</v>
      </c>
      <c r="F295" s="1">
        <v>305</v>
      </c>
      <c r="G295" s="1">
        <v>6.5</v>
      </c>
      <c r="H295" s="1">
        <v>250</v>
      </c>
      <c r="I295" s="1">
        <v>0.85</v>
      </c>
      <c r="J295" s="1">
        <v>370500</v>
      </c>
      <c r="K295" s="1">
        <v>31500</v>
      </c>
      <c r="L295" s="1">
        <v>0.85</v>
      </c>
      <c r="M295" s="1">
        <v>0.9</v>
      </c>
      <c r="N295" s="1">
        <v>18000</v>
      </c>
      <c r="O295" s="9"/>
      <c r="P295" s="7">
        <f t="shared" ca="1" si="68"/>
        <v>0.10272727272727274</v>
      </c>
      <c r="Q295" s="7">
        <f t="shared" ca="1" si="74"/>
        <v>5.1363636363636368E-3</v>
      </c>
      <c r="R295" s="33">
        <f t="shared" ca="1" si="69"/>
        <v>8475</v>
      </c>
      <c r="S295" s="33">
        <f t="shared" ca="1" si="70"/>
        <v>-74025</v>
      </c>
      <c r="T295" s="33">
        <f t="shared" ca="1" si="75"/>
        <v>8475</v>
      </c>
      <c r="U295" s="7">
        <f t="shared" ca="1" si="71"/>
        <v>0.11448834853090173</v>
      </c>
      <c r="V295" s="7">
        <f t="shared" ca="1" si="72"/>
        <v>-0.48937618332817084</v>
      </c>
      <c r="W295" s="33">
        <f t="shared" ca="1" si="76"/>
        <v>-74025</v>
      </c>
      <c r="X295" s="7">
        <f t="shared" ca="1" si="77"/>
        <v>-1</v>
      </c>
      <c r="Y295" s="7">
        <f t="shared" ca="1" si="78"/>
        <v>-0.88551165146909827</v>
      </c>
      <c r="Z295" s="7">
        <f t="shared" ca="1" si="73"/>
        <v>-0.1442833921470949</v>
      </c>
      <c r="AA295" s="33">
        <f t="shared" ca="1" si="79"/>
        <v>-13893.104906797755</v>
      </c>
      <c r="AB295" s="7">
        <f t="shared" ca="1" si="80"/>
        <v>-1.6393044137814459</v>
      </c>
      <c r="AC295" s="7">
        <f t="shared" ca="1" si="81"/>
        <v>-0.76240803262527201</v>
      </c>
      <c r="AH295" s="34"/>
    </row>
    <row r="296" spans="1:34" x14ac:dyDescent="0.25">
      <c r="A296" s="1">
        <v>293</v>
      </c>
      <c r="B296" s="25">
        <v>44007</v>
      </c>
      <c r="C296" s="10" t="s">
        <v>1580</v>
      </c>
      <c r="D296" s="1">
        <v>339</v>
      </c>
      <c r="E296" s="30">
        <v>1500</v>
      </c>
      <c r="F296" s="1">
        <v>305</v>
      </c>
      <c r="G296" s="1">
        <v>6.5</v>
      </c>
      <c r="H296" s="1">
        <v>260</v>
      </c>
      <c r="I296" s="1">
        <v>1.1000000000000001</v>
      </c>
      <c r="J296" s="1">
        <v>216000</v>
      </c>
      <c r="K296" s="1">
        <v>18000</v>
      </c>
      <c r="L296" s="1">
        <v>1.05</v>
      </c>
      <c r="M296" s="1">
        <v>1.1499999999999999</v>
      </c>
      <c r="N296" s="1">
        <v>3000</v>
      </c>
      <c r="O296" s="9"/>
      <c r="P296" s="7">
        <f t="shared" ca="1" si="68"/>
        <v>0.12000000000000001</v>
      </c>
      <c r="Q296" s="7">
        <f t="shared" ca="1" si="74"/>
        <v>6.0000000000000001E-3</v>
      </c>
      <c r="R296" s="33">
        <f t="shared" ca="1" si="69"/>
        <v>8100.0000000000009</v>
      </c>
      <c r="S296" s="33">
        <f t="shared" ca="1" si="70"/>
        <v>-59400</v>
      </c>
      <c r="T296" s="33">
        <f t="shared" ca="1" si="75"/>
        <v>8100.0000000000009</v>
      </c>
      <c r="U296" s="7">
        <f t="shared" ca="1" si="71"/>
        <v>0.13636363636363638</v>
      </c>
      <c r="V296" s="7">
        <f t="shared" ca="1" si="72"/>
        <v>-0.48937618332817084</v>
      </c>
      <c r="W296" s="33">
        <f t="shared" ca="1" si="76"/>
        <v>-59400</v>
      </c>
      <c r="X296" s="7">
        <f t="shared" ca="1" si="77"/>
        <v>-1</v>
      </c>
      <c r="Y296" s="7">
        <f t="shared" ca="1" si="78"/>
        <v>-0.86363636363636365</v>
      </c>
      <c r="Z296" s="7">
        <f t="shared" ca="1" si="73"/>
        <v>-0.1442833921470949</v>
      </c>
      <c r="AA296" s="33">
        <f t="shared" ca="1" si="79"/>
        <v>-14268.104906797755</v>
      </c>
      <c r="AB296" s="7">
        <f t="shared" ca="1" si="80"/>
        <v>-1.7614944329379942</v>
      </c>
      <c r="AC296" s="7">
        <f t="shared" ca="1" si="81"/>
        <v>-0.81256539828717889</v>
      </c>
      <c r="AH296" s="34"/>
    </row>
    <row r="297" spans="1:34" x14ac:dyDescent="0.25">
      <c r="A297" s="1">
        <v>294</v>
      </c>
      <c r="B297" s="25">
        <v>44007</v>
      </c>
      <c r="C297" s="10" t="s">
        <v>1580</v>
      </c>
      <c r="D297" s="1">
        <v>339</v>
      </c>
      <c r="E297" s="30">
        <v>1500</v>
      </c>
      <c r="F297" s="1">
        <v>305</v>
      </c>
      <c r="G297" s="1">
        <v>6.5</v>
      </c>
      <c r="H297" s="1">
        <v>270</v>
      </c>
      <c r="I297" s="1">
        <v>1.7</v>
      </c>
      <c r="J297" s="1">
        <v>340500</v>
      </c>
      <c r="K297" s="1">
        <v>6000</v>
      </c>
      <c r="L297" s="1">
        <v>1.65</v>
      </c>
      <c r="M297" s="1">
        <v>1.75</v>
      </c>
      <c r="N297" s="1">
        <v>21000</v>
      </c>
      <c r="O297" s="9"/>
      <c r="P297" s="7">
        <f t="shared" ca="1" si="68"/>
        <v>0.13714285714285715</v>
      </c>
      <c r="Q297" s="7">
        <f t="shared" ca="1" si="74"/>
        <v>6.8571428571428577E-3</v>
      </c>
      <c r="R297" s="33">
        <f t="shared" ca="1" si="69"/>
        <v>7200</v>
      </c>
      <c r="S297" s="33">
        <f t="shared" ca="1" si="70"/>
        <v>-45300</v>
      </c>
      <c r="T297" s="33">
        <f t="shared" ca="1" si="75"/>
        <v>7200</v>
      </c>
      <c r="U297" s="7">
        <f t="shared" ca="1" si="71"/>
        <v>0.15894039735099338</v>
      </c>
      <c r="V297" s="7">
        <f t="shared" ca="1" si="72"/>
        <v>-0.48937618332817084</v>
      </c>
      <c r="W297" s="33">
        <f t="shared" ca="1" si="76"/>
        <v>-45300</v>
      </c>
      <c r="X297" s="7">
        <f t="shared" ca="1" si="77"/>
        <v>-1</v>
      </c>
      <c r="Y297" s="7">
        <f t="shared" ca="1" si="78"/>
        <v>-0.84105960264900659</v>
      </c>
      <c r="Z297" s="7">
        <f t="shared" ca="1" si="73"/>
        <v>-0.1442833921470949</v>
      </c>
      <c r="AA297" s="33">
        <f t="shared" ca="1" si="79"/>
        <v>-15168.104906797755</v>
      </c>
      <c r="AB297" s="7">
        <f t="shared" ca="1" si="80"/>
        <v>-2.1066812370552439</v>
      </c>
      <c r="AC297" s="7">
        <f t="shared" ca="1" si="81"/>
        <v>-0.9738704198521253</v>
      </c>
      <c r="AH297" s="34"/>
    </row>
    <row r="298" spans="1:34" x14ac:dyDescent="0.25">
      <c r="A298" s="1">
        <v>295</v>
      </c>
      <c r="B298" s="25">
        <v>44007</v>
      </c>
      <c r="C298" s="10" t="s">
        <v>1580</v>
      </c>
      <c r="D298" s="1">
        <v>339</v>
      </c>
      <c r="E298" s="30">
        <v>1500</v>
      </c>
      <c r="F298" s="1">
        <v>305</v>
      </c>
      <c r="G298" s="1">
        <v>6.5</v>
      </c>
      <c r="H298" s="1">
        <v>275</v>
      </c>
      <c r="I298" s="1">
        <v>2.0499999999999998</v>
      </c>
      <c r="J298" s="1">
        <v>58500</v>
      </c>
      <c r="K298" s="1">
        <v>15000</v>
      </c>
      <c r="L298" s="1">
        <v>1.75</v>
      </c>
      <c r="M298" s="1">
        <v>2.1</v>
      </c>
      <c r="N298" s="1">
        <v>16500</v>
      </c>
      <c r="O298" s="9"/>
      <c r="P298" s="7">
        <f t="shared" ca="1" si="68"/>
        <v>0.14833333333333334</v>
      </c>
      <c r="Q298" s="7">
        <f t="shared" ca="1" si="74"/>
        <v>7.4166666666666669E-3</v>
      </c>
      <c r="R298" s="33">
        <f t="shared" ca="1" si="69"/>
        <v>6675</v>
      </c>
      <c r="S298" s="33">
        <f t="shared" ca="1" si="70"/>
        <v>-38325</v>
      </c>
      <c r="T298" s="33">
        <f t="shared" ca="1" si="75"/>
        <v>6675</v>
      </c>
      <c r="U298" s="7">
        <f t="shared" ca="1" si="71"/>
        <v>0.17416829745596868</v>
      </c>
      <c r="V298" s="7">
        <f t="shared" ca="1" si="72"/>
        <v>-0.48937618332817084</v>
      </c>
      <c r="W298" s="33">
        <f t="shared" ca="1" si="76"/>
        <v>-38325</v>
      </c>
      <c r="X298" s="7">
        <f t="shared" ca="1" si="77"/>
        <v>-1</v>
      </c>
      <c r="Y298" s="7">
        <f t="shared" ca="1" si="78"/>
        <v>-0.82583170254403138</v>
      </c>
      <c r="Z298" s="7">
        <f t="shared" ca="1" si="73"/>
        <v>-0.1442833921470949</v>
      </c>
      <c r="AA298" s="33">
        <f t="shared" ca="1" si="79"/>
        <v>-15693.104906797755</v>
      </c>
      <c r="AB298" s="7">
        <f t="shared" ca="1" si="80"/>
        <v>-2.3510269523292515</v>
      </c>
      <c r="AC298" s="7">
        <f t="shared" ca="1" si="81"/>
        <v>-1.0884293274366414</v>
      </c>
      <c r="AH298" s="34"/>
    </row>
    <row r="299" spans="1:34" x14ac:dyDescent="0.25">
      <c r="A299" s="1">
        <v>296</v>
      </c>
      <c r="B299" s="25">
        <v>44007</v>
      </c>
      <c r="C299" s="10" t="s">
        <v>1580</v>
      </c>
      <c r="D299" s="1">
        <v>339</v>
      </c>
      <c r="E299" s="30">
        <v>1500</v>
      </c>
      <c r="F299" s="1">
        <v>305</v>
      </c>
      <c r="G299" s="1">
        <v>6.5</v>
      </c>
      <c r="H299" s="1">
        <v>280</v>
      </c>
      <c r="I299" s="1">
        <v>2.4500000000000002</v>
      </c>
      <c r="J299" s="1">
        <v>562500</v>
      </c>
      <c r="K299" s="1">
        <v>7500</v>
      </c>
      <c r="L299" s="1">
        <v>2.4</v>
      </c>
      <c r="M299" s="1">
        <v>2.5</v>
      </c>
      <c r="N299" s="1">
        <v>1500</v>
      </c>
      <c r="O299" s="9"/>
      <c r="P299" s="7">
        <f t="shared" ca="1" si="68"/>
        <v>0.16200000000000001</v>
      </c>
      <c r="Q299" s="7">
        <f t="shared" ca="1" si="74"/>
        <v>8.0999999999999996E-3</v>
      </c>
      <c r="R299" s="33">
        <f t="shared" ca="1" si="69"/>
        <v>6075</v>
      </c>
      <c r="S299" s="33">
        <f t="shared" ca="1" si="70"/>
        <v>-31425</v>
      </c>
      <c r="T299" s="33">
        <f t="shared" ca="1" si="75"/>
        <v>6075</v>
      </c>
      <c r="U299" s="7">
        <f t="shared" ca="1" si="71"/>
        <v>0.19331742243436753</v>
      </c>
      <c r="V299" s="7">
        <f t="shared" ca="1" si="72"/>
        <v>-0.48937618332817084</v>
      </c>
      <c r="W299" s="33">
        <f t="shared" ca="1" si="76"/>
        <v>-31425</v>
      </c>
      <c r="X299" s="7">
        <f t="shared" ca="1" si="77"/>
        <v>-1</v>
      </c>
      <c r="Y299" s="7">
        <f t="shared" ca="1" si="78"/>
        <v>-0.80668257756563244</v>
      </c>
      <c r="Z299" s="7">
        <f t="shared" ca="1" si="73"/>
        <v>-0.1442833921470949</v>
      </c>
      <c r="AA299" s="33">
        <f t="shared" ca="1" si="79"/>
        <v>-16293.104906797755</v>
      </c>
      <c r="AB299" s="7">
        <f t="shared" ca="1" si="80"/>
        <v>-2.681992577250659</v>
      </c>
      <c r="AC299" s="7">
        <f t="shared" ca="1" si="81"/>
        <v>-1.2443375774081458</v>
      </c>
      <c r="AH299" s="34"/>
    </row>
    <row r="300" spans="1:34" x14ac:dyDescent="0.25">
      <c r="A300" s="1">
        <v>297</v>
      </c>
      <c r="B300" s="25">
        <v>44007</v>
      </c>
      <c r="C300" s="10" t="s">
        <v>1580</v>
      </c>
      <c r="D300" s="1">
        <v>339</v>
      </c>
      <c r="E300" s="30">
        <v>1500</v>
      </c>
      <c r="F300" s="1">
        <v>305</v>
      </c>
      <c r="G300" s="1">
        <v>6.5</v>
      </c>
      <c r="H300" s="1">
        <v>285</v>
      </c>
      <c r="I300" s="1">
        <v>2.95</v>
      </c>
      <c r="J300" s="1">
        <v>64500</v>
      </c>
      <c r="K300" s="1">
        <v>22500</v>
      </c>
      <c r="L300" s="1">
        <v>2.8</v>
      </c>
      <c r="M300" s="1">
        <v>3.05</v>
      </c>
      <c r="N300" s="1">
        <v>10500</v>
      </c>
      <c r="O300" s="9"/>
      <c r="P300" s="7">
        <f t="shared" ca="1" si="68"/>
        <v>0.17749999999999999</v>
      </c>
      <c r="Q300" s="7">
        <f t="shared" ca="1" si="74"/>
        <v>8.8749999999999992E-3</v>
      </c>
      <c r="R300" s="33">
        <f t="shared" ca="1" si="69"/>
        <v>5325</v>
      </c>
      <c r="S300" s="33">
        <f t="shared" ca="1" si="70"/>
        <v>-24675</v>
      </c>
      <c r="T300" s="33">
        <f t="shared" ca="1" si="75"/>
        <v>5325</v>
      </c>
      <c r="U300" s="7">
        <f t="shared" ca="1" si="71"/>
        <v>0.21580547112462006</v>
      </c>
      <c r="V300" s="7">
        <f t="shared" ca="1" si="72"/>
        <v>-0.48937618332817084</v>
      </c>
      <c r="W300" s="33">
        <f t="shared" ca="1" si="76"/>
        <v>-24675</v>
      </c>
      <c r="X300" s="7">
        <f t="shared" ca="1" si="77"/>
        <v>-1</v>
      </c>
      <c r="Y300" s="7">
        <f t="shared" ca="1" si="78"/>
        <v>-0.78419452887537999</v>
      </c>
      <c r="Z300" s="7">
        <f t="shared" ca="1" si="73"/>
        <v>-0.1442833921470949</v>
      </c>
      <c r="AA300" s="33">
        <f t="shared" ca="1" si="79"/>
        <v>-17043.104906797755</v>
      </c>
      <c r="AB300" s="7">
        <f t="shared" ca="1" si="80"/>
        <v>-3.2005830810887801</v>
      </c>
      <c r="AC300" s="7">
        <f t="shared" ca="1" si="81"/>
        <v>-1.4923888049820799</v>
      </c>
      <c r="AH300" s="34"/>
    </row>
    <row r="301" spans="1:34" x14ac:dyDescent="0.25">
      <c r="A301" s="1">
        <v>298</v>
      </c>
      <c r="B301" s="25">
        <v>44007</v>
      </c>
      <c r="C301" s="10" t="s">
        <v>1580</v>
      </c>
      <c r="D301" s="1">
        <v>339</v>
      </c>
      <c r="E301" s="30">
        <v>1500</v>
      </c>
      <c r="F301" s="1">
        <v>305</v>
      </c>
      <c r="G301" s="1">
        <v>6.5</v>
      </c>
      <c r="H301" s="1">
        <v>290</v>
      </c>
      <c r="I301" s="1">
        <v>3.65</v>
      </c>
      <c r="J301" s="1">
        <v>384000</v>
      </c>
      <c r="K301" s="1">
        <v>3000</v>
      </c>
      <c r="L301" s="1">
        <v>3.55</v>
      </c>
      <c r="M301" s="1">
        <v>3.65</v>
      </c>
      <c r="N301" s="1">
        <v>10500</v>
      </c>
      <c r="O301" s="9"/>
      <c r="P301" s="7">
        <f t="shared" ca="1" si="68"/>
        <v>0.19</v>
      </c>
      <c r="Q301" s="7">
        <f t="shared" ca="1" si="74"/>
        <v>9.4999999999999998E-3</v>
      </c>
      <c r="R301" s="33">
        <f t="shared" ca="1" si="69"/>
        <v>4275</v>
      </c>
      <c r="S301" s="33">
        <f t="shared" ca="1" si="70"/>
        <v>-18225</v>
      </c>
      <c r="T301" s="33">
        <f t="shared" ca="1" si="75"/>
        <v>4275</v>
      </c>
      <c r="U301" s="7">
        <f t="shared" ca="1" si="71"/>
        <v>0.23456790123456789</v>
      </c>
      <c r="V301" s="7">
        <f t="shared" ca="1" si="72"/>
        <v>-0.48937618332817084</v>
      </c>
      <c r="W301" s="33">
        <f t="shared" ca="1" si="76"/>
        <v>-18225</v>
      </c>
      <c r="X301" s="7">
        <f t="shared" ca="1" si="77"/>
        <v>-1</v>
      </c>
      <c r="Y301" s="7">
        <f t="shared" ca="1" si="78"/>
        <v>-0.76543209876543217</v>
      </c>
      <c r="Z301" s="7">
        <f t="shared" ca="1" si="73"/>
        <v>-0.1442833921470949</v>
      </c>
      <c r="AA301" s="33">
        <f t="shared" ca="1" si="79"/>
        <v>-18093.104906797755</v>
      </c>
      <c r="AB301" s="7">
        <f t="shared" ca="1" si="80"/>
        <v>-4.2323052413562001</v>
      </c>
      <c r="AC301" s="7">
        <f t="shared" ca="1" si="81"/>
        <v>-1.998868670060816</v>
      </c>
      <c r="AH301" s="34"/>
    </row>
    <row r="302" spans="1:34" x14ac:dyDescent="0.25">
      <c r="A302" s="1">
        <v>299</v>
      </c>
      <c r="B302" s="25">
        <v>44007</v>
      </c>
      <c r="C302" s="10" t="s">
        <v>1580</v>
      </c>
      <c r="D302" s="1">
        <v>339</v>
      </c>
      <c r="E302" s="30">
        <v>1500</v>
      </c>
      <c r="F302" s="1">
        <v>305</v>
      </c>
      <c r="G302" s="1">
        <v>6.5</v>
      </c>
      <c r="H302" s="1">
        <v>295</v>
      </c>
      <c r="I302" s="1">
        <v>4.25</v>
      </c>
      <c r="J302" s="1">
        <v>40500</v>
      </c>
      <c r="K302" s="1">
        <v>16500</v>
      </c>
      <c r="L302" s="1">
        <v>4.1500000000000004</v>
      </c>
      <c r="M302" s="1">
        <v>4.5</v>
      </c>
      <c r="N302" s="1">
        <v>9000</v>
      </c>
      <c r="O302" s="9"/>
      <c r="P302" s="7">
        <f t="shared" ca="1" si="68"/>
        <v>0.22500000000000001</v>
      </c>
      <c r="Q302" s="7">
        <f t="shared" ca="1" si="74"/>
        <v>1.125E-2</v>
      </c>
      <c r="R302" s="33">
        <f t="shared" ca="1" si="69"/>
        <v>3375</v>
      </c>
      <c r="S302" s="33">
        <f t="shared" ca="1" si="70"/>
        <v>-11625</v>
      </c>
      <c r="T302" s="33">
        <f t="shared" ca="1" si="75"/>
        <v>3375</v>
      </c>
      <c r="U302" s="7">
        <f t="shared" ca="1" si="71"/>
        <v>0.29032258064516131</v>
      </c>
      <c r="V302" s="7">
        <f t="shared" ca="1" si="72"/>
        <v>-0.48937618332817084</v>
      </c>
      <c r="W302" s="33">
        <f t="shared" ca="1" si="76"/>
        <v>-11625</v>
      </c>
      <c r="X302" s="7">
        <f t="shared" ca="1" si="77"/>
        <v>-1</v>
      </c>
      <c r="Y302" s="7">
        <f t="shared" ca="1" si="78"/>
        <v>-0.70967741935483875</v>
      </c>
      <c r="Z302" s="7">
        <f t="shared" ca="1" si="73"/>
        <v>-0.1442833921470949</v>
      </c>
      <c r="AA302" s="33">
        <f t="shared" ca="1" si="79"/>
        <v>-11625</v>
      </c>
      <c r="AB302" s="7">
        <f t="shared" ca="1" si="80"/>
        <v>-3.4444444444444446</v>
      </c>
      <c r="AC302" s="7">
        <f t="shared" ca="1" si="81"/>
        <v>-1.5770609318996416</v>
      </c>
      <c r="AH302" s="34"/>
    </row>
    <row r="303" spans="1:34" x14ac:dyDescent="0.25">
      <c r="A303" s="1">
        <v>300</v>
      </c>
      <c r="B303" s="25">
        <v>44007</v>
      </c>
      <c r="C303" s="10" t="s">
        <v>1580</v>
      </c>
      <c r="D303" s="1">
        <v>339</v>
      </c>
      <c r="E303" s="30">
        <v>1500</v>
      </c>
      <c r="F303" s="1">
        <v>305</v>
      </c>
      <c r="G303" s="1">
        <v>6.5</v>
      </c>
      <c r="H303" s="1">
        <v>300</v>
      </c>
      <c r="I303" s="1">
        <v>5.35</v>
      </c>
      <c r="J303" s="1">
        <v>867000</v>
      </c>
      <c r="K303" s="1">
        <v>10500</v>
      </c>
      <c r="L303" s="1">
        <v>5.2</v>
      </c>
      <c r="M303" s="1">
        <v>5.3</v>
      </c>
      <c r="N303" s="1">
        <v>3000</v>
      </c>
      <c r="O303" s="9"/>
      <c r="P303" s="7">
        <f t="shared" ca="1" si="68"/>
        <v>0.23000000000000007</v>
      </c>
      <c r="Q303" s="7">
        <f t="shared" ca="1" si="74"/>
        <v>1.1500000000000003E-2</v>
      </c>
      <c r="R303" s="33">
        <f t="shared" ca="1" si="69"/>
        <v>1725.0000000000005</v>
      </c>
      <c r="S303" s="33">
        <f t="shared" ca="1" si="70"/>
        <v>-5775</v>
      </c>
      <c r="T303" s="33">
        <f t="shared" ca="1" si="75"/>
        <v>1725.0000000000005</v>
      </c>
      <c r="U303" s="7">
        <f t="shared" ca="1" si="71"/>
        <v>0.2987012987012988</v>
      </c>
      <c r="V303" s="7">
        <f t="shared" ca="1" si="72"/>
        <v>-0.48937618332817084</v>
      </c>
      <c r="W303" s="33">
        <f t="shared" ca="1" si="76"/>
        <v>-5775</v>
      </c>
      <c r="X303" s="7">
        <f t="shared" ca="1" si="77"/>
        <v>-1</v>
      </c>
      <c r="Y303" s="7">
        <f t="shared" ca="1" si="78"/>
        <v>-0.7012987012987012</v>
      </c>
      <c r="Z303" s="7">
        <f t="shared" ca="1" si="73"/>
        <v>-0.1442833921470949</v>
      </c>
      <c r="AA303" s="33">
        <f t="shared" ca="1" si="79"/>
        <v>-5775</v>
      </c>
      <c r="AB303" s="7">
        <f t="shared" ca="1" si="80"/>
        <v>-3.3478260869565211</v>
      </c>
      <c r="AC303" s="7">
        <f t="shared" ca="1" si="81"/>
        <v>-1.5245623941276112</v>
      </c>
      <c r="AH303" s="34"/>
    </row>
    <row r="304" spans="1:34" x14ac:dyDescent="0.25">
      <c r="A304" s="1">
        <v>301</v>
      </c>
      <c r="B304" s="25">
        <v>44007</v>
      </c>
      <c r="C304" s="10" t="s">
        <v>1071</v>
      </c>
      <c r="D304" s="1">
        <v>32.1</v>
      </c>
      <c r="E304" s="30">
        <v>11700</v>
      </c>
      <c r="F304" s="1">
        <v>30</v>
      </c>
      <c r="G304" s="1">
        <v>0.75</v>
      </c>
      <c r="H304" s="1">
        <v>25</v>
      </c>
      <c r="I304" s="1">
        <v>0.1</v>
      </c>
      <c r="J304" s="1">
        <v>374400</v>
      </c>
      <c r="K304" s="1">
        <v>585000</v>
      </c>
      <c r="L304" s="1">
        <v>0.05</v>
      </c>
      <c r="M304" s="1">
        <v>0.1</v>
      </c>
      <c r="N304" s="1">
        <v>304200</v>
      </c>
      <c r="O304" s="9"/>
      <c r="P304" s="7">
        <f t="shared" ca="1" si="68"/>
        <v>0.13</v>
      </c>
      <c r="Q304" s="7">
        <f t="shared" ca="1" si="74"/>
        <v>6.5000000000000006E-3</v>
      </c>
      <c r="R304" s="33">
        <f t="shared" ca="1" si="69"/>
        <v>7605</v>
      </c>
      <c r="S304" s="33">
        <f t="shared" ca="1" si="70"/>
        <v>-50895</v>
      </c>
      <c r="T304" s="33">
        <f t="shared" ca="1" si="75"/>
        <v>7605</v>
      </c>
      <c r="U304" s="7">
        <f t="shared" ca="1" si="71"/>
        <v>0.14942528735632185</v>
      </c>
      <c r="V304" s="7">
        <f t="shared" ca="1" si="72"/>
        <v>-0.47116036737355921</v>
      </c>
      <c r="W304" s="33">
        <f t="shared" ca="1" si="76"/>
        <v>-50895</v>
      </c>
      <c r="X304" s="7">
        <f t="shared" ca="1" si="77"/>
        <v>-1</v>
      </c>
      <c r="Y304" s="7">
        <f t="shared" ca="1" si="78"/>
        <v>-0.85057471264367812</v>
      </c>
      <c r="Z304" s="7">
        <f t="shared" ca="1" si="73"/>
        <v>-0.10031018153980382</v>
      </c>
      <c r="AA304" s="33">
        <f t="shared" ca="1" si="79"/>
        <v>-5498.4948809041307</v>
      </c>
      <c r="AB304" s="7">
        <f t="shared" ca="1" si="80"/>
        <v>-0.72301050373492848</v>
      </c>
      <c r="AC304" s="7">
        <f t="shared" ca="1" si="81"/>
        <v>-0.2867926081893033</v>
      </c>
      <c r="AH304" s="34"/>
    </row>
    <row r="305" spans="1:34" x14ac:dyDescent="0.25">
      <c r="A305" s="1">
        <v>302</v>
      </c>
      <c r="B305" s="25">
        <v>44007</v>
      </c>
      <c r="C305" s="10" t="s">
        <v>1071</v>
      </c>
      <c r="D305" s="1">
        <v>32.1</v>
      </c>
      <c r="E305" s="30">
        <v>11700</v>
      </c>
      <c r="F305" s="1">
        <v>30</v>
      </c>
      <c r="G305" s="1">
        <v>0.75</v>
      </c>
      <c r="H305" s="1">
        <v>26</v>
      </c>
      <c r="I305" s="1">
        <v>0.15</v>
      </c>
      <c r="J305" s="1">
        <v>608400</v>
      </c>
      <c r="K305" s="1">
        <v>117000</v>
      </c>
      <c r="L305" s="1">
        <v>0.1</v>
      </c>
      <c r="M305" s="1">
        <v>0.15</v>
      </c>
      <c r="N305" s="1">
        <v>327600</v>
      </c>
      <c r="O305" s="9"/>
      <c r="P305" s="7">
        <f t="shared" ca="1" si="68"/>
        <v>0.15</v>
      </c>
      <c r="Q305" s="7">
        <f t="shared" ca="1" si="74"/>
        <v>7.4999999999999997E-3</v>
      </c>
      <c r="R305" s="33">
        <f t="shared" ca="1" si="69"/>
        <v>7020</v>
      </c>
      <c r="S305" s="33">
        <f t="shared" ca="1" si="70"/>
        <v>-39780</v>
      </c>
      <c r="T305" s="33">
        <f t="shared" ca="1" si="75"/>
        <v>7020</v>
      </c>
      <c r="U305" s="7">
        <f t="shared" ca="1" si="71"/>
        <v>0.17647058823529413</v>
      </c>
      <c r="V305" s="7">
        <f t="shared" ca="1" si="72"/>
        <v>-0.47116036737355921</v>
      </c>
      <c r="W305" s="33">
        <f t="shared" ca="1" si="76"/>
        <v>-39780</v>
      </c>
      <c r="X305" s="7">
        <f t="shared" ca="1" si="77"/>
        <v>-1</v>
      </c>
      <c r="Y305" s="7">
        <f t="shared" ca="1" si="78"/>
        <v>-0.82352941176470584</v>
      </c>
      <c r="Z305" s="7">
        <f t="shared" ca="1" si="73"/>
        <v>-0.10031018153980382</v>
      </c>
      <c r="AA305" s="33">
        <f t="shared" ca="1" si="79"/>
        <v>-6083.4948809041307</v>
      </c>
      <c r="AB305" s="7">
        <f t="shared" ca="1" si="80"/>
        <v>-0.8665947123795058</v>
      </c>
      <c r="AC305" s="7">
        <f t="shared" ca="1" si="81"/>
        <v>-0.34506206207210582</v>
      </c>
      <c r="AH305" s="34"/>
    </row>
    <row r="306" spans="1:34" x14ac:dyDescent="0.25">
      <c r="A306" s="1">
        <v>303</v>
      </c>
      <c r="B306" s="25">
        <v>44007</v>
      </c>
      <c r="C306" s="10" t="s">
        <v>1071</v>
      </c>
      <c r="D306" s="1">
        <v>32.1</v>
      </c>
      <c r="E306" s="30">
        <v>11700</v>
      </c>
      <c r="F306" s="1">
        <v>30</v>
      </c>
      <c r="G306" s="1">
        <v>0.75</v>
      </c>
      <c r="H306" s="1">
        <v>27</v>
      </c>
      <c r="I306" s="1">
        <v>0.2</v>
      </c>
      <c r="J306" s="1">
        <v>409500</v>
      </c>
      <c r="K306" s="1">
        <v>35100</v>
      </c>
      <c r="L306" s="1">
        <v>0.2</v>
      </c>
      <c r="M306" s="1">
        <v>0.25</v>
      </c>
      <c r="N306" s="1">
        <v>105300</v>
      </c>
      <c r="O306" s="9"/>
      <c r="P306" s="7">
        <f t="shared" ca="1" si="68"/>
        <v>0.18333333333333335</v>
      </c>
      <c r="Q306" s="7">
        <f t="shared" ca="1" si="74"/>
        <v>9.1666666666666667E-3</v>
      </c>
      <c r="R306" s="33">
        <f t="shared" ca="1" si="69"/>
        <v>6435.0000000000009</v>
      </c>
      <c r="S306" s="33">
        <f t="shared" ca="1" si="70"/>
        <v>-28665</v>
      </c>
      <c r="T306" s="33">
        <f t="shared" ca="1" si="75"/>
        <v>6435.0000000000009</v>
      </c>
      <c r="U306" s="7">
        <f t="shared" ca="1" si="71"/>
        <v>0.22448979591836737</v>
      </c>
      <c r="V306" s="7">
        <f t="shared" ca="1" si="72"/>
        <v>-0.47116036737355921</v>
      </c>
      <c r="W306" s="33">
        <f t="shared" ca="1" si="76"/>
        <v>-28665</v>
      </c>
      <c r="X306" s="7">
        <f t="shared" ca="1" si="77"/>
        <v>-1</v>
      </c>
      <c r="Y306" s="7">
        <f t="shared" ca="1" si="78"/>
        <v>-0.77551020408163263</v>
      </c>
      <c r="Z306" s="7">
        <f t="shared" ca="1" si="73"/>
        <v>-0.10031018153980382</v>
      </c>
      <c r="AA306" s="33">
        <f t="shared" ca="1" si="79"/>
        <v>-6668.4948809041298</v>
      </c>
      <c r="AB306" s="7">
        <f t="shared" ca="1" si="80"/>
        <v>-1.0362851407776423</v>
      </c>
      <c r="AC306" s="7">
        <f t="shared" ca="1" si="81"/>
        <v>-0.40589767242963748</v>
      </c>
    </row>
    <row r="307" spans="1:34" x14ac:dyDescent="0.25">
      <c r="A307" s="1">
        <v>304</v>
      </c>
      <c r="B307" s="25">
        <v>44007</v>
      </c>
      <c r="C307" s="10" t="s">
        <v>1071</v>
      </c>
      <c r="D307" s="1">
        <v>32.1</v>
      </c>
      <c r="E307" s="30">
        <v>11700</v>
      </c>
      <c r="F307" s="1">
        <v>30</v>
      </c>
      <c r="G307" s="1">
        <v>0.75</v>
      </c>
      <c r="H307" s="1">
        <v>28</v>
      </c>
      <c r="I307" s="1">
        <v>0.3</v>
      </c>
      <c r="J307" s="1">
        <v>549900</v>
      </c>
      <c r="K307" s="1">
        <v>70200</v>
      </c>
      <c r="L307" s="1">
        <v>0.3</v>
      </c>
      <c r="M307" s="1">
        <v>0.35</v>
      </c>
      <c r="N307" s="1">
        <v>70200</v>
      </c>
      <c r="O307" s="9"/>
      <c r="P307" s="7">
        <f t="shared" ca="1" si="68"/>
        <v>0.22500000000000001</v>
      </c>
      <c r="Q307" s="7">
        <f t="shared" ca="1" si="74"/>
        <v>1.125E-2</v>
      </c>
      <c r="R307" s="33">
        <f t="shared" ca="1" si="69"/>
        <v>5265</v>
      </c>
      <c r="S307" s="33">
        <f t="shared" ca="1" si="70"/>
        <v>-18135</v>
      </c>
      <c r="T307" s="33">
        <f t="shared" ca="1" si="75"/>
        <v>5265</v>
      </c>
      <c r="U307" s="7">
        <f t="shared" ca="1" si="71"/>
        <v>0.29032258064516131</v>
      </c>
      <c r="V307" s="7">
        <f t="shared" ca="1" si="72"/>
        <v>-0.47116036737355921</v>
      </c>
      <c r="W307" s="33">
        <f t="shared" ca="1" si="76"/>
        <v>-18135</v>
      </c>
      <c r="X307" s="7">
        <f t="shared" ca="1" si="77"/>
        <v>-1</v>
      </c>
      <c r="Y307" s="7">
        <f t="shared" ca="1" si="78"/>
        <v>-0.70967741935483875</v>
      </c>
      <c r="Z307" s="7">
        <f t="shared" ca="1" si="73"/>
        <v>-0.10031018153980382</v>
      </c>
      <c r="AA307" s="33">
        <f t="shared" ca="1" si="79"/>
        <v>-7838.4948809041307</v>
      </c>
      <c r="AB307" s="7">
        <f t="shared" ca="1" si="80"/>
        <v>-1.4887929498393411</v>
      </c>
      <c r="AC307" s="7">
        <f t="shared" ca="1" si="81"/>
        <v>-0.59923518459708991</v>
      </c>
    </row>
    <row r="308" spans="1:34" x14ac:dyDescent="0.25">
      <c r="A308" s="1">
        <v>305</v>
      </c>
      <c r="B308" s="25">
        <v>44007</v>
      </c>
      <c r="C308" s="10" t="s">
        <v>1071</v>
      </c>
      <c r="D308" s="1">
        <v>32.1</v>
      </c>
      <c r="E308" s="30">
        <v>11700</v>
      </c>
      <c r="F308" s="1">
        <v>30</v>
      </c>
      <c r="G308" s="1">
        <v>0.75</v>
      </c>
      <c r="H308" s="1">
        <v>29</v>
      </c>
      <c r="I308" s="1">
        <v>0.5</v>
      </c>
      <c r="J308" s="1">
        <v>573300</v>
      </c>
      <c r="K308" s="1">
        <v>93600</v>
      </c>
      <c r="L308" s="1">
        <v>0.45</v>
      </c>
      <c r="M308" s="1">
        <v>0.55000000000000004</v>
      </c>
      <c r="N308" s="1">
        <v>70200</v>
      </c>
      <c r="O308" s="9"/>
      <c r="P308" s="7">
        <f t="shared" ca="1" si="68"/>
        <v>0.25</v>
      </c>
      <c r="Q308" s="7">
        <f t="shared" ca="1" si="74"/>
        <v>1.2500000000000001E-2</v>
      </c>
      <c r="R308" s="33">
        <f t="shared" ca="1" si="69"/>
        <v>2925</v>
      </c>
      <c r="S308" s="33">
        <f t="shared" ca="1" si="70"/>
        <v>-8775</v>
      </c>
      <c r="T308" s="33">
        <f t="shared" ca="1" si="75"/>
        <v>2925</v>
      </c>
      <c r="U308" s="7">
        <f t="shared" ca="1" si="71"/>
        <v>0.33333333333333331</v>
      </c>
      <c r="V308" s="7">
        <f t="shared" ca="1" si="72"/>
        <v>-0.47116036737355921</v>
      </c>
      <c r="W308" s="33">
        <f t="shared" ca="1" si="76"/>
        <v>-8775</v>
      </c>
      <c r="X308" s="7">
        <f t="shared" ca="1" si="77"/>
        <v>-1</v>
      </c>
      <c r="Y308" s="7">
        <f t="shared" ca="1" si="78"/>
        <v>-0.66666666666666674</v>
      </c>
      <c r="Z308" s="7">
        <f t="shared" ca="1" si="73"/>
        <v>-0.10031018153980382</v>
      </c>
      <c r="AA308" s="33">
        <f t="shared" ca="1" si="79"/>
        <v>-8775</v>
      </c>
      <c r="AB308" s="7">
        <f t="shared" ca="1" si="80"/>
        <v>-3</v>
      </c>
      <c r="AC308" s="7">
        <f t="shared" ca="1" si="81"/>
        <v>-1.3333333333333333</v>
      </c>
    </row>
    <row r="309" spans="1:34" x14ac:dyDescent="0.25">
      <c r="A309" s="1">
        <v>306</v>
      </c>
      <c r="B309" s="25">
        <v>44007</v>
      </c>
      <c r="C309" s="10" t="s">
        <v>1569</v>
      </c>
      <c r="D309" s="1">
        <v>320.5</v>
      </c>
      <c r="E309" s="30">
        <v>900</v>
      </c>
      <c r="F309" s="1">
        <v>300</v>
      </c>
      <c r="G309" s="1">
        <v>9.5</v>
      </c>
      <c r="H309" s="1">
        <v>290</v>
      </c>
      <c r="I309" s="1">
        <v>5.5</v>
      </c>
      <c r="J309" s="1">
        <v>23400</v>
      </c>
      <c r="K309" s="1">
        <v>2700</v>
      </c>
      <c r="L309" s="1">
        <v>5.45</v>
      </c>
      <c r="M309" s="1">
        <v>6.6</v>
      </c>
      <c r="N309" s="1">
        <v>1800</v>
      </c>
      <c r="O309" s="9"/>
      <c r="P309" s="7">
        <f t="shared" ca="1" si="68"/>
        <v>0.4</v>
      </c>
      <c r="Q309" s="7">
        <f t="shared" ca="1" si="74"/>
        <v>0.02</v>
      </c>
      <c r="R309" s="33">
        <f t="shared" ca="1" si="69"/>
        <v>3600</v>
      </c>
      <c r="S309" s="33">
        <f t="shared" ca="1" si="70"/>
        <v>-5400</v>
      </c>
      <c r="T309" s="33">
        <f t="shared" ca="1" si="75"/>
        <v>3600</v>
      </c>
      <c r="U309" s="7">
        <f t="shared" ca="1" si="71"/>
        <v>0.66666666666666663</v>
      </c>
      <c r="V309" s="7">
        <f t="shared" ca="1" si="72"/>
        <v>-1.3377377272287203</v>
      </c>
      <c r="W309" s="33">
        <f t="shared" ca="1" si="76"/>
        <v>-5400</v>
      </c>
      <c r="X309" s="7">
        <f t="shared" ca="1" si="77"/>
        <v>-1</v>
      </c>
      <c r="Y309" s="7">
        <f t="shared" ca="1" si="78"/>
        <v>-0.33333333333333337</v>
      </c>
      <c r="Z309" s="7">
        <f t="shared" ca="1" si="73"/>
        <v>-0.27887904050005191</v>
      </c>
      <c r="AA309" s="33">
        <f t="shared" ca="1" si="79"/>
        <v>-5400</v>
      </c>
      <c r="AB309" s="7">
        <f t="shared" ca="1" si="80"/>
        <v>-1.5</v>
      </c>
      <c r="AC309" s="7">
        <f t="shared" ca="1" si="81"/>
        <v>-0.41666666666666669</v>
      </c>
    </row>
    <row r="310" spans="1:34" x14ac:dyDescent="0.25">
      <c r="A310" s="1">
        <v>307</v>
      </c>
      <c r="B310" s="25">
        <v>44007</v>
      </c>
      <c r="C310" s="10" t="s">
        <v>1190</v>
      </c>
      <c r="D310" s="1">
        <v>257</v>
      </c>
      <c r="E310" s="30">
        <v>3000</v>
      </c>
      <c r="F310" s="1">
        <v>230</v>
      </c>
      <c r="G310" s="1">
        <v>1.9</v>
      </c>
      <c r="H310" s="1">
        <v>220</v>
      </c>
      <c r="I310" s="1">
        <v>0.85</v>
      </c>
      <c r="J310" s="1">
        <v>117000</v>
      </c>
      <c r="K310" s="1">
        <v>3000</v>
      </c>
      <c r="L310" s="1">
        <v>0.75</v>
      </c>
      <c r="M310" s="1">
        <v>0.9</v>
      </c>
      <c r="N310" s="1">
        <v>3000</v>
      </c>
      <c r="O310" s="9"/>
      <c r="P310" s="7">
        <f t="shared" ca="1" si="68"/>
        <v>0.10499999999999998</v>
      </c>
      <c r="Q310" s="7">
        <f t="shared" ca="1" si="74"/>
        <v>5.2499999999999995E-3</v>
      </c>
      <c r="R310" s="33">
        <f t="shared" ca="1" si="69"/>
        <v>3149.9999999999995</v>
      </c>
      <c r="S310" s="33">
        <f t="shared" ca="1" si="70"/>
        <v>-26850</v>
      </c>
      <c r="T310" s="33">
        <f t="shared" ca="1" si="75"/>
        <v>3149.9999999999995</v>
      </c>
      <c r="U310" s="7">
        <f t="shared" ca="1" si="71"/>
        <v>0.11731843575418993</v>
      </c>
      <c r="V310" s="7">
        <f t="shared" ca="1" si="72"/>
        <v>-0.41325235954458889</v>
      </c>
      <c r="W310" s="33">
        <f t="shared" ca="1" si="76"/>
        <v>-26850</v>
      </c>
      <c r="X310" s="7">
        <f t="shared" ca="1" si="77"/>
        <v>-1</v>
      </c>
      <c r="Y310" s="7">
        <f t="shared" ca="1" si="78"/>
        <v>-0.88268156424581012</v>
      </c>
      <c r="Z310" s="7">
        <f t="shared" ca="1" si="73"/>
        <v>-6.7687053193613428E-2</v>
      </c>
      <c r="AA310" s="33">
        <f t="shared" ca="1" si="79"/>
        <v>3149.9999999999995</v>
      </c>
      <c r="AB310" s="7">
        <f t="shared" ca="1" si="80"/>
        <v>1</v>
      </c>
      <c r="AC310" s="7">
        <f t="shared" ca="1" si="81"/>
        <v>0.55865921787709494</v>
      </c>
    </row>
    <row r="311" spans="1:34" x14ac:dyDescent="0.25">
      <c r="A311" s="1">
        <v>308</v>
      </c>
      <c r="B311" s="25">
        <v>44007</v>
      </c>
      <c r="C311" s="10" t="s">
        <v>12</v>
      </c>
      <c r="D311" s="1">
        <v>235.9</v>
      </c>
      <c r="E311" s="30">
        <v>2000</v>
      </c>
      <c r="F311" s="1">
        <v>210</v>
      </c>
      <c r="G311" s="1">
        <v>6.5</v>
      </c>
      <c r="H311" s="1">
        <v>160</v>
      </c>
      <c r="I311" s="1">
        <v>0.55000000000000004</v>
      </c>
      <c r="J311" s="1">
        <v>40000</v>
      </c>
      <c r="K311" s="1">
        <v>6000</v>
      </c>
      <c r="L311" s="1">
        <v>0.25</v>
      </c>
      <c r="M311" s="1">
        <v>0.5</v>
      </c>
      <c r="N311" s="1">
        <v>4000</v>
      </c>
      <c r="O311" s="9"/>
      <c r="P311" s="7">
        <f t="shared" ca="1" si="68"/>
        <v>0.11900000000000001</v>
      </c>
      <c r="Q311" s="7">
        <f t="shared" ca="1" si="74"/>
        <v>5.9500000000000004E-3</v>
      </c>
      <c r="R311" s="33">
        <f t="shared" ca="1" si="69"/>
        <v>11900</v>
      </c>
      <c r="S311" s="33">
        <f t="shared" ca="1" si="70"/>
        <v>-88100</v>
      </c>
      <c r="T311" s="33">
        <f t="shared" ca="1" si="75"/>
        <v>11900</v>
      </c>
      <c r="U311" s="7">
        <f t="shared" ca="1" si="71"/>
        <v>0.13507377979568672</v>
      </c>
      <c r="V311" s="7">
        <f t="shared" ca="1" si="72"/>
        <v>-0.63890080400634885</v>
      </c>
      <c r="W311" s="33">
        <f t="shared" ca="1" si="76"/>
        <v>-88100</v>
      </c>
      <c r="X311" s="7">
        <f t="shared" ca="1" si="77"/>
        <v>-1</v>
      </c>
      <c r="Y311" s="7">
        <f t="shared" ca="1" si="78"/>
        <v>-0.86492622020431331</v>
      </c>
      <c r="Z311" s="7">
        <f t="shared" ca="1" si="73"/>
        <v>-0.13487975593671192</v>
      </c>
      <c r="AA311" s="33">
        <f t="shared" ca="1" si="79"/>
        <v>63.731149059345626</v>
      </c>
      <c r="AB311" s="7">
        <f t="shared" ca="1" si="80"/>
        <v>5.3555587444828259E-3</v>
      </c>
      <c r="AC311" s="7">
        <f t="shared" ca="1" si="81"/>
        <v>7.0214669270084767E-2</v>
      </c>
    </row>
    <row r="312" spans="1:34" x14ac:dyDescent="0.25">
      <c r="A312" s="1">
        <v>309</v>
      </c>
      <c r="B312" s="25">
        <v>44007</v>
      </c>
      <c r="C312" s="10" t="s">
        <v>12</v>
      </c>
      <c r="D312" s="1">
        <v>235.9</v>
      </c>
      <c r="E312" s="30">
        <v>2000</v>
      </c>
      <c r="F312" s="1">
        <v>210</v>
      </c>
      <c r="G312" s="1">
        <v>6.5</v>
      </c>
      <c r="H312" s="1">
        <v>170</v>
      </c>
      <c r="I312" s="1">
        <v>0.75</v>
      </c>
      <c r="J312" s="1">
        <v>24000</v>
      </c>
      <c r="K312" s="1">
        <v>2000</v>
      </c>
      <c r="L312" s="1">
        <v>0.55000000000000004</v>
      </c>
      <c r="M312" s="1">
        <v>1.2</v>
      </c>
      <c r="N312" s="1">
        <v>2000</v>
      </c>
      <c r="O312" s="9"/>
      <c r="P312" s="7">
        <f t="shared" ca="1" si="68"/>
        <v>0.14374999999999999</v>
      </c>
      <c r="Q312" s="7">
        <f t="shared" ca="1" si="74"/>
        <v>7.1874999999999994E-3</v>
      </c>
      <c r="R312" s="33">
        <f t="shared" ca="1" si="69"/>
        <v>11500</v>
      </c>
      <c r="S312" s="33">
        <f t="shared" ca="1" si="70"/>
        <v>-68500</v>
      </c>
      <c r="T312" s="33">
        <f t="shared" ca="1" si="75"/>
        <v>11500</v>
      </c>
      <c r="U312" s="7">
        <f t="shared" ca="1" si="71"/>
        <v>0.16788321167883211</v>
      </c>
      <c r="V312" s="7">
        <f t="shared" ca="1" si="72"/>
        <v>-0.63890080400634885</v>
      </c>
      <c r="W312" s="33">
        <f t="shared" ca="1" si="76"/>
        <v>-68500</v>
      </c>
      <c r="X312" s="7">
        <f t="shared" ca="1" si="77"/>
        <v>-1</v>
      </c>
      <c r="Y312" s="7">
        <f t="shared" ca="1" si="78"/>
        <v>-0.83211678832116787</v>
      </c>
      <c r="Z312" s="7">
        <f t="shared" ca="1" si="73"/>
        <v>-0.13487975593671192</v>
      </c>
      <c r="AA312" s="33">
        <f t="shared" ca="1" si="79"/>
        <v>-336.26885094065437</v>
      </c>
      <c r="AB312" s="7">
        <f t="shared" ca="1" si="80"/>
        <v>-2.9240769647013425E-2</v>
      </c>
      <c r="AC312" s="7">
        <f t="shared" ca="1" si="81"/>
        <v>6.9321221015909346E-2</v>
      </c>
    </row>
    <row r="313" spans="1:34" x14ac:dyDescent="0.25">
      <c r="A313" s="1">
        <v>310</v>
      </c>
      <c r="B313" s="25">
        <v>44007</v>
      </c>
      <c r="C313" s="10" t="s">
        <v>12</v>
      </c>
      <c r="D313" s="1">
        <v>235.9</v>
      </c>
      <c r="E313" s="30">
        <v>2000</v>
      </c>
      <c r="F313" s="1">
        <v>210</v>
      </c>
      <c r="G313" s="1">
        <v>6.5</v>
      </c>
      <c r="H313" s="1">
        <v>180</v>
      </c>
      <c r="I313" s="1">
        <v>1.4</v>
      </c>
      <c r="J313" s="1">
        <v>160000</v>
      </c>
      <c r="K313" s="1">
        <v>4000</v>
      </c>
      <c r="L313" s="1">
        <v>1.25</v>
      </c>
      <c r="M313" s="1">
        <v>1.4</v>
      </c>
      <c r="N313" s="1">
        <v>2000</v>
      </c>
      <c r="O313" s="9"/>
      <c r="P313" s="7">
        <f t="shared" ca="1" si="68"/>
        <v>0.16999999999999998</v>
      </c>
      <c r="Q313" s="7">
        <f t="shared" ca="1" si="74"/>
        <v>8.4999999999999989E-3</v>
      </c>
      <c r="R313" s="33">
        <f t="shared" ca="1" si="69"/>
        <v>10200</v>
      </c>
      <c r="S313" s="33">
        <f t="shared" ca="1" si="70"/>
        <v>-49800</v>
      </c>
      <c r="T313" s="33">
        <f t="shared" ca="1" si="75"/>
        <v>10200</v>
      </c>
      <c r="U313" s="7">
        <f t="shared" ca="1" si="71"/>
        <v>0.20481927710843373</v>
      </c>
      <c r="V313" s="7">
        <f t="shared" ca="1" si="72"/>
        <v>-0.63890080400634885</v>
      </c>
      <c r="W313" s="33">
        <f t="shared" ca="1" si="76"/>
        <v>-49800</v>
      </c>
      <c r="X313" s="7">
        <f t="shared" ca="1" si="77"/>
        <v>-1</v>
      </c>
      <c r="Y313" s="7">
        <f t="shared" ca="1" si="78"/>
        <v>-0.79518072289156627</v>
      </c>
      <c r="Z313" s="7">
        <f t="shared" ca="1" si="73"/>
        <v>-0.13487975593671192</v>
      </c>
      <c r="AA313" s="33">
        <f t="shared" ca="1" si="79"/>
        <v>-1636.2688509406544</v>
      </c>
      <c r="AB313" s="7">
        <f t="shared" ca="1" si="80"/>
        <v>-0.16041851479810337</v>
      </c>
      <c r="AC313" s="7">
        <f t="shared" ca="1" si="81"/>
        <v>2.2200381155165178E-2</v>
      </c>
    </row>
    <row r="314" spans="1:34" x14ac:dyDescent="0.25">
      <c r="A314" s="1">
        <v>311</v>
      </c>
      <c r="B314" s="25">
        <v>44007</v>
      </c>
      <c r="C314" s="10" t="s">
        <v>12</v>
      </c>
      <c r="D314" s="1">
        <v>235.9</v>
      </c>
      <c r="E314" s="30">
        <v>2000</v>
      </c>
      <c r="F314" s="1">
        <v>210</v>
      </c>
      <c r="G314" s="1">
        <v>6.5</v>
      </c>
      <c r="H314" s="1">
        <v>190</v>
      </c>
      <c r="I314" s="1">
        <v>2.4</v>
      </c>
      <c r="J314" s="1">
        <v>206000</v>
      </c>
      <c r="K314" s="1">
        <v>2000</v>
      </c>
      <c r="L314" s="1">
        <v>2.4</v>
      </c>
      <c r="M314" s="1">
        <v>2.5</v>
      </c>
      <c r="N314" s="1">
        <v>2000</v>
      </c>
      <c r="O314" s="9"/>
      <c r="P314" s="7">
        <f t="shared" ca="1" si="68"/>
        <v>0.20499999999999999</v>
      </c>
      <c r="Q314" s="7">
        <f t="shared" ca="1" si="74"/>
        <v>1.0249999999999999E-2</v>
      </c>
      <c r="R314" s="33">
        <f t="shared" ca="1" si="69"/>
        <v>8200</v>
      </c>
      <c r="S314" s="33">
        <f t="shared" ca="1" si="70"/>
        <v>-31800</v>
      </c>
      <c r="T314" s="33">
        <f t="shared" ca="1" si="75"/>
        <v>8200</v>
      </c>
      <c r="U314" s="7">
        <f t="shared" ca="1" si="71"/>
        <v>0.25786163522012578</v>
      </c>
      <c r="V314" s="7">
        <f t="shared" ca="1" si="72"/>
        <v>-0.63890080400634885</v>
      </c>
      <c r="W314" s="33">
        <f t="shared" ca="1" si="76"/>
        <v>-31800</v>
      </c>
      <c r="X314" s="7">
        <f t="shared" ca="1" si="77"/>
        <v>-1</v>
      </c>
      <c r="Y314" s="7">
        <f t="shared" ca="1" si="78"/>
        <v>-0.74213836477987427</v>
      </c>
      <c r="Z314" s="7">
        <f t="shared" ca="1" si="73"/>
        <v>-0.13487975593671192</v>
      </c>
      <c r="AA314" s="33">
        <f t="shared" ca="1" si="79"/>
        <v>-3636.2688509406544</v>
      </c>
      <c r="AB314" s="7">
        <f t="shared" ca="1" si="80"/>
        <v>-0.44344742084642125</v>
      </c>
      <c r="AC314" s="7">
        <f t="shared" ca="1" si="81"/>
        <v>-9.2792892813147732E-2</v>
      </c>
    </row>
    <row r="315" spans="1:34" x14ac:dyDescent="0.25">
      <c r="A315" s="1">
        <v>312</v>
      </c>
      <c r="B315" s="25">
        <v>44007</v>
      </c>
      <c r="C315" s="10" t="s">
        <v>12</v>
      </c>
      <c r="D315" s="1">
        <v>235.9</v>
      </c>
      <c r="E315" s="30">
        <v>2000</v>
      </c>
      <c r="F315" s="1">
        <v>210</v>
      </c>
      <c r="G315" s="1">
        <v>6.5</v>
      </c>
      <c r="H315" s="1">
        <v>195</v>
      </c>
      <c r="I315" s="1">
        <v>3.8</v>
      </c>
      <c r="J315" s="1">
        <v>48000</v>
      </c>
      <c r="K315" s="1">
        <v>12000</v>
      </c>
      <c r="L315" s="1">
        <v>2.7</v>
      </c>
      <c r="M315" s="1">
        <v>3.7</v>
      </c>
      <c r="N315" s="1">
        <v>2000</v>
      </c>
      <c r="O315" s="9"/>
      <c r="P315" s="7">
        <f t="shared" ca="1" si="68"/>
        <v>0.18000000000000002</v>
      </c>
      <c r="Q315" s="7">
        <f t="shared" ca="1" si="74"/>
        <v>9.0000000000000011E-3</v>
      </c>
      <c r="R315" s="33">
        <f t="shared" ca="1" si="69"/>
        <v>5400</v>
      </c>
      <c r="S315" s="33">
        <f t="shared" ca="1" si="70"/>
        <v>-24600</v>
      </c>
      <c r="T315" s="33">
        <f t="shared" ca="1" si="75"/>
        <v>5400</v>
      </c>
      <c r="U315" s="7">
        <f t="shared" ca="1" si="71"/>
        <v>0.21951219512195122</v>
      </c>
      <c r="V315" s="7">
        <f t="shared" ca="1" si="72"/>
        <v>-0.63890080400634885</v>
      </c>
      <c r="W315" s="33">
        <f t="shared" ca="1" si="76"/>
        <v>-24600</v>
      </c>
      <c r="X315" s="7">
        <f t="shared" ca="1" si="77"/>
        <v>-1</v>
      </c>
      <c r="Y315" s="7">
        <f t="shared" ca="1" si="78"/>
        <v>-0.78048780487804881</v>
      </c>
      <c r="Z315" s="7">
        <f t="shared" ca="1" si="73"/>
        <v>-0.13487975593671192</v>
      </c>
      <c r="AA315" s="33">
        <f t="shared" ca="1" si="79"/>
        <v>-6436.2688509406544</v>
      </c>
      <c r="AB315" s="7">
        <f t="shared" ca="1" si="80"/>
        <v>-1.1919016390630841</v>
      </c>
      <c r="AC315" s="7">
        <f t="shared" ca="1" si="81"/>
        <v>-0.48619472197056646</v>
      </c>
    </row>
    <row r="316" spans="1:34" x14ac:dyDescent="0.25">
      <c r="A316" s="1">
        <v>313</v>
      </c>
      <c r="B316" s="25">
        <v>44007</v>
      </c>
      <c r="C316" s="10" t="s">
        <v>12</v>
      </c>
      <c r="D316" s="1">
        <v>235.9</v>
      </c>
      <c r="E316" s="30">
        <v>2000</v>
      </c>
      <c r="F316" s="1">
        <v>210</v>
      </c>
      <c r="G316" s="1">
        <v>6.5</v>
      </c>
      <c r="H316" s="1">
        <v>200</v>
      </c>
      <c r="I316" s="1">
        <v>4.05</v>
      </c>
      <c r="J316" s="1">
        <v>400000</v>
      </c>
      <c r="K316" s="1">
        <v>2000</v>
      </c>
      <c r="L316" s="1">
        <v>3.9</v>
      </c>
      <c r="M316" s="1">
        <v>4.0999999999999996</v>
      </c>
      <c r="N316" s="1">
        <v>2000</v>
      </c>
      <c r="O316" s="9"/>
      <c r="P316" s="7">
        <f t="shared" ca="1" si="68"/>
        <v>0.24500000000000002</v>
      </c>
      <c r="Q316" s="7">
        <f t="shared" ca="1" si="74"/>
        <v>1.225E-2</v>
      </c>
      <c r="R316" s="33">
        <f t="shared" ca="1" si="69"/>
        <v>4900</v>
      </c>
      <c r="S316" s="33">
        <f t="shared" ca="1" si="70"/>
        <v>-15100</v>
      </c>
      <c r="T316" s="33">
        <f t="shared" ca="1" si="75"/>
        <v>4900</v>
      </c>
      <c r="U316" s="7">
        <f t="shared" ca="1" si="71"/>
        <v>0.32450331125827814</v>
      </c>
      <c r="V316" s="7">
        <f t="shared" ca="1" si="72"/>
        <v>-0.63890080400634885</v>
      </c>
      <c r="W316" s="33">
        <f t="shared" ca="1" si="76"/>
        <v>-15100</v>
      </c>
      <c r="X316" s="7">
        <f t="shared" ca="1" si="77"/>
        <v>-1</v>
      </c>
      <c r="Y316" s="7">
        <f t="shared" ca="1" si="78"/>
        <v>-0.67549668874172186</v>
      </c>
      <c r="Z316" s="7">
        <f t="shared" ca="1" si="73"/>
        <v>-0.13487975593671192</v>
      </c>
      <c r="AA316" s="33">
        <f t="shared" ca="1" si="79"/>
        <v>-6936.2688509406544</v>
      </c>
      <c r="AB316" s="7">
        <f t="shared" ca="1" si="80"/>
        <v>-1.4155650716205417</v>
      </c>
      <c r="AC316" s="7">
        <f t="shared" ca="1" si="81"/>
        <v>-0.54553088018113183</v>
      </c>
    </row>
    <row r="317" spans="1:34" x14ac:dyDescent="0.25">
      <c r="A317" s="1">
        <v>314</v>
      </c>
      <c r="B317" s="25">
        <v>44007</v>
      </c>
      <c r="C317" s="10" t="s">
        <v>714</v>
      </c>
      <c r="D317" s="1">
        <v>1193.95</v>
      </c>
      <c r="E317" s="30">
        <v>300</v>
      </c>
      <c r="F317" s="1">
        <v>1080</v>
      </c>
      <c r="G317" s="1">
        <v>38.450000000000003</v>
      </c>
      <c r="H317" s="1">
        <v>800</v>
      </c>
      <c r="I317" s="1">
        <v>4.3</v>
      </c>
      <c r="J317" s="1">
        <v>130200</v>
      </c>
      <c r="K317" s="1">
        <v>300</v>
      </c>
      <c r="L317" s="1">
        <v>4.3</v>
      </c>
      <c r="M317" s="1">
        <v>4.45</v>
      </c>
      <c r="N317" s="1">
        <v>900</v>
      </c>
      <c r="O317" s="9"/>
      <c r="P317" s="7">
        <f t="shared" ca="1" si="68"/>
        <v>0.12196428571428573</v>
      </c>
      <c r="Q317" s="7">
        <f t="shared" ca="1" si="74"/>
        <v>6.0982142857142867E-3</v>
      </c>
      <c r="R317" s="33">
        <f t="shared" ca="1" si="69"/>
        <v>10245.000000000002</v>
      </c>
      <c r="S317" s="33">
        <f t="shared" ca="1" si="70"/>
        <v>-73755</v>
      </c>
      <c r="T317" s="33">
        <f t="shared" ca="1" si="75"/>
        <v>10245.000000000002</v>
      </c>
      <c r="U317" s="7">
        <f t="shared" ca="1" si="71"/>
        <v>0.13890583689241409</v>
      </c>
      <c r="V317" s="7">
        <f t="shared" ca="1" si="72"/>
        <v>-0.54759952682936641</v>
      </c>
      <c r="W317" s="33">
        <f t="shared" ca="1" si="76"/>
        <v>-73755</v>
      </c>
      <c r="X317" s="7">
        <f t="shared" ca="1" si="77"/>
        <v>-1</v>
      </c>
      <c r="Y317" s="7">
        <f t="shared" ca="1" si="78"/>
        <v>-0.86109416310758591</v>
      </c>
      <c r="Z317" s="7">
        <f t="shared" ca="1" si="73"/>
        <v>-0.13971336010537752</v>
      </c>
      <c r="AA317" s="33">
        <f t="shared" ca="1" si="79"/>
        <v>-5613.2298893446223</v>
      </c>
      <c r="AB317" s="7">
        <f t="shared" ca="1" si="80"/>
        <v>-0.54789945235184201</v>
      </c>
      <c r="AC317" s="7">
        <f t="shared" ca="1" si="81"/>
        <v>-0.20449680772971396</v>
      </c>
    </row>
    <row r="318" spans="1:34" x14ac:dyDescent="0.25">
      <c r="A318" s="1">
        <v>315</v>
      </c>
      <c r="B318" s="25">
        <v>44007</v>
      </c>
      <c r="C318" s="10" t="s">
        <v>714</v>
      </c>
      <c r="D318" s="1">
        <v>1193.95</v>
      </c>
      <c r="E318" s="30">
        <v>300</v>
      </c>
      <c r="F318" s="1">
        <v>1080</v>
      </c>
      <c r="G318" s="1">
        <v>38.450000000000003</v>
      </c>
      <c r="H318" s="1">
        <v>860</v>
      </c>
      <c r="I318" s="1">
        <v>6.85</v>
      </c>
      <c r="J318" s="1">
        <v>22800</v>
      </c>
      <c r="K318" s="1">
        <v>300</v>
      </c>
      <c r="L318" s="1">
        <v>6.45</v>
      </c>
      <c r="M318" s="1">
        <v>6.95</v>
      </c>
      <c r="N318" s="1">
        <v>300</v>
      </c>
      <c r="O318" s="9"/>
      <c r="P318" s="7">
        <f t="shared" ca="1" si="68"/>
        <v>0.14363636363636365</v>
      </c>
      <c r="Q318" s="7">
        <f t="shared" ca="1" si="74"/>
        <v>7.1818181818181824E-3</v>
      </c>
      <c r="R318" s="33">
        <f t="shared" ca="1" si="69"/>
        <v>9480</v>
      </c>
      <c r="S318" s="33">
        <f t="shared" ca="1" si="70"/>
        <v>-56520</v>
      </c>
      <c r="T318" s="33">
        <f t="shared" ca="1" si="75"/>
        <v>9480</v>
      </c>
      <c r="U318" s="7">
        <f t="shared" ca="1" si="71"/>
        <v>0.16772823779193205</v>
      </c>
      <c r="V318" s="7">
        <f t="shared" ca="1" si="72"/>
        <v>-0.54759952682936641</v>
      </c>
      <c r="W318" s="33">
        <f t="shared" ca="1" si="76"/>
        <v>-56520</v>
      </c>
      <c r="X318" s="7">
        <f t="shared" ca="1" si="77"/>
        <v>-1</v>
      </c>
      <c r="Y318" s="7">
        <f t="shared" ca="1" si="78"/>
        <v>-0.83227176220806798</v>
      </c>
      <c r="Z318" s="7">
        <f t="shared" ca="1" si="73"/>
        <v>-0.13971336010537752</v>
      </c>
      <c r="AA318" s="33">
        <f t="shared" ca="1" si="79"/>
        <v>-6378.2298893446241</v>
      </c>
      <c r="AB318" s="7">
        <f t="shared" ca="1" si="80"/>
        <v>-0.67280906005744978</v>
      </c>
      <c r="AC318" s="7">
        <f t="shared" ca="1" si="81"/>
        <v>-0.25254041113275888</v>
      </c>
    </row>
    <row r="319" spans="1:34" x14ac:dyDescent="0.25">
      <c r="A319" s="1">
        <v>316</v>
      </c>
      <c r="B319" s="25">
        <v>44007</v>
      </c>
      <c r="C319" s="10" t="s">
        <v>714</v>
      </c>
      <c r="D319" s="1">
        <v>1193.95</v>
      </c>
      <c r="E319" s="30">
        <v>300</v>
      </c>
      <c r="F319" s="1">
        <v>1080</v>
      </c>
      <c r="G319" s="1">
        <v>38.450000000000003</v>
      </c>
      <c r="H319" s="1">
        <v>880</v>
      </c>
      <c r="I319" s="1">
        <v>8</v>
      </c>
      <c r="J319" s="1">
        <v>97500</v>
      </c>
      <c r="K319" s="1">
        <v>300</v>
      </c>
      <c r="L319" s="1">
        <v>7.7</v>
      </c>
      <c r="M319" s="1">
        <v>8.15</v>
      </c>
      <c r="N319" s="1">
        <v>300</v>
      </c>
      <c r="O319" s="9"/>
      <c r="P319" s="7">
        <f t="shared" ca="1" si="68"/>
        <v>0.15225000000000002</v>
      </c>
      <c r="Q319" s="7">
        <f t="shared" ca="1" si="74"/>
        <v>7.6125000000000012E-3</v>
      </c>
      <c r="R319" s="33">
        <f t="shared" ca="1" si="69"/>
        <v>9135</v>
      </c>
      <c r="S319" s="33">
        <f t="shared" ca="1" si="70"/>
        <v>-50865</v>
      </c>
      <c r="T319" s="33">
        <f t="shared" ca="1" si="75"/>
        <v>9135</v>
      </c>
      <c r="U319" s="7">
        <f t="shared" ca="1" si="71"/>
        <v>0.17959304040106164</v>
      </c>
      <c r="V319" s="7">
        <f t="shared" ca="1" si="72"/>
        <v>-0.54759952682936641</v>
      </c>
      <c r="W319" s="33">
        <f t="shared" ca="1" si="76"/>
        <v>-50865</v>
      </c>
      <c r="X319" s="7">
        <f t="shared" ca="1" si="77"/>
        <v>-1</v>
      </c>
      <c r="Y319" s="7">
        <f t="shared" ca="1" si="78"/>
        <v>-0.82040695959893839</v>
      </c>
      <c r="Z319" s="7">
        <f t="shared" ca="1" si="73"/>
        <v>-0.13971336010537752</v>
      </c>
      <c r="AA319" s="33">
        <f t="shared" ca="1" si="79"/>
        <v>-6723.2298893446241</v>
      </c>
      <c r="AB319" s="7">
        <f t="shared" ca="1" si="80"/>
        <v>-0.73598575690691015</v>
      </c>
      <c r="AC319" s="7">
        <f t="shared" ca="1" si="81"/>
        <v>-0.27819635825292427</v>
      </c>
    </row>
    <row r="320" spans="1:34" x14ac:dyDescent="0.25">
      <c r="A320" s="1">
        <v>317</v>
      </c>
      <c r="B320" s="25">
        <v>44007</v>
      </c>
      <c r="C320" s="10" t="s">
        <v>714</v>
      </c>
      <c r="D320" s="1">
        <v>1193.95</v>
      </c>
      <c r="E320" s="30">
        <v>300</v>
      </c>
      <c r="F320" s="1">
        <v>1080</v>
      </c>
      <c r="G320" s="1">
        <v>38.450000000000003</v>
      </c>
      <c r="H320" s="1">
        <v>900</v>
      </c>
      <c r="I320" s="1">
        <v>9.85</v>
      </c>
      <c r="J320" s="1">
        <v>318000</v>
      </c>
      <c r="K320" s="1">
        <v>300</v>
      </c>
      <c r="L320" s="1">
        <v>9.65</v>
      </c>
      <c r="M320" s="1">
        <v>9.75</v>
      </c>
      <c r="N320" s="1">
        <v>900</v>
      </c>
      <c r="O320" s="9"/>
      <c r="P320" s="7">
        <f t="shared" ca="1" si="68"/>
        <v>0.15888888888888889</v>
      </c>
      <c r="Q320" s="7">
        <f t="shared" ca="1" si="74"/>
        <v>7.9444444444444449E-3</v>
      </c>
      <c r="R320" s="33">
        <f t="shared" ca="1" si="69"/>
        <v>8580</v>
      </c>
      <c r="S320" s="33">
        <f t="shared" ca="1" si="70"/>
        <v>-45420</v>
      </c>
      <c r="T320" s="33">
        <f t="shared" ca="1" si="75"/>
        <v>8580</v>
      </c>
      <c r="U320" s="7">
        <f t="shared" ca="1" si="71"/>
        <v>0.18890356671070013</v>
      </c>
      <c r="V320" s="7">
        <f t="shared" ca="1" si="72"/>
        <v>-0.54759952682936641</v>
      </c>
      <c r="W320" s="33">
        <f t="shared" ca="1" si="76"/>
        <v>-45420</v>
      </c>
      <c r="X320" s="7">
        <f t="shared" ca="1" si="77"/>
        <v>-1</v>
      </c>
      <c r="Y320" s="7">
        <f t="shared" ca="1" si="78"/>
        <v>-0.81109643328929981</v>
      </c>
      <c r="Z320" s="7">
        <f t="shared" ca="1" si="73"/>
        <v>-0.13971336010537752</v>
      </c>
      <c r="AA320" s="33">
        <f t="shared" ca="1" si="79"/>
        <v>-7278.2298893446241</v>
      </c>
      <c r="AB320" s="7">
        <f t="shared" ca="1" si="80"/>
        <v>-0.84827854188165785</v>
      </c>
      <c r="AC320" s="7">
        <f t="shared" ca="1" si="81"/>
        <v>-0.32968748758547883</v>
      </c>
    </row>
    <row r="321" spans="1:29" x14ac:dyDescent="0.25">
      <c r="A321" s="1">
        <v>318</v>
      </c>
      <c r="B321" s="25">
        <v>44007</v>
      </c>
      <c r="C321" s="10" t="s">
        <v>714</v>
      </c>
      <c r="D321" s="1">
        <v>1193.95</v>
      </c>
      <c r="E321" s="30">
        <v>300</v>
      </c>
      <c r="F321" s="1">
        <v>1080</v>
      </c>
      <c r="G321" s="1">
        <v>38.450000000000003</v>
      </c>
      <c r="H321" s="1">
        <v>920</v>
      </c>
      <c r="I321" s="1">
        <v>11.7</v>
      </c>
      <c r="J321" s="1">
        <v>44400</v>
      </c>
      <c r="K321" s="1">
        <v>300</v>
      </c>
      <c r="L321" s="1">
        <v>10.55</v>
      </c>
      <c r="M321" s="1">
        <v>11.75</v>
      </c>
      <c r="N321" s="1">
        <v>300</v>
      </c>
      <c r="O321" s="9"/>
      <c r="P321" s="7">
        <f t="shared" ca="1" si="68"/>
        <v>0.16718750000000002</v>
      </c>
      <c r="Q321" s="7">
        <f t="shared" ca="1" si="74"/>
        <v>8.3593750000000005E-3</v>
      </c>
      <c r="R321" s="33">
        <f t="shared" ca="1" si="69"/>
        <v>8025.0000000000009</v>
      </c>
      <c r="S321" s="33">
        <f t="shared" ca="1" si="70"/>
        <v>-39975</v>
      </c>
      <c r="T321" s="33">
        <f t="shared" ca="1" si="75"/>
        <v>8025.0000000000009</v>
      </c>
      <c r="U321" s="7">
        <f t="shared" ca="1" si="71"/>
        <v>0.200750469043152</v>
      </c>
      <c r="V321" s="7">
        <f t="shared" ca="1" si="72"/>
        <v>-0.54759952682936641</v>
      </c>
      <c r="W321" s="33">
        <f t="shared" ca="1" si="76"/>
        <v>-39975</v>
      </c>
      <c r="X321" s="7">
        <f t="shared" ca="1" si="77"/>
        <v>-1</v>
      </c>
      <c r="Y321" s="7">
        <f t="shared" ca="1" si="78"/>
        <v>-0.79924953095684803</v>
      </c>
      <c r="Z321" s="7">
        <f t="shared" ca="1" si="73"/>
        <v>-0.13971336010537752</v>
      </c>
      <c r="AA321" s="33">
        <f t="shared" ca="1" si="79"/>
        <v>-7833.2298893446232</v>
      </c>
      <c r="AB321" s="7">
        <f t="shared" ca="1" si="80"/>
        <v>-0.97610341300244519</v>
      </c>
      <c r="AC321" s="7">
        <f t="shared" ca="1" si="81"/>
        <v>-0.38767647197964661</v>
      </c>
    </row>
    <row r="322" spans="1:29" x14ac:dyDescent="0.25">
      <c r="A322" s="1">
        <v>319</v>
      </c>
      <c r="B322" s="25">
        <v>44007</v>
      </c>
      <c r="C322" s="10" t="s">
        <v>714</v>
      </c>
      <c r="D322" s="1">
        <v>1193.95</v>
      </c>
      <c r="E322" s="30">
        <v>300</v>
      </c>
      <c r="F322" s="1">
        <v>1080</v>
      </c>
      <c r="G322" s="1">
        <v>38.450000000000003</v>
      </c>
      <c r="H322" s="1">
        <v>940</v>
      </c>
      <c r="I322" s="1">
        <v>13.2</v>
      </c>
      <c r="J322" s="1">
        <v>54900</v>
      </c>
      <c r="K322" s="1">
        <v>600</v>
      </c>
      <c r="L322" s="1">
        <v>12.9</v>
      </c>
      <c r="M322" s="1">
        <v>13.1</v>
      </c>
      <c r="N322" s="1">
        <v>600</v>
      </c>
      <c r="O322" s="9"/>
      <c r="P322" s="7">
        <f t="shared" ca="1" si="68"/>
        <v>0.18035714285714288</v>
      </c>
      <c r="Q322" s="7">
        <f t="shared" ca="1" si="74"/>
        <v>9.0178571428571434E-3</v>
      </c>
      <c r="R322" s="33">
        <f t="shared" ca="1" si="69"/>
        <v>7575.0000000000009</v>
      </c>
      <c r="S322" s="33">
        <f t="shared" ca="1" si="70"/>
        <v>-34425</v>
      </c>
      <c r="T322" s="33">
        <f t="shared" ca="1" si="75"/>
        <v>7575.0000000000009</v>
      </c>
      <c r="U322" s="7">
        <f t="shared" ca="1" si="71"/>
        <v>0.22004357298474947</v>
      </c>
      <c r="V322" s="7">
        <f t="shared" ca="1" si="72"/>
        <v>-0.54759952682936641</v>
      </c>
      <c r="W322" s="33">
        <f t="shared" ca="1" si="76"/>
        <v>-34425</v>
      </c>
      <c r="X322" s="7">
        <f t="shared" ca="1" si="77"/>
        <v>-1</v>
      </c>
      <c r="Y322" s="7">
        <f t="shared" ca="1" si="78"/>
        <v>-0.77995642701525059</v>
      </c>
      <c r="Z322" s="7">
        <f t="shared" ca="1" si="73"/>
        <v>-0.13971336010537752</v>
      </c>
      <c r="AA322" s="33">
        <f t="shared" ca="1" si="79"/>
        <v>-8283.2298893446241</v>
      </c>
      <c r="AB322" s="7">
        <f t="shared" ca="1" si="80"/>
        <v>-1.0934956949629866</v>
      </c>
      <c r="AC322" s="7">
        <f t="shared" ca="1" si="81"/>
        <v>-0.43672606098911859</v>
      </c>
    </row>
    <row r="323" spans="1:29" x14ac:dyDescent="0.25">
      <c r="A323" s="1">
        <v>320</v>
      </c>
      <c r="B323" s="25">
        <v>44007</v>
      </c>
      <c r="C323" s="10" t="s">
        <v>714</v>
      </c>
      <c r="D323" s="1">
        <v>1193.95</v>
      </c>
      <c r="E323" s="30">
        <v>300</v>
      </c>
      <c r="F323" s="1">
        <v>1080</v>
      </c>
      <c r="G323" s="1">
        <v>38.450000000000003</v>
      </c>
      <c r="H323" s="1">
        <v>960</v>
      </c>
      <c r="I323" s="1">
        <v>15.2</v>
      </c>
      <c r="J323" s="1">
        <v>51300</v>
      </c>
      <c r="K323" s="1">
        <v>600</v>
      </c>
      <c r="L323" s="1">
        <v>15.05</v>
      </c>
      <c r="M323" s="1">
        <v>15.25</v>
      </c>
      <c r="N323" s="1">
        <v>300</v>
      </c>
      <c r="O323" s="9"/>
      <c r="P323" s="7">
        <f t="shared" ca="1" si="68"/>
        <v>0.19375000000000003</v>
      </c>
      <c r="Q323" s="7">
        <f t="shared" ca="1" si="74"/>
        <v>9.6875000000000017E-3</v>
      </c>
      <c r="R323" s="33">
        <f t="shared" ca="1" si="69"/>
        <v>6975.0000000000009</v>
      </c>
      <c r="S323" s="33">
        <f t="shared" ca="1" si="70"/>
        <v>-29025</v>
      </c>
      <c r="T323" s="33">
        <f t="shared" ca="1" si="75"/>
        <v>6975.0000000000009</v>
      </c>
      <c r="U323" s="7">
        <f t="shared" ca="1" si="71"/>
        <v>0.24031007751937988</v>
      </c>
      <c r="V323" s="7">
        <f t="shared" ca="1" si="72"/>
        <v>-0.54759952682936641</v>
      </c>
      <c r="W323" s="33">
        <f t="shared" ca="1" si="76"/>
        <v>-29025</v>
      </c>
      <c r="X323" s="7">
        <f t="shared" ca="1" si="77"/>
        <v>-1</v>
      </c>
      <c r="Y323" s="7">
        <f t="shared" ca="1" si="78"/>
        <v>-0.75968992248062017</v>
      </c>
      <c r="Z323" s="7">
        <f t="shared" ca="1" si="73"/>
        <v>-0.13971336010537752</v>
      </c>
      <c r="AA323" s="33">
        <f t="shared" ca="1" si="79"/>
        <v>-8883.2298893446241</v>
      </c>
      <c r="AB323" s="7">
        <f t="shared" ca="1" si="80"/>
        <v>-1.2735813461425982</v>
      </c>
      <c r="AC323" s="7">
        <f t="shared" ca="1" si="81"/>
        <v>-0.51663563431160919</v>
      </c>
    </row>
    <row r="324" spans="1:29" x14ac:dyDescent="0.25">
      <c r="A324" s="1">
        <v>321</v>
      </c>
      <c r="B324" s="25">
        <v>44007</v>
      </c>
      <c r="C324" s="10" t="s">
        <v>714</v>
      </c>
      <c r="D324" s="1">
        <v>1193.95</v>
      </c>
      <c r="E324" s="30">
        <v>300</v>
      </c>
      <c r="F324" s="1">
        <v>1080</v>
      </c>
      <c r="G324" s="1">
        <v>38.450000000000003</v>
      </c>
      <c r="H324" s="1">
        <v>980</v>
      </c>
      <c r="I324" s="1">
        <v>17.649999999999999</v>
      </c>
      <c r="J324" s="1">
        <v>44700</v>
      </c>
      <c r="K324" s="1">
        <v>900</v>
      </c>
      <c r="L324" s="1">
        <v>17.55</v>
      </c>
      <c r="M324" s="1">
        <v>17.899999999999999</v>
      </c>
      <c r="N324" s="1">
        <v>300</v>
      </c>
      <c r="O324" s="9"/>
      <c r="P324" s="7">
        <f t="shared" ref="P324:P387" ca="1" si="82">($G324-$I324)/($F324-$H324)</f>
        <v>0.20800000000000005</v>
      </c>
      <c r="Q324" s="7">
        <f t="shared" ca="1" si="74"/>
        <v>1.0400000000000003E-2</v>
      </c>
      <c r="R324" s="33">
        <f t="shared" ref="R324:R387" ca="1" si="83">$E324*($G324-$I324)</f>
        <v>6240.0000000000009</v>
      </c>
      <c r="S324" s="33">
        <f t="shared" ref="S324:S387" ca="1" si="84">-(($F324-$H324)*$E324-$R324)</f>
        <v>-23760</v>
      </c>
      <c r="T324" s="33">
        <f t="shared" ca="1" si="75"/>
        <v>6240.0000000000009</v>
      </c>
      <c r="U324" s="7">
        <f t="shared" ref="U324:U387" ca="1" si="85">ABS($T324/$S324)</f>
        <v>0.26262626262626265</v>
      </c>
      <c r="V324" s="7">
        <f t="shared" ref="V324:V387" ca="1" si="86">mrigxl_max_drawdown($C324,INT($B324-TODAY()))</f>
        <v>-0.54759952682936641</v>
      </c>
      <c r="W324" s="33">
        <f t="shared" ca="1" si="76"/>
        <v>-23760</v>
      </c>
      <c r="X324" s="7">
        <f t="shared" ca="1" si="77"/>
        <v>-1</v>
      </c>
      <c r="Y324" s="7">
        <f t="shared" ca="1" si="78"/>
        <v>-0.73737373737373735</v>
      </c>
      <c r="Z324" s="7">
        <f t="shared" ref="Z324:Z387" ca="1" si="87">mrigxl_avg_drawdown($C324,INT($B324-TODAY()))</f>
        <v>-0.13971336010537752</v>
      </c>
      <c r="AA324" s="33">
        <f t="shared" ca="1" si="79"/>
        <v>-9618.2298893446241</v>
      </c>
      <c r="AB324" s="7">
        <f t="shared" ca="1" si="80"/>
        <v>-1.5413829950872793</v>
      </c>
      <c r="AC324" s="7">
        <f t="shared" ca="1" si="81"/>
        <v>-0.63937836623050837</v>
      </c>
    </row>
    <row r="325" spans="1:29" x14ac:dyDescent="0.25">
      <c r="A325" s="1">
        <v>322</v>
      </c>
      <c r="B325" s="25">
        <v>44007</v>
      </c>
      <c r="C325" s="10" t="s">
        <v>714</v>
      </c>
      <c r="D325" s="1">
        <v>1193.95</v>
      </c>
      <c r="E325" s="30">
        <v>300</v>
      </c>
      <c r="F325" s="1">
        <v>1080</v>
      </c>
      <c r="G325" s="1">
        <v>38.450000000000003</v>
      </c>
      <c r="H325" s="1">
        <v>1000</v>
      </c>
      <c r="I325" s="1">
        <v>20.9</v>
      </c>
      <c r="J325" s="1">
        <v>204900</v>
      </c>
      <c r="K325" s="1">
        <v>300</v>
      </c>
      <c r="L325" s="1">
        <v>20.9</v>
      </c>
      <c r="M325" s="1">
        <v>21.1</v>
      </c>
      <c r="N325" s="1">
        <v>900</v>
      </c>
      <c r="O325" s="9"/>
      <c r="P325" s="7">
        <f t="shared" ca="1" si="82"/>
        <v>0.21937500000000004</v>
      </c>
      <c r="Q325" s="7">
        <f t="shared" ca="1" si="74"/>
        <v>1.0968750000000003E-2</v>
      </c>
      <c r="R325" s="33">
        <f t="shared" ca="1" si="83"/>
        <v>5265.0000000000009</v>
      </c>
      <c r="S325" s="33">
        <f t="shared" ca="1" si="84"/>
        <v>-18735</v>
      </c>
      <c r="T325" s="33">
        <f t="shared" ca="1" si="75"/>
        <v>5265.0000000000009</v>
      </c>
      <c r="U325" s="7">
        <f t="shared" ca="1" si="85"/>
        <v>0.28102481985588473</v>
      </c>
      <c r="V325" s="7">
        <f t="shared" ca="1" si="86"/>
        <v>-0.54759952682936641</v>
      </c>
      <c r="W325" s="33">
        <f t="shared" ca="1" si="76"/>
        <v>-18735</v>
      </c>
      <c r="X325" s="7">
        <f t="shared" ca="1" si="77"/>
        <v>-1</v>
      </c>
      <c r="Y325" s="7">
        <f t="shared" ca="1" si="78"/>
        <v>-0.71897518014411532</v>
      </c>
      <c r="Z325" s="7">
        <f t="shared" ca="1" si="87"/>
        <v>-0.13971336010537752</v>
      </c>
      <c r="AA325" s="33">
        <f t="shared" ca="1" si="79"/>
        <v>-10593.229889344624</v>
      </c>
      <c r="AB325" s="7">
        <f t="shared" ca="1" si="80"/>
        <v>-2.0120094756589975</v>
      </c>
      <c r="AC325" s="7">
        <f t="shared" ca="1" si="81"/>
        <v>-0.86549232790155639</v>
      </c>
    </row>
    <row r="326" spans="1:29" x14ac:dyDescent="0.25">
      <c r="A326" s="1">
        <v>323</v>
      </c>
      <c r="B326" s="25">
        <v>44007</v>
      </c>
      <c r="C326" s="10" t="s">
        <v>714</v>
      </c>
      <c r="D326" s="1">
        <v>1193.95</v>
      </c>
      <c r="E326" s="30">
        <v>300</v>
      </c>
      <c r="F326" s="1">
        <v>1080</v>
      </c>
      <c r="G326" s="1">
        <v>38.450000000000003</v>
      </c>
      <c r="H326" s="1">
        <v>1020</v>
      </c>
      <c r="I326" s="1">
        <v>24.45</v>
      </c>
      <c r="J326" s="1">
        <v>37500</v>
      </c>
      <c r="K326" s="1">
        <v>300</v>
      </c>
      <c r="L326" s="1">
        <v>24.25</v>
      </c>
      <c r="M326" s="1">
        <v>24.5</v>
      </c>
      <c r="N326" s="1">
        <v>300</v>
      </c>
      <c r="O326" s="9"/>
      <c r="P326" s="7">
        <f t="shared" ca="1" si="82"/>
        <v>0.23333333333333339</v>
      </c>
      <c r="Q326" s="7">
        <f t="shared" ca="1" si="74"/>
        <v>1.1666666666666669E-2</v>
      </c>
      <c r="R326" s="33">
        <f t="shared" ca="1" si="83"/>
        <v>4200.0000000000009</v>
      </c>
      <c r="S326" s="33">
        <f t="shared" ca="1" si="84"/>
        <v>-13800</v>
      </c>
      <c r="T326" s="33">
        <f t="shared" ca="1" si="75"/>
        <v>4200.0000000000009</v>
      </c>
      <c r="U326" s="7">
        <f t="shared" ca="1" si="85"/>
        <v>0.3043478260869566</v>
      </c>
      <c r="V326" s="7">
        <f t="shared" ca="1" si="86"/>
        <v>-0.54759952682936641</v>
      </c>
      <c r="W326" s="33">
        <f t="shared" ca="1" si="76"/>
        <v>-13800</v>
      </c>
      <c r="X326" s="7">
        <f t="shared" ca="1" si="77"/>
        <v>-1</v>
      </c>
      <c r="Y326" s="7">
        <f t="shared" ca="1" si="78"/>
        <v>-0.69565217391304346</v>
      </c>
      <c r="Z326" s="7">
        <f t="shared" ca="1" si="87"/>
        <v>-0.13971336010537752</v>
      </c>
      <c r="AA326" s="33">
        <f t="shared" ca="1" si="79"/>
        <v>-11658.229889344624</v>
      </c>
      <c r="AB326" s="7">
        <f t="shared" ca="1" si="80"/>
        <v>-2.775769021272529</v>
      </c>
      <c r="AC326" s="7">
        <f t="shared" ca="1" si="81"/>
        <v>-1.2357105975927862</v>
      </c>
    </row>
    <row r="327" spans="1:29" x14ac:dyDescent="0.25">
      <c r="A327" s="1">
        <v>324</v>
      </c>
      <c r="B327" s="25">
        <v>44007</v>
      </c>
      <c r="C327" s="10" t="s">
        <v>714</v>
      </c>
      <c r="D327" s="1">
        <v>1193.95</v>
      </c>
      <c r="E327" s="30">
        <v>300</v>
      </c>
      <c r="F327" s="1">
        <v>1080</v>
      </c>
      <c r="G327" s="1">
        <v>38.450000000000003</v>
      </c>
      <c r="H327" s="1">
        <v>1040</v>
      </c>
      <c r="I327" s="1">
        <v>28.5</v>
      </c>
      <c r="J327" s="1">
        <v>51600</v>
      </c>
      <c r="K327" s="1">
        <v>600</v>
      </c>
      <c r="L327" s="1">
        <v>28.35</v>
      </c>
      <c r="M327" s="1">
        <v>28.65</v>
      </c>
      <c r="N327" s="1">
        <v>600</v>
      </c>
      <c r="O327" s="9"/>
      <c r="P327" s="7">
        <f t="shared" ca="1" si="82"/>
        <v>0.24875000000000008</v>
      </c>
      <c r="Q327" s="7">
        <f t="shared" ca="1" si="74"/>
        <v>1.2437500000000004E-2</v>
      </c>
      <c r="R327" s="33">
        <f t="shared" ca="1" si="83"/>
        <v>2985.0000000000009</v>
      </c>
      <c r="S327" s="33">
        <f t="shared" ca="1" si="84"/>
        <v>-9015</v>
      </c>
      <c r="T327" s="33">
        <f t="shared" ca="1" si="75"/>
        <v>2985.0000000000009</v>
      </c>
      <c r="U327" s="7">
        <f t="shared" ca="1" si="85"/>
        <v>0.33111480865224635</v>
      </c>
      <c r="V327" s="7">
        <f t="shared" ca="1" si="86"/>
        <v>-0.54759952682936641</v>
      </c>
      <c r="W327" s="33">
        <f t="shared" ca="1" si="76"/>
        <v>-9015</v>
      </c>
      <c r="X327" s="7">
        <f t="shared" ca="1" si="77"/>
        <v>-1</v>
      </c>
      <c r="Y327" s="7">
        <f t="shared" ca="1" si="78"/>
        <v>-0.66888519134775359</v>
      </c>
      <c r="Z327" s="7">
        <f t="shared" ca="1" si="87"/>
        <v>-0.13971336010537752</v>
      </c>
      <c r="AA327" s="33">
        <f t="shared" ca="1" si="79"/>
        <v>-9015</v>
      </c>
      <c r="AB327" s="7">
        <f t="shared" ca="1" si="80"/>
        <v>-3.020100502512562</v>
      </c>
      <c r="AC327" s="7">
        <f t="shared" ca="1" si="81"/>
        <v>-1.3444928469301578</v>
      </c>
    </row>
    <row r="328" spans="1:29" x14ac:dyDescent="0.25">
      <c r="A328" s="1">
        <v>325</v>
      </c>
      <c r="B328" s="25">
        <v>44007</v>
      </c>
      <c r="C328" s="10" t="s">
        <v>714</v>
      </c>
      <c r="D328" s="1">
        <v>1193.95</v>
      </c>
      <c r="E328" s="30">
        <v>300</v>
      </c>
      <c r="F328" s="1">
        <v>1080</v>
      </c>
      <c r="G328" s="1">
        <v>38.450000000000003</v>
      </c>
      <c r="H328" s="1">
        <v>1060</v>
      </c>
      <c r="I328" s="1">
        <v>33.15</v>
      </c>
      <c r="J328" s="1">
        <v>43200</v>
      </c>
      <c r="K328" s="1">
        <v>300</v>
      </c>
      <c r="L328" s="1">
        <v>32.85</v>
      </c>
      <c r="M328" s="1">
        <v>33.049999999999997</v>
      </c>
      <c r="N328" s="1">
        <v>300</v>
      </c>
      <c r="O328" s="9"/>
      <c r="P328" s="7">
        <f t="shared" ca="1" si="82"/>
        <v>0.26500000000000024</v>
      </c>
      <c r="Q328" s="7">
        <f t="shared" ca="1" si="74"/>
        <v>1.3250000000000012E-2</v>
      </c>
      <c r="R328" s="33">
        <f t="shared" ca="1" si="83"/>
        <v>1590.0000000000014</v>
      </c>
      <c r="S328" s="33">
        <f t="shared" ca="1" si="84"/>
        <v>-4409.9999999999982</v>
      </c>
      <c r="T328" s="33">
        <f t="shared" ca="1" si="75"/>
        <v>1590.0000000000014</v>
      </c>
      <c r="U328" s="7">
        <f t="shared" ca="1" si="85"/>
        <v>0.36054421768707529</v>
      </c>
      <c r="V328" s="7">
        <f t="shared" ca="1" si="86"/>
        <v>-0.54759952682936641</v>
      </c>
      <c r="W328" s="33">
        <f t="shared" ca="1" si="76"/>
        <v>-4409.9999999999982</v>
      </c>
      <c r="X328" s="7">
        <f t="shared" ca="1" si="77"/>
        <v>-1</v>
      </c>
      <c r="Y328" s="7">
        <f t="shared" ca="1" si="78"/>
        <v>-0.63945578231292477</v>
      </c>
      <c r="Z328" s="7">
        <f t="shared" ca="1" si="87"/>
        <v>-0.13971336010537752</v>
      </c>
      <c r="AA328" s="33">
        <f t="shared" ca="1" si="79"/>
        <v>-4409.9999999999982</v>
      </c>
      <c r="AB328" s="7">
        <f t="shared" ca="1" si="80"/>
        <v>-2.7735849056603739</v>
      </c>
      <c r="AC328" s="7">
        <f t="shared" ca="1" si="81"/>
        <v>-1.2065203439866492</v>
      </c>
    </row>
    <row r="329" spans="1:29" x14ac:dyDescent="0.25">
      <c r="A329" s="1">
        <v>326</v>
      </c>
      <c r="B329" s="25">
        <v>44007</v>
      </c>
      <c r="C329" s="10" t="s">
        <v>1578</v>
      </c>
      <c r="D329" s="1">
        <v>44.05</v>
      </c>
      <c r="E329" s="30">
        <v>9000</v>
      </c>
      <c r="F329" s="1">
        <v>41</v>
      </c>
      <c r="G329" s="1">
        <v>1.25</v>
      </c>
      <c r="H329" s="1">
        <v>30</v>
      </c>
      <c r="I329" s="1">
        <v>0.05</v>
      </c>
      <c r="J329" s="1">
        <v>1170000</v>
      </c>
      <c r="K329" s="1">
        <v>9000</v>
      </c>
      <c r="L329" s="1">
        <v>0.05</v>
      </c>
      <c r="M329" s="1">
        <v>0.1</v>
      </c>
      <c r="N329" s="1">
        <v>360000</v>
      </c>
      <c r="O329" s="9"/>
      <c r="P329" s="7">
        <f t="shared" ca="1" si="82"/>
        <v>0.10909090909090909</v>
      </c>
      <c r="Q329" s="7">
        <f t="shared" ca="1" si="74"/>
        <v>5.4545454545454541E-3</v>
      </c>
      <c r="R329" s="33">
        <f t="shared" ca="1" si="83"/>
        <v>10800</v>
      </c>
      <c r="S329" s="33">
        <f t="shared" ca="1" si="84"/>
        <v>-88200</v>
      </c>
      <c r="T329" s="33">
        <f t="shared" ca="1" si="75"/>
        <v>10800</v>
      </c>
      <c r="U329" s="7">
        <f t="shared" ca="1" si="85"/>
        <v>0.12244897959183673</v>
      </c>
      <c r="V329" s="7">
        <f t="shared" ca="1" si="86"/>
        <v>-0.44519227860324101</v>
      </c>
      <c r="W329" s="33">
        <f t="shared" ca="1" si="76"/>
        <v>-88200</v>
      </c>
      <c r="X329" s="7">
        <f t="shared" ca="1" si="77"/>
        <v>-1</v>
      </c>
      <c r="Y329" s="7">
        <f t="shared" ca="1" si="78"/>
        <v>-0.87755102040816324</v>
      </c>
      <c r="Z329" s="7">
        <f t="shared" ca="1" si="87"/>
        <v>-0.13523294810592343</v>
      </c>
      <c r="AA329" s="33">
        <f t="shared" ca="1" si="79"/>
        <v>-15363.10227659337</v>
      </c>
      <c r="AB329" s="7">
        <f t="shared" ca="1" si="80"/>
        <v>-1.4225094700549417</v>
      </c>
      <c r="AC329" s="7">
        <f t="shared" ca="1" si="81"/>
        <v>-0.65003024523155251</v>
      </c>
    </row>
    <row r="330" spans="1:29" x14ac:dyDescent="0.25">
      <c r="A330" s="1">
        <v>327</v>
      </c>
      <c r="B330" s="25">
        <v>44007</v>
      </c>
      <c r="C330" s="10" t="s">
        <v>1578</v>
      </c>
      <c r="D330" s="1">
        <v>44.05</v>
      </c>
      <c r="E330" s="30">
        <v>9000</v>
      </c>
      <c r="F330" s="1">
        <v>41</v>
      </c>
      <c r="G330" s="1">
        <v>1.25</v>
      </c>
      <c r="H330" s="1">
        <v>31</v>
      </c>
      <c r="I330" s="1">
        <v>0.1</v>
      </c>
      <c r="J330" s="1">
        <v>333000</v>
      </c>
      <c r="K330" s="1">
        <v>171000</v>
      </c>
      <c r="L330" s="1">
        <v>0.05</v>
      </c>
      <c r="M330" s="1">
        <v>0.1</v>
      </c>
      <c r="N330" s="1">
        <v>9000</v>
      </c>
      <c r="O330" s="9"/>
      <c r="P330" s="7">
        <f t="shared" ca="1" si="82"/>
        <v>0.11499999999999999</v>
      </c>
      <c r="Q330" s="7">
        <f t="shared" ca="1" si="74"/>
        <v>5.7499999999999999E-3</v>
      </c>
      <c r="R330" s="33">
        <f t="shared" ca="1" si="83"/>
        <v>10350</v>
      </c>
      <c r="S330" s="33">
        <f t="shared" ca="1" si="84"/>
        <v>-79650</v>
      </c>
      <c r="T330" s="33">
        <f t="shared" ca="1" si="75"/>
        <v>10350</v>
      </c>
      <c r="U330" s="7">
        <f t="shared" ca="1" si="85"/>
        <v>0.12994350282485875</v>
      </c>
      <c r="V330" s="7">
        <f t="shared" ca="1" si="86"/>
        <v>-0.44519227860324101</v>
      </c>
      <c r="W330" s="33">
        <f t="shared" ca="1" si="76"/>
        <v>-79650</v>
      </c>
      <c r="X330" s="7">
        <f t="shared" ca="1" si="77"/>
        <v>-1</v>
      </c>
      <c r="Y330" s="7">
        <f t="shared" ca="1" si="78"/>
        <v>-0.87005649717514122</v>
      </c>
      <c r="Z330" s="7">
        <f t="shared" ca="1" si="87"/>
        <v>-0.13523294810592343</v>
      </c>
      <c r="AA330" s="33">
        <f t="shared" ca="1" si="79"/>
        <v>-15813.10227659337</v>
      </c>
      <c r="AB330" s="7">
        <f t="shared" ca="1" si="80"/>
        <v>-1.5278359687529826</v>
      </c>
      <c r="AC330" s="7">
        <f t="shared" ca="1" si="81"/>
        <v>-0.69894623296406189</v>
      </c>
    </row>
    <row r="331" spans="1:29" x14ac:dyDescent="0.25">
      <c r="A331" s="1">
        <v>328</v>
      </c>
      <c r="B331" s="25">
        <v>44007</v>
      </c>
      <c r="C331" s="10" t="s">
        <v>1578</v>
      </c>
      <c r="D331" s="1">
        <v>44.05</v>
      </c>
      <c r="E331" s="30">
        <v>9000</v>
      </c>
      <c r="F331" s="1">
        <v>41</v>
      </c>
      <c r="G331" s="1">
        <v>1.25</v>
      </c>
      <c r="H331" s="1">
        <v>32</v>
      </c>
      <c r="I331" s="1">
        <v>0.1</v>
      </c>
      <c r="J331" s="1">
        <v>468000</v>
      </c>
      <c r="K331" s="1">
        <v>396000</v>
      </c>
      <c r="L331" s="1">
        <v>0.05</v>
      </c>
      <c r="M331" s="1">
        <v>0.1</v>
      </c>
      <c r="N331" s="1">
        <v>63000</v>
      </c>
      <c r="O331" s="9"/>
      <c r="P331" s="7">
        <f t="shared" ca="1" si="82"/>
        <v>0.12777777777777777</v>
      </c>
      <c r="Q331" s="7">
        <f t="shared" ca="1" si="74"/>
        <v>6.3888888888888884E-3</v>
      </c>
      <c r="R331" s="33">
        <f t="shared" ca="1" si="83"/>
        <v>10350</v>
      </c>
      <c r="S331" s="33">
        <f t="shared" ca="1" si="84"/>
        <v>-70650</v>
      </c>
      <c r="T331" s="33">
        <f t="shared" ca="1" si="75"/>
        <v>10350</v>
      </c>
      <c r="U331" s="7">
        <f t="shared" ca="1" si="85"/>
        <v>0.1464968152866242</v>
      </c>
      <c r="V331" s="7">
        <f t="shared" ca="1" si="86"/>
        <v>-0.44519227860324101</v>
      </c>
      <c r="W331" s="33">
        <f t="shared" ca="1" si="76"/>
        <v>-70650</v>
      </c>
      <c r="X331" s="7">
        <f t="shared" ca="1" si="77"/>
        <v>-1</v>
      </c>
      <c r="Y331" s="7">
        <f t="shared" ca="1" si="78"/>
        <v>-0.85350318471337583</v>
      </c>
      <c r="Z331" s="7">
        <f t="shared" ca="1" si="87"/>
        <v>-0.13523294810592343</v>
      </c>
      <c r="AA331" s="33">
        <f t="shared" ca="1" si="79"/>
        <v>-15813.10227659337</v>
      </c>
      <c r="AB331" s="7">
        <f t="shared" ca="1" si="80"/>
        <v>-1.5278359687529826</v>
      </c>
      <c r="AC331" s="7">
        <f t="shared" ca="1" si="81"/>
        <v>-0.69066957673317919</v>
      </c>
    </row>
    <row r="332" spans="1:29" x14ac:dyDescent="0.25">
      <c r="A332" s="1">
        <v>329</v>
      </c>
      <c r="B332" s="25">
        <v>44007</v>
      </c>
      <c r="C332" s="10" t="s">
        <v>1578</v>
      </c>
      <c r="D332" s="1">
        <v>44.05</v>
      </c>
      <c r="E332" s="30">
        <v>9000</v>
      </c>
      <c r="F332" s="1">
        <v>41</v>
      </c>
      <c r="G332" s="1">
        <v>1.25</v>
      </c>
      <c r="H332" s="1">
        <v>33</v>
      </c>
      <c r="I332" s="1">
        <v>0.15</v>
      </c>
      <c r="J332" s="1">
        <v>261000</v>
      </c>
      <c r="K332" s="1">
        <v>9000</v>
      </c>
      <c r="L332" s="1">
        <v>0.1</v>
      </c>
      <c r="M332" s="1">
        <v>0.15</v>
      </c>
      <c r="N332" s="1">
        <v>45000</v>
      </c>
      <c r="O332" s="9"/>
      <c r="P332" s="7">
        <f t="shared" ca="1" si="82"/>
        <v>0.13750000000000001</v>
      </c>
      <c r="Q332" s="7">
        <f t="shared" ca="1" si="74"/>
        <v>6.8750000000000009E-3</v>
      </c>
      <c r="R332" s="33">
        <f t="shared" ca="1" si="83"/>
        <v>9900</v>
      </c>
      <c r="S332" s="33">
        <f t="shared" ca="1" si="84"/>
        <v>-62100</v>
      </c>
      <c r="T332" s="33">
        <f t="shared" ca="1" si="75"/>
        <v>9900</v>
      </c>
      <c r="U332" s="7">
        <f t="shared" ca="1" si="85"/>
        <v>0.15942028985507245</v>
      </c>
      <c r="V332" s="7">
        <f t="shared" ca="1" si="86"/>
        <v>-0.44519227860324101</v>
      </c>
      <c r="W332" s="33">
        <f t="shared" ca="1" si="76"/>
        <v>-62100</v>
      </c>
      <c r="X332" s="7">
        <f t="shared" ca="1" si="77"/>
        <v>-1</v>
      </c>
      <c r="Y332" s="7">
        <f t="shared" ca="1" si="78"/>
        <v>-0.84057971014492749</v>
      </c>
      <c r="Z332" s="7">
        <f t="shared" ca="1" si="87"/>
        <v>-0.13523294810592343</v>
      </c>
      <c r="AA332" s="33">
        <f t="shared" ca="1" si="79"/>
        <v>-16263.10227659337</v>
      </c>
      <c r="AB332" s="7">
        <f t="shared" ca="1" si="80"/>
        <v>-1.6427376036963</v>
      </c>
      <c r="AC332" s="7">
        <f t="shared" ca="1" si="81"/>
        <v>-0.74165865692061372</v>
      </c>
    </row>
    <row r="333" spans="1:29" x14ac:dyDescent="0.25">
      <c r="A333" s="1">
        <v>330</v>
      </c>
      <c r="B333" s="25">
        <v>44007</v>
      </c>
      <c r="C333" s="10" t="s">
        <v>1578</v>
      </c>
      <c r="D333" s="1">
        <v>44.05</v>
      </c>
      <c r="E333" s="30">
        <v>9000</v>
      </c>
      <c r="F333" s="1">
        <v>41</v>
      </c>
      <c r="G333" s="1">
        <v>1.25</v>
      </c>
      <c r="H333" s="1">
        <v>34</v>
      </c>
      <c r="I333" s="1">
        <v>0.2</v>
      </c>
      <c r="J333" s="1">
        <v>342000</v>
      </c>
      <c r="K333" s="1">
        <v>63000</v>
      </c>
      <c r="L333" s="1">
        <v>0.15</v>
      </c>
      <c r="M333" s="1">
        <v>0.2</v>
      </c>
      <c r="N333" s="1">
        <v>18000</v>
      </c>
      <c r="O333" s="9"/>
      <c r="P333" s="7">
        <f t="shared" ca="1" si="82"/>
        <v>0.15</v>
      </c>
      <c r="Q333" s="7">
        <f t="shared" ca="1" si="74"/>
        <v>7.4999999999999997E-3</v>
      </c>
      <c r="R333" s="33">
        <f t="shared" ca="1" si="83"/>
        <v>9450</v>
      </c>
      <c r="S333" s="33">
        <f t="shared" ca="1" si="84"/>
        <v>-53550</v>
      </c>
      <c r="T333" s="33">
        <f t="shared" ca="1" si="75"/>
        <v>9450</v>
      </c>
      <c r="U333" s="7">
        <f t="shared" ca="1" si="85"/>
        <v>0.17647058823529413</v>
      </c>
      <c r="V333" s="7">
        <f t="shared" ca="1" si="86"/>
        <v>-0.44519227860324101</v>
      </c>
      <c r="W333" s="33">
        <f t="shared" ca="1" si="76"/>
        <v>-53550</v>
      </c>
      <c r="X333" s="7">
        <f t="shared" ca="1" si="77"/>
        <v>-1</v>
      </c>
      <c r="Y333" s="7">
        <f t="shared" ca="1" si="78"/>
        <v>-0.82352941176470584</v>
      </c>
      <c r="Z333" s="7">
        <f t="shared" ca="1" si="87"/>
        <v>-0.13523294810592343</v>
      </c>
      <c r="AA333" s="33">
        <f t="shared" ca="1" si="79"/>
        <v>-16713.10227659337</v>
      </c>
      <c r="AB333" s="7">
        <f t="shared" ca="1" si="80"/>
        <v>-1.7685822514913618</v>
      </c>
      <c r="AC333" s="7">
        <f t="shared" ca="1" si="81"/>
        <v>-0.79605583162803384</v>
      </c>
    </row>
    <row r="334" spans="1:29" x14ac:dyDescent="0.25">
      <c r="A334" s="1">
        <v>331</v>
      </c>
      <c r="B334" s="25">
        <v>44007</v>
      </c>
      <c r="C334" s="10" t="s">
        <v>1578</v>
      </c>
      <c r="D334" s="1">
        <v>44.05</v>
      </c>
      <c r="E334" s="30">
        <v>9000</v>
      </c>
      <c r="F334" s="1">
        <v>41</v>
      </c>
      <c r="G334" s="1">
        <v>1.25</v>
      </c>
      <c r="H334" s="1">
        <v>35</v>
      </c>
      <c r="I334" s="1">
        <v>0.25</v>
      </c>
      <c r="J334" s="1">
        <v>1035000</v>
      </c>
      <c r="K334" s="1">
        <v>207000</v>
      </c>
      <c r="L334" s="1">
        <v>0.2</v>
      </c>
      <c r="M334" s="1">
        <v>0.25</v>
      </c>
      <c r="N334" s="1">
        <v>9000</v>
      </c>
      <c r="O334" s="9"/>
      <c r="P334" s="7">
        <f t="shared" ca="1" si="82"/>
        <v>0.16666666666666666</v>
      </c>
      <c r="Q334" s="7">
        <f t="shared" ca="1" si="74"/>
        <v>8.3333333333333332E-3</v>
      </c>
      <c r="R334" s="33">
        <f t="shared" ca="1" si="83"/>
        <v>9000</v>
      </c>
      <c r="S334" s="33">
        <f t="shared" ca="1" si="84"/>
        <v>-45000</v>
      </c>
      <c r="T334" s="33">
        <f t="shared" ca="1" si="75"/>
        <v>9000</v>
      </c>
      <c r="U334" s="7">
        <f t="shared" ca="1" si="85"/>
        <v>0.2</v>
      </c>
      <c r="V334" s="7">
        <f t="shared" ca="1" si="86"/>
        <v>-0.44519227860324101</v>
      </c>
      <c r="W334" s="33">
        <f t="shared" ca="1" si="76"/>
        <v>-45000</v>
      </c>
      <c r="X334" s="7">
        <f t="shared" ca="1" si="77"/>
        <v>-1</v>
      </c>
      <c r="Y334" s="7">
        <f t="shared" ca="1" si="78"/>
        <v>-0.8</v>
      </c>
      <c r="Z334" s="7">
        <f t="shared" ca="1" si="87"/>
        <v>-0.13523294810592343</v>
      </c>
      <c r="AA334" s="33">
        <f t="shared" ca="1" si="79"/>
        <v>-17163.10227659337</v>
      </c>
      <c r="AB334" s="7">
        <f t="shared" ca="1" si="80"/>
        <v>-1.9070113640659301</v>
      </c>
      <c r="AC334" s="7">
        <f t="shared" ca="1" si="81"/>
        <v>-0.85350568203296506</v>
      </c>
    </row>
    <row r="335" spans="1:29" x14ac:dyDescent="0.25">
      <c r="A335" s="1">
        <v>332</v>
      </c>
      <c r="B335" s="25">
        <v>44007</v>
      </c>
      <c r="C335" s="10" t="s">
        <v>1578</v>
      </c>
      <c r="D335" s="1">
        <v>44.05</v>
      </c>
      <c r="E335" s="30">
        <v>9000</v>
      </c>
      <c r="F335" s="1">
        <v>41</v>
      </c>
      <c r="G335" s="1">
        <v>1.25</v>
      </c>
      <c r="H335" s="1">
        <v>36</v>
      </c>
      <c r="I335" s="1">
        <v>0.3</v>
      </c>
      <c r="J335" s="1">
        <v>720000</v>
      </c>
      <c r="K335" s="1">
        <v>54000</v>
      </c>
      <c r="L335" s="1">
        <v>0.25</v>
      </c>
      <c r="M335" s="1">
        <v>0.35</v>
      </c>
      <c r="N335" s="1">
        <v>27000</v>
      </c>
      <c r="O335" s="9"/>
      <c r="P335" s="7">
        <f t="shared" ca="1" si="82"/>
        <v>0.19</v>
      </c>
      <c r="Q335" s="7">
        <f t="shared" ca="1" si="74"/>
        <v>9.4999999999999998E-3</v>
      </c>
      <c r="R335" s="33">
        <f t="shared" ca="1" si="83"/>
        <v>8550</v>
      </c>
      <c r="S335" s="33">
        <f t="shared" ca="1" si="84"/>
        <v>-36450</v>
      </c>
      <c r="T335" s="33">
        <f t="shared" ca="1" si="75"/>
        <v>8550</v>
      </c>
      <c r="U335" s="7">
        <f t="shared" ca="1" si="85"/>
        <v>0.23456790123456789</v>
      </c>
      <c r="V335" s="7">
        <f t="shared" ca="1" si="86"/>
        <v>-0.44519227860324101</v>
      </c>
      <c r="W335" s="33">
        <f t="shared" ca="1" si="76"/>
        <v>-36450</v>
      </c>
      <c r="X335" s="7">
        <f t="shared" ca="1" si="77"/>
        <v>-1</v>
      </c>
      <c r="Y335" s="7">
        <f t="shared" ca="1" si="78"/>
        <v>-0.76543209876543217</v>
      </c>
      <c r="Z335" s="7">
        <f t="shared" ca="1" si="87"/>
        <v>-0.13523294810592343</v>
      </c>
      <c r="AA335" s="33">
        <f t="shared" ca="1" si="79"/>
        <v>-17613.10227659337</v>
      </c>
      <c r="AB335" s="7">
        <f t="shared" ca="1" si="80"/>
        <v>-2.0600119621746633</v>
      </c>
      <c r="AC335" s="7">
        <f t="shared" ca="1" si="81"/>
        <v>-0.91272203047004774</v>
      </c>
    </row>
    <row r="336" spans="1:29" x14ac:dyDescent="0.25">
      <c r="A336" s="1">
        <v>333</v>
      </c>
      <c r="B336" s="25">
        <v>44007</v>
      </c>
      <c r="C336" s="10" t="s">
        <v>1578</v>
      </c>
      <c r="D336" s="1">
        <v>44.05</v>
      </c>
      <c r="E336" s="30">
        <v>9000</v>
      </c>
      <c r="F336" s="1">
        <v>41</v>
      </c>
      <c r="G336" s="1">
        <v>1.25</v>
      </c>
      <c r="H336" s="1">
        <v>37</v>
      </c>
      <c r="I336" s="1">
        <v>0.45</v>
      </c>
      <c r="J336" s="1">
        <v>414000</v>
      </c>
      <c r="K336" s="1">
        <v>54000</v>
      </c>
      <c r="L336" s="1">
        <v>0.35</v>
      </c>
      <c r="M336" s="1">
        <v>0.5</v>
      </c>
      <c r="N336" s="1">
        <v>9000</v>
      </c>
      <c r="O336" s="9"/>
      <c r="P336" s="7">
        <f t="shared" ca="1" si="82"/>
        <v>0.2</v>
      </c>
      <c r="Q336" s="7">
        <f t="shared" ca="1" si="74"/>
        <v>0.01</v>
      </c>
      <c r="R336" s="33">
        <f t="shared" ca="1" si="83"/>
        <v>7200</v>
      </c>
      <c r="S336" s="33">
        <f t="shared" ca="1" si="84"/>
        <v>-28800</v>
      </c>
      <c r="T336" s="33">
        <f t="shared" ca="1" si="75"/>
        <v>7200</v>
      </c>
      <c r="U336" s="7">
        <f t="shared" ca="1" si="85"/>
        <v>0.25</v>
      </c>
      <c r="V336" s="7">
        <f t="shared" ca="1" si="86"/>
        <v>-0.44519227860324101</v>
      </c>
      <c r="W336" s="33">
        <f t="shared" ca="1" si="76"/>
        <v>-28800</v>
      </c>
      <c r="X336" s="7">
        <f t="shared" ca="1" si="77"/>
        <v>-1</v>
      </c>
      <c r="Y336" s="7">
        <f t="shared" ca="1" si="78"/>
        <v>-0.75</v>
      </c>
      <c r="Z336" s="7">
        <f t="shared" ca="1" si="87"/>
        <v>-0.13523294810592343</v>
      </c>
      <c r="AA336" s="33">
        <f t="shared" ca="1" si="79"/>
        <v>-18963.10227659337</v>
      </c>
      <c r="AB336" s="7">
        <f t="shared" ca="1" si="80"/>
        <v>-2.6337642050824126</v>
      </c>
      <c r="AC336" s="7">
        <f t="shared" ca="1" si="81"/>
        <v>-1.1918821025412063</v>
      </c>
    </row>
    <row r="337" spans="1:29" x14ac:dyDescent="0.25">
      <c r="A337" s="1">
        <v>334</v>
      </c>
      <c r="B337" s="25">
        <v>44007</v>
      </c>
      <c r="C337" s="10" t="s">
        <v>1578</v>
      </c>
      <c r="D337" s="1">
        <v>44.05</v>
      </c>
      <c r="E337" s="30">
        <v>9000</v>
      </c>
      <c r="F337" s="1">
        <v>41</v>
      </c>
      <c r="G337" s="1">
        <v>1.25</v>
      </c>
      <c r="H337" s="1">
        <v>38</v>
      </c>
      <c r="I337" s="1">
        <v>0.55000000000000004</v>
      </c>
      <c r="J337" s="1">
        <v>774000</v>
      </c>
      <c r="K337" s="1">
        <v>36000</v>
      </c>
      <c r="L337" s="1">
        <v>0.5</v>
      </c>
      <c r="M337" s="1">
        <v>0.55000000000000004</v>
      </c>
      <c r="N337" s="1">
        <v>36000</v>
      </c>
      <c r="O337" s="9"/>
      <c r="P337" s="7">
        <f t="shared" ca="1" si="82"/>
        <v>0.23333333333333331</v>
      </c>
      <c r="Q337" s="7">
        <f t="shared" ca="1" si="74"/>
        <v>1.1666666666666665E-2</v>
      </c>
      <c r="R337" s="33">
        <f t="shared" ca="1" si="83"/>
        <v>6300</v>
      </c>
      <c r="S337" s="33">
        <f t="shared" ca="1" si="84"/>
        <v>-20700</v>
      </c>
      <c r="T337" s="33">
        <f t="shared" ca="1" si="75"/>
        <v>6300</v>
      </c>
      <c r="U337" s="7">
        <f t="shared" ca="1" si="85"/>
        <v>0.30434782608695654</v>
      </c>
      <c r="V337" s="7">
        <f t="shared" ca="1" si="86"/>
        <v>-0.44519227860324101</v>
      </c>
      <c r="W337" s="33">
        <f t="shared" ca="1" si="76"/>
        <v>-20700</v>
      </c>
      <c r="X337" s="7">
        <f t="shared" ca="1" si="77"/>
        <v>-1</v>
      </c>
      <c r="Y337" s="7">
        <f t="shared" ca="1" si="78"/>
        <v>-0.69565217391304346</v>
      </c>
      <c r="Z337" s="7">
        <f t="shared" ca="1" si="87"/>
        <v>-0.13523294810592343</v>
      </c>
      <c r="AA337" s="33">
        <f t="shared" ca="1" si="79"/>
        <v>-19863.10227659337</v>
      </c>
      <c r="AB337" s="7">
        <f t="shared" ca="1" si="80"/>
        <v>-3.152873377237043</v>
      </c>
      <c r="AC337" s="7">
        <f t="shared" ca="1" si="81"/>
        <v>-1.4242627755750432</v>
      </c>
    </row>
    <row r="338" spans="1:29" x14ac:dyDescent="0.25">
      <c r="A338" s="1">
        <v>335</v>
      </c>
      <c r="B338" s="25">
        <v>44007</v>
      </c>
      <c r="C338" s="10" t="s">
        <v>1578</v>
      </c>
      <c r="D338" s="1">
        <v>44.05</v>
      </c>
      <c r="E338" s="30">
        <v>9000</v>
      </c>
      <c r="F338" s="1">
        <v>41</v>
      </c>
      <c r="G338" s="1">
        <v>1.25</v>
      </c>
      <c r="H338" s="1">
        <v>39</v>
      </c>
      <c r="I338" s="1">
        <v>0.8</v>
      </c>
      <c r="J338" s="1">
        <v>414000</v>
      </c>
      <c r="K338" s="1">
        <v>54000</v>
      </c>
      <c r="L338" s="1">
        <v>0.7</v>
      </c>
      <c r="M338" s="1">
        <v>0.8</v>
      </c>
      <c r="N338" s="1">
        <v>54000</v>
      </c>
      <c r="O338" s="9"/>
      <c r="P338" s="7">
        <f t="shared" ca="1" si="82"/>
        <v>0.22499999999999998</v>
      </c>
      <c r="Q338" s="7">
        <f t="shared" ca="1" si="74"/>
        <v>1.125E-2</v>
      </c>
      <c r="R338" s="33">
        <f t="shared" ca="1" si="83"/>
        <v>4049.9999999999995</v>
      </c>
      <c r="S338" s="33">
        <f t="shared" ca="1" si="84"/>
        <v>-13950</v>
      </c>
      <c r="T338" s="33">
        <f t="shared" ca="1" si="75"/>
        <v>4049.9999999999995</v>
      </c>
      <c r="U338" s="7">
        <f t="shared" ca="1" si="85"/>
        <v>0.29032258064516125</v>
      </c>
      <c r="V338" s="7">
        <f t="shared" ca="1" si="86"/>
        <v>-0.44519227860324101</v>
      </c>
      <c r="W338" s="33">
        <f t="shared" ca="1" si="76"/>
        <v>-13950</v>
      </c>
      <c r="X338" s="7">
        <f t="shared" ca="1" si="77"/>
        <v>-1</v>
      </c>
      <c r="Y338" s="7">
        <f t="shared" ca="1" si="78"/>
        <v>-0.70967741935483875</v>
      </c>
      <c r="Z338" s="7">
        <f t="shared" ca="1" si="87"/>
        <v>-0.13523294810592343</v>
      </c>
      <c r="AA338" s="33">
        <f t="shared" ca="1" si="79"/>
        <v>-13950</v>
      </c>
      <c r="AB338" s="7">
        <f t="shared" ca="1" si="80"/>
        <v>-3.4444444444444446</v>
      </c>
      <c r="AC338" s="7">
        <f t="shared" ca="1" si="81"/>
        <v>-1.5770609318996418</v>
      </c>
    </row>
    <row r="339" spans="1:29" x14ac:dyDescent="0.25">
      <c r="A339" s="1">
        <v>336</v>
      </c>
      <c r="B339" s="25">
        <v>44007</v>
      </c>
      <c r="C339" s="10" t="s">
        <v>1578</v>
      </c>
      <c r="D339" s="1">
        <v>44.05</v>
      </c>
      <c r="E339" s="30">
        <v>9000</v>
      </c>
      <c r="F339" s="1">
        <v>41</v>
      </c>
      <c r="G339" s="1">
        <v>1.25</v>
      </c>
      <c r="H339" s="1">
        <v>40</v>
      </c>
      <c r="I339" s="1">
        <v>1</v>
      </c>
      <c r="J339" s="1">
        <v>2880000</v>
      </c>
      <c r="K339" s="1">
        <v>27000</v>
      </c>
      <c r="L339" s="1">
        <v>0.95</v>
      </c>
      <c r="M339" s="1">
        <v>1</v>
      </c>
      <c r="N339" s="1">
        <v>18000</v>
      </c>
      <c r="O339" s="9"/>
      <c r="P339" s="7">
        <f t="shared" ca="1" si="82"/>
        <v>0.25</v>
      </c>
      <c r="Q339" s="7">
        <f t="shared" ca="1" si="74"/>
        <v>1.2500000000000001E-2</v>
      </c>
      <c r="R339" s="33">
        <f t="shared" ca="1" si="83"/>
        <v>2250</v>
      </c>
      <c r="S339" s="33">
        <f t="shared" ca="1" si="84"/>
        <v>-6750</v>
      </c>
      <c r="T339" s="33">
        <f t="shared" ca="1" si="75"/>
        <v>2250</v>
      </c>
      <c r="U339" s="7">
        <f t="shared" ca="1" si="85"/>
        <v>0.33333333333333331</v>
      </c>
      <c r="V339" s="7">
        <f t="shared" ca="1" si="86"/>
        <v>-0.44519227860324101</v>
      </c>
      <c r="W339" s="33">
        <f t="shared" ca="1" si="76"/>
        <v>-6750</v>
      </c>
      <c r="X339" s="7">
        <f t="shared" ca="1" si="77"/>
        <v>-1</v>
      </c>
      <c r="Y339" s="7">
        <f t="shared" ca="1" si="78"/>
        <v>-0.66666666666666674</v>
      </c>
      <c r="Z339" s="7">
        <f t="shared" ca="1" si="87"/>
        <v>-0.13523294810592343</v>
      </c>
      <c r="AA339" s="33">
        <f t="shared" ca="1" si="79"/>
        <v>-6750</v>
      </c>
      <c r="AB339" s="7">
        <f t="shared" ca="1" si="80"/>
        <v>-3</v>
      </c>
      <c r="AC339" s="7">
        <f t="shared" ca="1" si="81"/>
        <v>-1.3333333333333333</v>
      </c>
    </row>
    <row r="340" spans="1:29" x14ac:dyDescent="0.25">
      <c r="A340" s="1">
        <v>337</v>
      </c>
      <c r="B340" s="25">
        <v>44007</v>
      </c>
      <c r="C340" s="10" t="s">
        <v>1123</v>
      </c>
      <c r="D340" s="1">
        <v>98.15</v>
      </c>
      <c r="E340" s="30">
        <v>4800</v>
      </c>
      <c r="F340" s="1">
        <v>90</v>
      </c>
      <c r="G340" s="1">
        <v>1.1499999999999999</v>
      </c>
      <c r="H340" s="1">
        <v>85</v>
      </c>
      <c r="I340" s="1">
        <v>0.4</v>
      </c>
      <c r="J340" s="1">
        <v>460800</v>
      </c>
      <c r="K340" s="1">
        <v>72000</v>
      </c>
      <c r="L340" s="1">
        <v>0.35</v>
      </c>
      <c r="M340" s="1">
        <v>0.45</v>
      </c>
      <c r="N340" s="1">
        <v>9600</v>
      </c>
      <c r="O340" s="9"/>
      <c r="P340" s="7">
        <f t="shared" ca="1" si="82"/>
        <v>0.14999999999999997</v>
      </c>
      <c r="Q340" s="7">
        <f t="shared" ca="1" si="74"/>
        <v>7.499999999999998E-3</v>
      </c>
      <c r="R340" s="33">
        <f t="shared" ca="1" si="83"/>
        <v>3599.9999999999995</v>
      </c>
      <c r="S340" s="33">
        <f t="shared" ca="1" si="84"/>
        <v>-20400</v>
      </c>
      <c r="T340" s="33">
        <f t="shared" ca="1" si="75"/>
        <v>3599.9999999999995</v>
      </c>
      <c r="U340" s="7">
        <f t="shared" ca="1" si="85"/>
        <v>0.1764705882352941</v>
      </c>
      <c r="V340" s="7">
        <f t="shared" ca="1" si="86"/>
        <v>-0.38296250407446114</v>
      </c>
      <c r="W340" s="33">
        <f t="shared" ca="1" si="76"/>
        <v>-20400</v>
      </c>
      <c r="X340" s="7">
        <f t="shared" ca="1" si="77"/>
        <v>-1</v>
      </c>
      <c r="Y340" s="7">
        <f t="shared" ca="1" si="78"/>
        <v>-0.82352941176470584</v>
      </c>
      <c r="Z340" s="7">
        <f t="shared" ca="1" si="87"/>
        <v>-7.6383492399922204E-2</v>
      </c>
      <c r="AA340" s="33">
        <f t="shared" ca="1" si="79"/>
        <v>3599.9999999999995</v>
      </c>
      <c r="AB340" s="7">
        <f t="shared" ca="1" si="80"/>
        <v>1</v>
      </c>
      <c r="AC340" s="7">
        <f t="shared" ca="1" si="81"/>
        <v>0.58823529411764708</v>
      </c>
    </row>
    <row r="341" spans="1:29" x14ac:dyDescent="0.25">
      <c r="A341" s="1">
        <v>338</v>
      </c>
      <c r="B341" s="25">
        <v>44007</v>
      </c>
      <c r="C341" s="10" t="s">
        <v>1123</v>
      </c>
      <c r="D341" s="1">
        <v>98.15</v>
      </c>
      <c r="E341" s="30">
        <v>4800</v>
      </c>
      <c r="F341" s="1">
        <v>90</v>
      </c>
      <c r="G341" s="1">
        <v>1.1499999999999999</v>
      </c>
      <c r="H341" s="1">
        <v>87.5</v>
      </c>
      <c r="I341" s="1">
        <v>0.65</v>
      </c>
      <c r="J341" s="1">
        <v>139200</v>
      </c>
      <c r="K341" s="1">
        <v>4800</v>
      </c>
      <c r="L341" s="1">
        <v>0.55000000000000004</v>
      </c>
      <c r="M341" s="1">
        <v>0.9</v>
      </c>
      <c r="N341" s="1">
        <v>4800</v>
      </c>
      <c r="O341" s="9"/>
      <c r="P341" s="7">
        <f t="shared" ca="1" si="82"/>
        <v>0.19999999999999996</v>
      </c>
      <c r="Q341" s="7">
        <f t="shared" ref="Q341:Q404" ca="1" si="88">P341/($B341-TODAY())</f>
        <v>9.9999999999999985E-3</v>
      </c>
      <c r="R341" s="33">
        <f t="shared" ca="1" si="83"/>
        <v>2399.9999999999995</v>
      </c>
      <c r="S341" s="33">
        <f t="shared" ca="1" si="84"/>
        <v>-9600</v>
      </c>
      <c r="T341" s="33">
        <f t="shared" ref="T341:T404" ca="1" si="89">R341</f>
        <v>2399.9999999999995</v>
      </c>
      <c r="U341" s="7">
        <f t="shared" ca="1" si="85"/>
        <v>0.24999999999999994</v>
      </c>
      <c r="V341" s="7">
        <f t="shared" ca="1" si="86"/>
        <v>-0.38296250407446114</v>
      </c>
      <c r="W341" s="33">
        <f t="shared" ref="W341:W404" ca="1" si="90">-(MAX(($F341-MAX($D341*(1+V341),$H341)),0)*$E341-$R341)</f>
        <v>-9600</v>
      </c>
      <c r="X341" s="7">
        <f t="shared" ref="X341:X404" ca="1" si="91">W341/ABS($S341)</f>
        <v>-1</v>
      </c>
      <c r="Y341" s="7">
        <f t="shared" ref="Y341:Y404" ca="1" si="92">$U341+X341</f>
        <v>-0.75</v>
      </c>
      <c r="Z341" s="7">
        <f t="shared" ca="1" si="87"/>
        <v>-7.6383492399922204E-2</v>
      </c>
      <c r="AA341" s="33">
        <f t="shared" ref="AA341:AA404" ca="1" si="93">-(MAX(($F341-MAX($D341*(1+Z341),$H341)),0)*$E341-$R341)</f>
        <v>2399.9999999999995</v>
      </c>
      <c r="AB341" s="7">
        <f t="shared" ref="AB341:AB404" ca="1" si="94">AA341/$R341</f>
        <v>1</v>
      </c>
      <c r="AC341" s="7">
        <f t="shared" ref="AC341:AC404" ca="1" si="95">AVERAGE($U341,AB341)</f>
        <v>0.625</v>
      </c>
    </row>
    <row r="342" spans="1:29" x14ac:dyDescent="0.25">
      <c r="A342" s="1">
        <v>339</v>
      </c>
      <c r="B342" s="25">
        <v>44007</v>
      </c>
      <c r="C342" s="10" t="s">
        <v>1016</v>
      </c>
      <c r="D342" s="1">
        <v>924.6</v>
      </c>
      <c r="E342" s="30">
        <v>800</v>
      </c>
      <c r="F342" s="1">
        <v>840</v>
      </c>
      <c r="G342" s="1">
        <v>15.25</v>
      </c>
      <c r="H342" s="1">
        <v>800</v>
      </c>
      <c r="I342" s="1">
        <v>9.35</v>
      </c>
      <c r="J342" s="1">
        <v>36000</v>
      </c>
      <c r="K342" s="1">
        <v>3200</v>
      </c>
      <c r="L342" s="1">
        <v>8.3000000000000007</v>
      </c>
      <c r="M342" s="1">
        <v>9.6999999999999993</v>
      </c>
      <c r="N342" s="1">
        <v>2400</v>
      </c>
      <c r="O342" s="9"/>
      <c r="P342" s="7">
        <f t="shared" ca="1" si="82"/>
        <v>0.14750000000000002</v>
      </c>
      <c r="Q342" s="7">
        <f t="shared" ca="1" si="88"/>
        <v>7.3750000000000013E-3</v>
      </c>
      <c r="R342" s="33">
        <f t="shared" ca="1" si="83"/>
        <v>4720</v>
      </c>
      <c r="S342" s="33">
        <f t="shared" ca="1" si="84"/>
        <v>-27280</v>
      </c>
      <c r="T342" s="33">
        <f t="shared" ca="1" si="89"/>
        <v>4720</v>
      </c>
      <c r="U342" s="7">
        <f t="shared" ca="1" si="85"/>
        <v>0.17302052785923755</v>
      </c>
      <c r="V342" s="7">
        <f t="shared" ca="1" si="86"/>
        <v>-0.37823532715993546</v>
      </c>
      <c r="W342" s="33">
        <f t="shared" ca="1" si="90"/>
        <v>-27280</v>
      </c>
      <c r="X342" s="7">
        <f t="shared" ca="1" si="91"/>
        <v>-1</v>
      </c>
      <c r="Y342" s="7">
        <f t="shared" ca="1" si="92"/>
        <v>-0.82697947214076239</v>
      </c>
      <c r="Z342" s="7">
        <f t="shared" ca="1" si="87"/>
        <v>-0.1151732323771421</v>
      </c>
      <c r="AA342" s="33">
        <f t="shared" ca="1" si="93"/>
        <v>-12791.336524724447</v>
      </c>
      <c r="AB342" s="7">
        <f t="shared" ca="1" si="94"/>
        <v>-2.7100289247297558</v>
      </c>
      <c r="AC342" s="7">
        <f t="shared" ca="1" si="95"/>
        <v>-1.2685041984352592</v>
      </c>
    </row>
    <row r="343" spans="1:29" x14ac:dyDescent="0.25">
      <c r="A343" s="1">
        <v>340</v>
      </c>
      <c r="B343" s="25">
        <v>44007</v>
      </c>
      <c r="C343" s="10" t="s">
        <v>233</v>
      </c>
      <c r="D343" s="1">
        <v>348.25</v>
      </c>
      <c r="E343" s="30">
        <v>1300</v>
      </c>
      <c r="F343" s="1">
        <v>325</v>
      </c>
      <c r="G343" s="1">
        <v>9.65</v>
      </c>
      <c r="H343" s="1">
        <v>260</v>
      </c>
      <c r="I343" s="1">
        <v>1</v>
      </c>
      <c r="J343" s="1">
        <v>20800</v>
      </c>
      <c r="K343" s="1">
        <v>1300</v>
      </c>
      <c r="L343" s="1">
        <v>0.25</v>
      </c>
      <c r="M343" s="1">
        <v>1.2</v>
      </c>
      <c r="N343" s="1">
        <v>3900</v>
      </c>
      <c r="O343" s="9"/>
      <c r="P343" s="7">
        <f t="shared" ca="1" si="82"/>
        <v>0.13307692307692309</v>
      </c>
      <c r="Q343" s="7">
        <f t="shared" ca="1" si="88"/>
        <v>6.6538461538461543E-3</v>
      </c>
      <c r="R343" s="33">
        <f t="shared" ca="1" si="83"/>
        <v>11245</v>
      </c>
      <c r="S343" s="33">
        <f t="shared" ca="1" si="84"/>
        <v>-73255</v>
      </c>
      <c r="T343" s="33">
        <f t="shared" ca="1" si="89"/>
        <v>11245</v>
      </c>
      <c r="U343" s="7">
        <f t="shared" ca="1" si="85"/>
        <v>0.15350488021295475</v>
      </c>
      <c r="V343" s="7">
        <f t="shared" ca="1" si="86"/>
        <v>-0.70345129709253984</v>
      </c>
      <c r="W343" s="33">
        <f t="shared" ca="1" si="90"/>
        <v>-73255</v>
      </c>
      <c r="X343" s="7">
        <f t="shared" ca="1" si="91"/>
        <v>-1</v>
      </c>
      <c r="Y343" s="7">
        <f t="shared" ca="1" si="92"/>
        <v>-0.84649511978704528</v>
      </c>
      <c r="Z343" s="7">
        <f t="shared" ca="1" si="87"/>
        <v>-0.15318258843541696</v>
      </c>
      <c r="AA343" s="33">
        <f t="shared" ca="1" si="93"/>
        <v>-27879.587349424153</v>
      </c>
      <c r="AB343" s="7">
        <f t="shared" ca="1" si="94"/>
        <v>-2.4792874477033484</v>
      </c>
      <c r="AC343" s="7">
        <f t="shared" ca="1" si="95"/>
        <v>-1.1628912837451968</v>
      </c>
    </row>
    <row r="344" spans="1:29" x14ac:dyDescent="0.25">
      <c r="A344" s="1">
        <v>341</v>
      </c>
      <c r="B344" s="25">
        <v>44007</v>
      </c>
      <c r="C344" s="10" t="s">
        <v>233</v>
      </c>
      <c r="D344" s="1">
        <v>348.25</v>
      </c>
      <c r="E344" s="30">
        <v>1300</v>
      </c>
      <c r="F344" s="1">
        <v>325</v>
      </c>
      <c r="G344" s="1">
        <v>9.65</v>
      </c>
      <c r="H344" s="1">
        <v>280</v>
      </c>
      <c r="I344" s="1">
        <v>0.7</v>
      </c>
      <c r="J344" s="1">
        <v>42900</v>
      </c>
      <c r="K344" s="1">
        <v>1300</v>
      </c>
      <c r="L344" s="1">
        <v>1.2</v>
      </c>
      <c r="M344" s="1">
        <v>2.65</v>
      </c>
      <c r="N344" s="1">
        <v>22100</v>
      </c>
      <c r="O344" s="9"/>
      <c r="P344" s="7">
        <f t="shared" ca="1" si="82"/>
        <v>0.19888888888888892</v>
      </c>
      <c r="Q344" s="7">
        <f t="shared" ca="1" si="88"/>
        <v>9.9444444444444467E-3</v>
      </c>
      <c r="R344" s="33">
        <f t="shared" ca="1" si="83"/>
        <v>11635.000000000002</v>
      </c>
      <c r="S344" s="33">
        <f t="shared" ca="1" si="84"/>
        <v>-46865</v>
      </c>
      <c r="T344" s="33">
        <f t="shared" ca="1" si="89"/>
        <v>11635.000000000002</v>
      </c>
      <c r="U344" s="7">
        <f t="shared" ca="1" si="85"/>
        <v>0.24826629680998616</v>
      </c>
      <c r="V344" s="7">
        <f t="shared" ca="1" si="86"/>
        <v>-0.70345129709253984</v>
      </c>
      <c r="W344" s="33">
        <f t="shared" ca="1" si="90"/>
        <v>-46865</v>
      </c>
      <c r="X344" s="7">
        <f t="shared" ca="1" si="91"/>
        <v>-1</v>
      </c>
      <c r="Y344" s="7">
        <f t="shared" ca="1" si="92"/>
        <v>-0.75173370319001387</v>
      </c>
      <c r="Z344" s="7">
        <f t="shared" ca="1" si="87"/>
        <v>-0.15318258843541696</v>
      </c>
      <c r="AA344" s="33">
        <f t="shared" ca="1" si="93"/>
        <v>-27489.587349424153</v>
      </c>
      <c r="AB344" s="7">
        <f t="shared" ca="1" si="94"/>
        <v>-2.3626632874451352</v>
      </c>
      <c r="AC344" s="7">
        <f t="shared" ca="1" si="95"/>
        <v>-1.0571984953175746</v>
      </c>
    </row>
    <row r="345" spans="1:29" x14ac:dyDescent="0.25">
      <c r="A345" s="1">
        <v>342</v>
      </c>
      <c r="B345" s="25">
        <v>44007</v>
      </c>
      <c r="C345" s="10" t="s">
        <v>233</v>
      </c>
      <c r="D345" s="1">
        <v>348.25</v>
      </c>
      <c r="E345" s="30">
        <v>1300</v>
      </c>
      <c r="F345" s="1">
        <v>325</v>
      </c>
      <c r="G345" s="1">
        <v>9.65</v>
      </c>
      <c r="H345" s="1">
        <v>300</v>
      </c>
      <c r="I345" s="1">
        <v>4.25</v>
      </c>
      <c r="J345" s="1">
        <v>83200</v>
      </c>
      <c r="K345" s="1">
        <v>1300</v>
      </c>
      <c r="L345" s="1">
        <v>3.65</v>
      </c>
      <c r="M345" s="1">
        <v>4</v>
      </c>
      <c r="N345" s="1">
        <v>1300</v>
      </c>
      <c r="O345" s="9"/>
      <c r="P345" s="7">
        <f t="shared" ca="1" si="82"/>
        <v>0.21600000000000003</v>
      </c>
      <c r="Q345" s="7">
        <f t="shared" ca="1" si="88"/>
        <v>1.0800000000000001E-2</v>
      </c>
      <c r="R345" s="33">
        <f t="shared" ca="1" si="83"/>
        <v>7020.0000000000009</v>
      </c>
      <c r="S345" s="33">
        <f t="shared" ca="1" si="84"/>
        <v>-25480</v>
      </c>
      <c r="T345" s="33">
        <f t="shared" ca="1" si="89"/>
        <v>7020.0000000000009</v>
      </c>
      <c r="U345" s="7">
        <f t="shared" ca="1" si="85"/>
        <v>0.27551020408163268</v>
      </c>
      <c r="V345" s="7">
        <f t="shared" ca="1" si="86"/>
        <v>-0.70345129709253984</v>
      </c>
      <c r="W345" s="33">
        <f t="shared" ca="1" si="90"/>
        <v>-25480</v>
      </c>
      <c r="X345" s="7">
        <f t="shared" ca="1" si="91"/>
        <v>-1</v>
      </c>
      <c r="Y345" s="7">
        <f t="shared" ca="1" si="92"/>
        <v>-0.72448979591836737</v>
      </c>
      <c r="Z345" s="7">
        <f t="shared" ca="1" si="87"/>
        <v>-0.15318258843541696</v>
      </c>
      <c r="AA345" s="33">
        <f t="shared" ca="1" si="93"/>
        <v>-25480</v>
      </c>
      <c r="AB345" s="7">
        <f t="shared" ca="1" si="94"/>
        <v>-3.6296296296296293</v>
      </c>
      <c r="AC345" s="7">
        <f t="shared" ca="1" si="95"/>
        <v>-1.6770597127739983</v>
      </c>
    </row>
    <row r="346" spans="1:29" x14ac:dyDescent="0.25">
      <c r="A346" s="1">
        <v>343</v>
      </c>
      <c r="B346" s="25">
        <v>44007</v>
      </c>
      <c r="C346" s="10" t="s">
        <v>233</v>
      </c>
      <c r="D346" s="1">
        <v>348.25</v>
      </c>
      <c r="E346" s="30">
        <v>1300</v>
      </c>
      <c r="F346" s="1">
        <v>325</v>
      </c>
      <c r="G346" s="1">
        <v>9.65</v>
      </c>
      <c r="H346" s="1">
        <v>310</v>
      </c>
      <c r="I346" s="1">
        <v>5.7</v>
      </c>
      <c r="J346" s="1">
        <v>37700</v>
      </c>
      <c r="K346" s="1">
        <v>1300</v>
      </c>
      <c r="L346" s="1">
        <v>5.4</v>
      </c>
      <c r="M346" s="1">
        <v>5.9</v>
      </c>
      <c r="N346" s="1">
        <v>1300</v>
      </c>
      <c r="O346" s="9"/>
      <c r="P346" s="7">
        <f t="shared" ca="1" si="82"/>
        <v>0.26333333333333336</v>
      </c>
      <c r="Q346" s="7">
        <f t="shared" ca="1" si="88"/>
        <v>1.3166666666666669E-2</v>
      </c>
      <c r="R346" s="33">
        <f t="shared" ca="1" si="83"/>
        <v>5135</v>
      </c>
      <c r="S346" s="33">
        <f t="shared" ca="1" si="84"/>
        <v>-14365</v>
      </c>
      <c r="T346" s="33">
        <f t="shared" ca="1" si="89"/>
        <v>5135</v>
      </c>
      <c r="U346" s="7">
        <f t="shared" ca="1" si="85"/>
        <v>0.3574660633484163</v>
      </c>
      <c r="V346" s="7">
        <f t="shared" ca="1" si="86"/>
        <v>-0.70345129709253984</v>
      </c>
      <c r="W346" s="33">
        <f t="shared" ca="1" si="90"/>
        <v>-14365</v>
      </c>
      <c r="X346" s="7">
        <f t="shared" ca="1" si="91"/>
        <v>-1</v>
      </c>
      <c r="Y346" s="7">
        <f t="shared" ca="1" si="92"/>
        <v>-0.64253393665158365</v>
      </c>
      <c r="Z346" s="7">
        <f t="shared" ca="1" si="87"/>
        <v>-0.15318258843541696</v>
      </c>
      <c r="AA346" s="33">
        <f t="shared" ca="1" si="93"/>
        <v>-14365</v>
      </c>
      <c r="AB346" s="7">
        <f t="shared" ca="1" si="94"/>
        <v>-2.7974683544303796</v>
      </c>
      <c r="AC346" s="7">
        <f t="shared" ca="1" si="95"/>
        <v>-1.2200011455409816</v>
      </c>
    </row>
    <row r="347" spans="1:29" x14ac:dyDescent="0.25">
      <c r="A347" s="1">
        <v>344</v>
      </c>
      <c r="B347" s="25">
        <v>44007</v>
      </c>
      <c r="C347" s="10" t="s">
        <v>233</v>
      </c>
      <c r="D347" s="1">
        <v>348.25</v>
      </c>
      <c r="E347" s="30">
        <v>1300</v>
      </c>
      <c r="F347" s="1">
        <v>325</v>
      </c>
      <c r="G347" s="1">
        <v>9.65</v>
      </c>
      <c r="H347" s="1">
        <v>320</v>
      </c>
      <c r="I347" s="1">
        <v>8</v>
      </c>
      <c r="J347" s="1">
        <v>88400</v>
      </c>
      <c r="K347" s="1">
        <v>1300</v>
      </c>
      <c r="L347" s="1">
        <v>7.75</v>
      </c>
      <c r="M347" s="1">
        <v>8.25</v>
      </c>
      <c r="N347" s="1">
        <v>1300</v>
      </c>
      <c r="O347" s="9"/>
      <c r="P347" s="7">
        <f t="shared" ca="1" si="82"/>
        <v>0.33000000000000007</v>
      </c>
      <c r="Q347" s="7">
        <f t="shared" ca="1" si="88"/>
        <v>1.6500000000000004E-2</v>
      </c>
      <c r="R347" s="33">
        <f t="shared" ca="1" si="83"/>
        <v>2145.0000000000005</v>
      </c>
      <c r="S347" s="33">
        <f t="shared" ca="1" si="84"/>
        <v>-4355</v>
      </c>
      <c r="T347" s="33">
        <f t="shared" ca="1" si="89"/>
        <v>2145.0000000000005</v>
      </c>
      <c r="U347" s="7">
        <f t="shared" ca="1" si="85"/>
        <v>0.49253731343283591</v>
      </c>
      <c r="V347" s="7">
        <f t="shared" ca="1" si="86"/>
        <v>-0.70345129709253984</v>
      </c>
      <c r="W347" s="33">
        <f t="shared" ca="1" si="90"/>
        <v>-4355</v>
      </c>
      <c r="X347" s="7">
        <f t="shared" ca="1" si="91"/>
        <v>-1</v>
      </c>
      <c r="Y347" s="7">
        <f t="shared" ca="1" si="92"/>
        <v>-0.50746268656716409</v>
      </c>
      <c r="Z347" s="7">
        <f t="shared" ca="1" si="87"/>
        <v>-0.15318258843541696</v>
      </c>
      <c r="AA347" s="33">
        <f t="shared" ca="1" si="93"/>
        <v>-4355</v>
      </c>
      <c r="AB347" s="7">
        <f t="shared" ca="1" si="94"/>
        <v>-2.0303030303030298</v>
      </c>
      <c r="AC347" s="7">
        <f t="shared" ca="1" si="95"/>
        <v>-0.76888285843509696</v>
      </c>
    </row>
    <row r="348" spans="1:29" x14ac:dyDescent="0.25">
      <c r="A348" s="1">
        <v>345</v>
      </c>
      <c r="B348" s="25">
        <v>44007</v>
      </c>
      <c r="C348" s="10" t="s">
        <v>1298</v>
      </c>
      <c r="D348" s="1">
        <v>1593.65</v>
      </c>
      <c r="E348" s="30">
        <v>505</v>
      </c>
      <c r="F348" s="1">
        <v>1446.3</v>
      </c>
      <c r="G348" s="1">
        <v>10.15</v>
      </c>
      <c r="H348" s="1">
        <v>1406.65</v>
      </c>
      <c r="I348" s="1">
        <v>5.65</v>
      </c>
      <c r="J348" s="1">
        <v>57065</v>
      </c>
      <c r="K348" s="1">
        <v>505</v>
      </c>
      <c r="L348" s="1">
        <v>5.65</v>
      </c>
      <c r="M348" s="1">
        <v>8.35</v>
      </c>
      <c r="N348" s="1">
        <v>3535</v>
      </c>
      <c r="O348" s="9"/>
      <c r="P348" s="7">
        <f t="shared" ca="1" si="82"/>
        <v>0.11349306431273684</v>
      </c>
      <c r="Q348" s="7">
        <f t="shared" ca="1" si="88"/>
        <v>5.6746532156368417E-3</v>
      </c>
      <c r="R348" s="33">
        <f t="shared" ca="1" si="83"/>
        <v>2272.5</v>
      </c>
      <c r="S348" s="33">
        <f t="shared" ca="1" si="84"/>
        <v>-17750.749999999931</v>
      </c>
      <c r="T348" s="33">
        <f t="shared" ca="1" si="89"/>
        <v>2272.5</v>
      </c>
      <c r="U348" s="7">
        <f t="shared" ca="1" si="85"/>
        <v>0.12802275960170748</v>
      </c>
      <c r="V348" s="7">
        <f t="shared" ca="1" si="86"/>
        <v>-0.53123689481982816</v>
      </c>
      <c r="W348" s="33">
        <f t="shared" ca="1" si="90"/>
        <v>-17750.749999999931</v>
      </c>
      <c r="X348" s="7">
        <f t="shared" ca="1" si="91"/>
        <v>-1</v>
      </c>
      <c r="Y348" s="7">
        <f t="shared" ca="1" si="92"/>
        <v>-0.8719772403982925</v>
      </c>
      <c r="Z348" s="7">
        <f t="shared" ca="1" si="87"/>
        <v>-8.5115220078921514E-2</v>
      </c>
      <c r="AA348" s="33">
        <f t="shared" ca="1" si="93"/>
        <v>2272.5</v>
      </c>
      <c r="AB348" s="7">
        <f t="shared" ca="1" si="94"/>
        <v>1</v>
      </c>
      <c r="AC348" s="7">
        <f t="shared" ca="1" si="95"/>
        <v>0.5640113798008537</v>
      </c>
    </row>
    <row r="349" spans="1:29" x14ac:dyDescent="0.25">
      <c r="A349" s="1">
        <v>346</v>
      </c>
      <c r="B349" s="25">
        <v>44007</v>
      </c>
      <c r="C349" s="10" t="s">
        <v>1298</v>
      </c>
      <c r="D349" s="1">
        <v>1593.65</v>
      </c>
      <c r="E349" s="30">
        <v>505</v>
      </c>
      <c r="F349" s="1">
        <v>1446.3</v>
      </c>
      <c r="G349" s="1">
        <v>10.15</v>
      </c>
      <c r="H349" s="1">
        <v>1420</v>
      </c>
      <c r="I349" s="1">
        <v>7.2</v>
      </c>
      <c r="J349" s="1">
        <v>267650</v>
      </c>
      <c r="K349" s="1">
        <v>505</v>
      </c>
      <c r="L349" s="1">
        <v>7.05</v>
      </c>
      <c r="M349" s="1">
        <v>7.45</v>
      </c>
      <c r="N349" s="1">
        <v>2525</v>
      </c>
      <c r="O349" s="9"/>
      <c r="P349" s="7">
        <f t="shared" ca="1" si="82"/>
        <v>0.11216730038022833</v>
      </c>
      <c r="Q349" s="7">
        <f t="shared" ca="1" si="88"/>
        <v>5.6083650190114163E-3</v>
      </c>
      <c r="R349" s="33">
        <f t="shared" ca="1" si="83"/>
        <v>1489.75</v>
      </c>
      <c r="S349" s="33">
        <f t="shared" ca="1" si="84"/>
        <v>-11791.749999999976</v>
      </c>
      <c r="T349" s="33">
        <f t="shared" ca="1" si="89"/>
        <v>1489.75</v>
      </c>
      <c r="U349" s="7">
        <f t="shared" ca="1" si="85"/>
        <v>0.12633832976445422</v>
      </c>
      <c r="V349" s="7">
        <f t="shared" ca="1" si="86"/>
        <v>-0.53123689481982816</v>
      </c>
      <c r="W349" s="33">
        <f t="shared" ca="1" si="90"/>
        <v>-11791.749999999976</v>
      </c>
      <c r="X349" s="7">
        <f t="shared" ca="1" si="91"/>
        <v>-1</v>
      </c>
      <c r="Y349" s="7">
        <f t="shared" ca="1" si="92"/>
        <v>-0.87366167023554575</v>
      </c>
      <c r="Z349" s="7">
        <f t="shared" ca="1" si="87"/>
        <v>-8.5115220078921514E-2</v>
      </c>
      <c r="AA349" s="33">
        <f t="shared" ca="1" si="93"/>
        <v>1489.75</v>
      </c>
      <c r="AB349" s="7">
        <f t="shared" ca="1" si="94"/>
        <v>1</v>
      </c>
      <c r="AC349" s="7">
        <f t="shared" ca="1" si="95"/>
        <v>0.56316916488222712</v>
      </c>
    </row>
    <row r="350" spans="1:29" x14ac:dyDescent="0.25">
      <c r="A350" s="1">
        <v>347</v>
      </c>
      <c r="B350" s="25">
        <v>44007</v>
      </c>
      <c r="C350" s="10" t="s">
        <v>1298</v>
      </c>
      <c r="D350" s="1">
        <v>1593.65</v>
      </c>
      <c r="E350" s="30">
        <v>505</v>
      </c>
      <c r="F350" s="1">
        <v>1446.3</v>
      </c>
      <c r="G350" s="1">
        <v>10.15</v>
      </c>
      <c r="H350" s="1">
        <v>1426.5</v>
      </c>
      <c r="I350" s="1">
        <v>8</v>
      </c>
      <c r="J350" s="1">
        <v>53025</v>
      </c>
      <c r="K350" s="1">
        <v>4545</v>
      </c>
      <c r="L350" s="1">
        <v>6.25</v>
      </c>
      <c r="M350" s="1">
        <v>8.0500000000000007</v>
      </c>
      <c r="N350" s="1">
        <v>4545</v>
      </c>
      <c r="O350" s="9"/>
      <c r="P350" s="7">
        <f t="shared" ca="1" si="82"/>
        <v>0.10858585858585885</v>
      </c>
      <c r="Q350" s="7">
        <f t="shared" ca="1" si="88"/>
        <v>5.4292929292929426E-3</v>
      </c>
      <c r="R350" s="33">
        <f t="shared" ca="1" si="83"/>
        <v>1085.7500000000002</v>
      </c>
      <c r="S350" s="33">
        <f t="shared" ca="1" si="84"/>
        <v>-8913.2499999999764</v>
      </c>
      <c r="T350" s="33">
        <f t="shared" ca="1" si="89"/>
        <v>1085.7500000000002</v>
      </c>
      <c r="U350" s="7">
        <f t="shared" ca="1" si="85"/>
        <v>0.12181303116147343</v>
      </c>
      <c r="V350" s="7">
        <f t="shared" ca="1" si="86"/>
        <v>-0.53123689481982816</v>
      </c>
      <c r="W350" s="33">
        <f t="shared" ca="1" si="90"/>
        <v>-8913.2499999999764</v>
      </c>
      <c r="X350" s="7">
        <f t="shared" ca="1" si="91"/>
        <v>-1</v>
      </c>
      <c r="Y350" s="7">
        <f t="shared" ca="1" si="92"/>
        <v>-0.87818696883852654</v>
      </c>
      <c r="Z350" s="7">
        <f t="shared" ca="1" si="87"/>
        <v>-8.5115220078921514E-2</v>
      </c>
      <c r="AA350" s="33">
        <f t="shared" ca="1" si="93"/>
        <v>1085.7500000000002</v>
      </c>
      <c r="AB350" s="7">
        <f t="shared" ca="1" si="94"/>
        <v>1</v>
      </c>
      <c r="AC350" s="7">
        <f t="shared" ca="1" si="95"/>
        <v>0.56090651558073668</v>
      </c>
    </row>
    <row r="351" spans="1:29" x14ac:dyDescent="0.25">
      <c r="A351" s="1">
        <v>348</v>
      </c>
      <c r="B351" s="25">
        <v>44007</v>
      </c>
      <c r="C351" s="10" t="s">
        <v>1298</v>
      </c>
      <c r="D351" s="1">
        <v>1593.65</v>
      </c>
      <c r="E351" s="30">
        <v>505</v>
      </c>
      <c r="F351" s="1">
        <v>1446.3</v>
      </c>
      <c r="G351" s="1">
        <v>10.15</v>
      </c>
      <c r="H351" s="1">
        <v>1440</v>
      </c>
      <c r="I351" s="1">
        <v>9.3000000000000007</v>
      </c>
      <c r="J351" s="1">
        <v>296435</v>
      </c>
      <c r="K351" s="1">
        <v>3030</v>
      </c>
      <c r="L351" s="1">
        <v>9.15</v>
      </c>
      <c r="M351" s="1">
        <v>9.4499999999999993</v>
      </c>
      <c r="N351" s="1">
        <v>2020</v>
      </c>
      <c r="O351" s="9"/>
      <c r="P351" s="7">
        <f t="shared" ca="1" si="82"/>
        <v>0.13492063492063583</v>
      </c>
      <c r="Q351" s="7">
        <f t="shared" ca="1" si="88"/>
        <v>6.7460317460317915E-3</v>
      </c>
      <c r="R351" s="33">
        <f t="shared" ca="1" si="83"/>
        <v>429.24999999999983</v>
      </c>
      <c r="S351" s="33">
        <f t="shared" ca="1" si="84"/>
        <v>-2752.2499999999773</v>
      </c>
      <c r="T351" s="33">
        <f t="shared" ca="1" si="89"/>
        <v>429.24999999999983</v>
      </c>
      <c r="U351" s="7">
        <f t="shared" ca="1" si="85"/>
        <v>0.15596330275229481</v>
      </c>
      <c r="V351" s="7">
        <f t="shared" ca="1" si="86"/>
        <v>-0.53123689481982816</v>
      </c>
      <c r="W351" s="33">
        <f t="shared" ca="1" si="90"/>
        <v>-2752.2499999999773</v>
      </c>
      <c r="X351" s="7">
        <f t="shared" ca="1" si="91"/>
        <v>-1</v>
      </c>
      <c r="Y351" s="7">
        <f t="shared" ca="1" si="92"/>
        <v>-0.84403669724770514</v>
      </c>
      <c r="Z351" s="7">
        <f t="shared" ca="1" si="87"/>
        <v>-8.5115220078921514E-2</v>
      </c>
      <c r="AA351" s="33">
        <f t="shared" ca="1" si="93"/>
        <v>429.24999999999983</v>
      </c>
      <c r="AB351" s="7">
        <f t="shared" ca="1" si="94"/>
        <v>1</v>
      </c>
      <c r="AC351" s="7">
        <f t="shared" ca="1" si="95"/>
        <v>0.57798165137614743</v>
      </c>
    </row>
    <row r="352" spans="1:29" x14ac:dyDescent="0.25">
      <c r="A352" s="1">
        <v>349</v>
      </c>
      <c r="B352" s="25">
        <v>44007</v>
      </c>
      <c r="C352" s="10" t="s">
        <v>1223</v>
      </c>
      <c r="D352" s="1">
        <v>173.8</v>
      </c>
      <c r="E352" s="30">
        <v>4000</v>
      </c>
      <c r="F352" s="1">
        <v>157.5</v>
      </c>
      <c r="G352" s="1">
        <v>1.4</v>
      </c>
      <c r="H352" s="1">
        <v>150</v>
      </c>
      <c r="I352" s="1">
        <v>0.55000000000000004</v>
      </c>
      <c r="J352" s="1">
        <v>360000</v>
      </c>
      <c r="K352" s="1">
        <v>4000</v>
      </c>
      <c r="L352" s="1">
        <v>0.5</v>
      </c>
      <c r="M352" s="1">
        <v>0.55000000000000004</v>
      </c>
      <c r="N352" s="1">
        <v>12000</v>
      </c>
      <c r="O352" s="9"/>
      <c r="P352" s="7">
        <f t="shared" ca="1" si="82"/>
        <v>0.11333333333333331</v>
      </c>
      <c r="Q352" s="7">
        <f t="shared" ca="1" si="88"/>
        <v>5.6666666666666653E-3</v>
      </c>
      <c r="R352" s="33">
        <f t="shared" ca="1" si="83"/>
        <v>3399.9999999999995</v>
      </c>
      <c r="S352" s="33">
        <f t="shared" ca="1" si="84"/>
        <v>-26600</v>
      </c>
      <c r="T352" s="33">
        <f t="shared" ca="1" si="89"/>
        <v>3399.9999999999995</v>
      </c>
      <c r="U352" s="7">
        <f t="shared" ca="1" si="85"/>
        <v>0.12781954887218044</v>
      </c>
      <c r="V352" s="7">
        <f t="shared" ca="1" si="86"/>
        <v>-0.25059756884897344</v>
      </c>
      <c r="W352" s="33">
        <f t="shared" ca="1" si="90"/>
        <v>-26600</v>
      </c>
      <c r="X352" s="7">
        <f t="shared" ca="1" si="91"/>
        <v>-1</v>
      </c>
      <c r="Y352" s="7">
        <f t="shared" ca="1" si="92"/>
        <v>-0.8721804511278195</v>
      </c>
      <c r="Z352" s="7">
        <f t="shared" ca="1" si="87"/>
        <v>-5.4749926850580617E-2</v>
      </c>
      <c r="AA352" s="33">
        <f t="shared" ca="1" si="93"/>
        <v>3399.9999999999995</v>
      </c>
      <c r="AB352" s="7">
        <f t="shared" ca="1" si="94"/>
        <v>1</v>
      </c>
      <c r="AC352" s="7">
        <f t="shared" ca="1" si="95"/>
        <v>0.56390977443609025</v>
      </c>
    </row>
    <row r="353" spans="1:29" x14ac:dyDescent="0.25">
      <c r="A353" s="1">
        <v>350</v>
      </c>
      <c r="B353" s="25">
        <v>44007</v>
      </c>
      <c r="C353" s="10" t="s">
        <v>1223</v>
      </c>
      <c r="D353" s="1">
        <v>173.8</v>
      </c>
      <c r="E353" s="30">
        <v>4000</v>
      </c>
      <c r="F353" s="1">
        <v>157.5</v>
      </c>
      <c r="G353" s="1">
        <v>1.4</v>
      </c>
      <c r="H353" s="1">
        <v>155</v>
      </c>
      <c r="I353" s="1">
        <v>1</v>
      </c>
      <c r="J353" s="1">
        <v>180000</v>
      </c>
      <c r="K353" s="1">
        <v>8000</v>
      </c>
      <c r="L353" s="1">
        <v>0.95</v>
      </c>
      <c r="M353" s="1">
        <v>1.05</v>
      </c>
      <c r="N353" s="1">
        <v>8000</v>
      </c>
      <c r="O353" s="9"/>
      <c r="P353" s="7">
        <f t="shared" ca="1" si="82"/>
        <v>0.15999999999999998</v>
      </c>
      <c r="Q353" s="7">
        <f t="shared" ca="1" si="88"/>
        <v>7.9999999999999984E-3</v>
      </c>
      <c r="R353" s="33">
        <f t="shared" ca="1" si="83"/>
        <v>1599.9999999999995</v>
      </c>
      <c r="S353" s="33">
        <f t="shared" ca="1" si="84"/>
        <v>-8400</v>
      </c>
      <c r="T353" s="33">
        <f t="shared" ca="1" si="89"/>
        <v>1599.9999999999995</v>
      </c>
      <c r="U353" s="7">
        <f t="shared" ca="1" si="85"/>
        <v>0.19047619047619041</v>
      </c>
      <c r="V353" s="7">
        <f t="shared" ca="1" si="86"/>
        <v>-0.25059756884897344</v>
      </c>
      <c r="W353" s="33">
        <f t="shared" ca="1" si="90"/>
        <v>-8400</v>
      </c>
      <c r="X353" s="7">
        <f t="shared" ca="1" si="91"/>
        <v>-1</v>
      </c>
      <c r="Y353" s="7">
        <f t="shared" ca="1" si="92"/>
        <v>-0.80952380952380953</v>
      </c>
      <c r="Z353" s="7">
        <f t="shared" ca="1" si="87"/>
        <v>-5.4749926850580617E-2</v>
      </c>
      <c r="AA353" s="33">
        <f t="shared" ca="1" si="93"/>
        <v>1599.9999999999995</v>
      </c>
      <c r="AB353" s="7">
        <f t="shared" ca="1" si="94"/>
        <v>1</v>
      </c>
      <c r="AC353" s="7">
        <f t="shared" ca="1" si="95"/>
        <v>0.59523809523809523</v>
      </c>
    </row>
    <row r="354" spans="1:29" x14ac:dyDescent="0.25">
      <c r="A354" s="1">
        <v>351</v>
      </c>
      <c r="B354" s="25">
        <v>44007</v>
      </c>
      <c r="C354" s="10" t="s">
        <v>239</v>
      </c>
      <c r="D354" s="1">
        <v>27.75</v>
      </c>
      <c r="E354" s="30">
        <v>10400</v>
      </c>
      <c r="F354" s="1">
        <v>25</v>
      </c>
      <c r="G354" s="1">
        <v>1.2</v>
      </c>
      <c r="H354" s="1">
        <v>20</v>
      </c>
      <c r="I354" s="1">
        <v>0.15</v>
      </c>
      <c r="J354" s="1">
        <v>2735200</v>
      </c>
      <c r="K354" s="1">
        <v>478400</v>
      </c>
      <c r="L354" s="1">
        <v>0.15</v>
      </c>
      <c r="M354" s="1">
        <v>0.2</v>
      </c>
      <c r="N354" s="1">
        <v>31200</v>
      </c>
      <c r="O354" s="9"/>
      <c r="P354" s="7">
        <f t="shared" ca="1" si="82"/>
        <v>0.21000000000000002</v>
      </c>
      <c r="Q354" s="7">
        <f t="shared" ca="1" si="88"/>
        <v>1.0500000000000001E-2</v>
      </c>
      <c r="R354" s="33">
        <f t="shared" ca="1" si="83"/>
        <v>10920</v>
      </c>
      <c r="S354" s="33">
        <f t="shared" ca="1" si="84"/>
        <v>-41080</v>
      </c>
      <c r="T354" s="33">
        <f t="shared" ca="1" si="89"/>
        <v>10920</v>
      </c>
      <c r="U354" s="7">
        <f t="shared" ca="1" si="85"/>
        <v>0.26582278481012656</v>
      </c>
      <c r="V354" s="7">
        <f t="shared" ca="1" si="86"/>
        <v>-0.56350753174703683</v>
      </c>
      <c r="W354" s="33">
        <f t="shared" ca="1" si="90"/>
        <v>-41080</v>
      </c>
      <c r="X354" s="7">
        <f t="shared" ca="1" si="91"/>
        <v>-1</v>
      </c>
      <c r="Y354" s="7">
        <f t="shared" ca="1" si="92"/>
        <v>-0.73417721518987344</v>
      </c>
      <c r="Z354" s="7">
        <f t="shared" ca="1" si="87"/>
        <v>-0.19337038543034696</v>
      </c>
      <c r="AA354" s="33">
        <f t="shared" ca="1" si="93"/>
        <v>-16286.693235198163</v>
      </c>
      <c r="AB354" s="7">
        <f t="shared" ca="1" si="94"/>
        <v>-1.4914554244686962</v>
      </c>
      <c r="AC354" s="7">
        <f t="shared" ca="1" si="95"/>
        <v>-0.61281631982928486</v>
      </c>
    </row>
    <row r="355" spans="1:29" x14ac:dyDescent="0.25">
      <c r="A355" s="1">
        <v>352</v>
      </c>
      <c r="B355" s="25">
        <v>44007</v>
      </c>
      <c r="C355" s="10" t="s">
        <v>239</v>
      </c>
      <c r="D355" s="1">
        <v>27.75</v>
      </c>
      <c r="E355" s="30">
        <v>10400</v>
      </c>
      <c r="F355" s="1">
        <v>25</v>
      </c>
      <c r="G355" s="1">
        <v>1.2</v>
      </c>
      <c r="H355" s="1">
        <v>21</v>
      </c>
      <c r="I355" s="1">
        <v>0.3</v>
      </c>
      <c r="J355" s="1">
        <v>457600</v>
      </c>
      <c r="K355" s="1">
        <v>31200</v>
      </c>
      <c r="L355" s="1">
        <v>0.25</v>
      </c>
      <c r="M355" s="1">
        <v>0.3</v>
      </c>
      <c r="N355" s="1">
        <v>10400</v>
      </c>
      <c r="O355" s="9"/>
      <c r="P355" s="7">
        <f t="shared" ca="1" si="82"/>
        <v>0.22499999999999998</v>
      </c>
      <c r="Q355" s="7">
        <f t="shared" ca="1" si="88"/>
        <v>1.125E-2</v>
      </c>
      <c r="R355" s="33">
        <f t="shared" ca="1" si="83"/>
        <v>9359.9999999999982</v>
      </c>
      <c r="S355" s="33">
        <f t="shared" ca="1" si="84"/>
        <v>-32240</v>
      </c>
      <c r="T355" s="33">
        <f t="shared" ca="1" si="89"/>
        <v>9359.9999999999982</v>
      </c>
      <c r="U355" s="7">
        <f t="shared" ca="1" si="85"/>
        <v>0.29032258064516125</v>
      </c>
      <c r="V355" s="7">
        <f t="shared" ca="1" si="86"/>
        <v>-0.56350753174703683</v>
      </c>
      <c r="W355" s="33">
        <f t="shared" ca="1" si="90"/>
        <v>-32240</v>
      </c>
      <c r="X355" s="7">
        <f t="shared" ca="1" si="91"/>
        <v>-1</v>
      </c>
      <c r="Y355" s="7">
        <f t="shared" ca="1" si="92"/>
        <v>-0.70967741935483875</v>
      </c>
      <c r="Z355" s="7">
        <f t="shared" ca="1" si="87"/>
        <v>-0.19337038543034696</v>
      </c>
      <c r="AA355" s="33">
        <f t="shared" ca="1" si="93"/>
        <v>-17846.693235198167</v>
      </c>
      <c r="AB355" s="7">
        <f t="shared" ca="1" si="94"/>
        <v>-1.9066979952134797</v>
      </c>
      <c r="AC355" s="7">
        <f t="shared" ca="1" si="95"/>
        <v>-0.80818770728415923</v>
      </c>
    </row>
    <row r="356" spans="1:29" x14ac:dyDescent="0.25">
      <c r="A356" s="1">
        <v>353</v>
      </c>
      <c r="B356" s="25">
        <v>44007</v>
      </c>
      <c r="C356" s="10" t="s">
        <v>239</v>
      </c>
      <c r="D356" s="1">
        <v>27.75</v>
      </c>
      <c r="E356" s="30">
        <v>10400</v>
      </c>
      <c r="F356" s="1">
        <v>25</v>
      </c>
      <c r="G356" s="1">
        <v>1.2</v>
      </c>
      <c r="H356" s="1">
        <v>22</v>
      </c>
      <c r="I356" s="1">
        <v>0.4</v>
      </c>
      <c r="J356" s="1">
        <v>3047200</v>
      </c>
      <c r="K356" s="1">
        <v>20800</v>
      </c>
      <c r="L356" s="1">
        <v>0.4</v>
      </c>
      <c r="M356" s="1">
        <v>0.45</v>
      </c>
      <c r="N356" s="1">
        <v>52000</v>
      </c>
      <c r="O356" s="9"/>
      <c r="P356" s="7">
        <f t="shared" ca="1" si="82"/>
        <v>0.26666666666666666</v>
      </c>
      <c r="Q356" s="7">
        <f t="shared" ca="1" si="88"/>
        <v>1.3333333333333332E-2</v>
      </c>
      <c r="R356" s="33">
        <f t="shared" ca="1" si="83"/>
        <v>8320</v>
      </c>
      <c r="S356" s="33">
        <f t="shared" ca="1" si="84"/>
        <v>-22880</v>
      </c>
      <c r="T356" s="33">
        <f t="shared" ca="1" si="89"/>
        <v>8320</v>
      </c>
      <c r="U356" s="7">
        <f t="shared" ca="1" si="85"/>
        <v>0.36363636363636365</v>
      </c>
      <c r="V356" s="7">
        <f t="shared" ca="1" si="86"/>
        <v>-0.56350753174703683</v>
      </c>
      <c r="W356" s="33">
        <f t="shared" ca="1" si="90"/>
        <v>-22880</v>
      </c>
      <c r="X356" s="7">
        <f t="shared" ca="1" si="91"/>
        <v>-1</v>
      </c>
      <c r="Y356" s="7">
        <f t="shared" ca="1" si="92"/>
        <v>-0.63636363636363635</v>
      </c>
      <c r="Z356" s="7">
        <f t="shared" ca="1" si="87"/>
        <v>-0.19337038543034696</v>
      </c>
      <c r="AA356" s="33">
        <f t="shared" ca="1" si="93"/>
        <v>-18886.693235198163</v>
      </c>
      <c r="AB356" s="7">
        <f t="shared" ca="1" si="94"/>
        <v>-2.2700352446151637</v>
      </c>
      <c r="AC356" s="7">
        <f t="shared" ca="1" si="95"/>
        <v>-0.95319944048939997</v>
      </c>
    </row>
    <row r="357" spans="1:29" x14ac:dyDescent="0.25">
      <c r="A357" s="1">
        <v>354</v>
      </c>
      <c r="B357" s="25">
        <v>44007</v>
      </c>
      <c r="C357" s="10" t="s">
        <v>239</v>
      </c>
      <c r="D357" s="1">
        <v>27.75</v>
      </c>
      <c r="E357" s="30">
        <v>10400</v>
      </c>
      <c r="F357" s="1">
        <v>25</v>
      </c>
      <c r="G357" s="1">
        <v>1.2</v>
      </c>
      <c r="H357" s="1">
        <v>23</v>
      </c>
      <c r="I357" s="1">
        <v>0.65</v>
      </c>
      <c r="J357" s="1">
        <v>1851200</v>
      </c>
      <c r="K357" s="1">
        <v>41600</v>
      </c>
      <c r="L357" s="1">
        <v>0.6</v>
      </c>
      <c r="M357" s="1">
        <v>0.7</v>
      </c>
      <c r="N357" s="1">
        <v>52000</v>
      </c>
      <c r="O357" s="9"/>
      <c r="P357" s="7">
        <f t="shared" ca="1" si="82"/>
        <v>0.27499999999999997</v>
      </c>
      <c r="Q357" s="7">
        <f t="shared" ca="1" si="88"/>
        <v>1.3749999999999998E-2</v>
      </c>
      <c r="R357" s="33">
        <f t="shared" ca="1" si="83"/>
        <v>5719.9999999999991</v>
      </c>
      <c r="S357" s="33">
        <f t="shared" ca="1" si="84"/>
        <v>-15080</v>
      </c>
      <c r="T357" s="33">
        <f t="shared" ca="1" si="89"/>
        <v>5719.9999999999991</v>
      </c>
      <c r="U357" s="7">
        <f t="shared" ca="1" si="85"/>
        <v>0.37931034482758613</v>
      </c>
      <c r="V357" s="7">
        <f t="shared" ca="1" si="86"/>
        <v>-0.56350753174703683</v>
      </c>
      <c r="W357" s="33">
        <f t="shared" ca="1" si="90"/>
        <v>-15080</v>
      </c>
      <c r="X357" s="7">
        <f t="shared" ca="1" si="91"/>
        <v>-1</v>
      </c>
      <c r="Y357" s="7">
        <f t="shared" ca="1" si="92"/>
        <v>-0.62068965517241392</v>
      </c>
      <c r="Z357" s="7">
        <f t="shared" ca="1" si="87"/>
        <v>-0.19337038543034696</v>
      </c>
      <c r="AA357" s="33">
        <f t="shared" ca="1" si="93"/>
        <v>-15080</v>
      </c>
      <c r="AB357" s="7">
        <f t="shared" ca="1" si="94"/>
        <v>-2.6363636363636367</v>
      </c>
      <c r="AC357" s="7">
        <f t="shared" ca="1" si="95"/>
        <v>-1.1285266457680252</v>
      </c>
    </row>
    <row r="358" spans="1:29" x14ac:dyDescent="0.25">
      <c r="A358" s="1">
        <v>355</v>
      </c>
      <c r="B358" s="25">
        <v>44007</v>
      </c>
      <c r="C358" s="10" t="s">
        <v>239</v>
      </c>
      <c r="D358" s="1">
        <v>27.75</v>
      </c>
      <c r="E358" s="30">
        <v>10400</v>
      </c>
      <c r="F358" s="1">
        <v>25</v>
      </c>
      <c r="G358" s="1">
        <v>1.2</v>
      </c>
      <c r="H358" s="1">
        <v>24</v>
      </c>
      <c r="I358" s="1">
        <v>0.9</v>
      </c>
      <c r="J358" s="1">
        <v>4461600</v>
      </c>
      <c r="K358" s="1">
        <v>62400</v>
      </c>
      <c r="L358" s="1">
        <v>0.85</v>
      </c>
      <c r="M358" s="1">
        <v>0.9</v>
      </c>
      <c r="N358" s="1">
        <v>62400</v>
      </c>
      <c r="O358" s="9"/>
      <c r="P358" s="7">
        <f t="shared" ca="1" si="82"/>
        <v>0.29999999999999993</v>
      </c>
      <c r="Q358" s="7">
        <f t="shared" ca="1" si="88"/>
        <v>1.4999999999999996E-2</v>
      </c>
      <c r="R358" s="33">
        <f t="shared" ca="1" si="83"/>
        <v>3119.9999999999991</v>
      </c>
      <c r="S358" s="33">
        <f t="shared" ca="1" si="84"/>
        <v>-7280.0000000000009</v>
      </c>
      <c r="T358" s="33">
        <f t="shared" ca="1" si="89"/>
        <v>3119.9999999999991</v>
      </c>
      <c r="U358" s="7">
        <f t="shared" ca="1" si="85"/>
        <v>0.42857142857142838</v>
      </c>
      <c r="V358" s="7">
        <f t="shared" ca="1" si="86"/>
        <v>-0.56350753174703683</v>
      </c>
      <c r="W358" s="33">
        <f t="shared" ca="1" si="90"/>
        <v>-7280.0000000000009</v>
      </c>
      <c r="X358" s="7">
        <f t="shared" ca="1" si="91"/>
        <v>-1</v>
      </c>
      <c r="Y358" s="7">
        <f t="shared" ca="1" si="92"/>
        <v>-0.57142857142857162</v>
      </c>
      <c r="Z358" s="7">
        <f t="shared" ca="1" si="87"/>
        <v>-0.19337038543034696</v>
      </c>
      <c r="AA358" s="33">
        <f t="shared" ca="1" si="93"/>
        <v>-7280.0000000000009</v>
      </c>
      <c r="AB358" s="7">
        <f t="shared" ca="1" si="94"/>
        <v>-2.3333333333333344</v>
      </c>
      <c r="AC358" s="7">
        <f t="shared" ca="1" si="95"/>
        <v>-0.95238095238095299</v>
      </c>
    </row>
    <row r="359" spans="1:29" x14ac:dyDescent="0.25">
      <c r="A359" s="1">
        <v>356</v>
      </c>
      <c r="B359" s="25">
        <v>44007</v>
      </c>
      <c r="C359" s="10" t="s">
        <v>470</v>
      </c>
      <c r="D359" s="1">
        <v>173.2</v>
      </c>
      <c r="E359" s="30">
        <v>2900</v>
      </c>
      <c r="F359" s="1">
        <v>160</v>
      </c>
      <c r="G359" s="1">
        <v>3</v>
      </c>
      <c r="H359" s="1">
        <v>140</v>
      </c>
      <c r="I359" s="1">
        <v>0.5</v>
      </c>
      <c r="J359" s="1">
        <v>89900</v>
      </c>
      <c r="K359" s="1">
        <v>72500</v>
      </c>
      <c r="L359" s="1">
        <v>0.45</v>
      </c>
      <c r="M359" s="1">
        <v>1</v>
      </c>
      <c r="N359" s="1">
        <v>31900</v>
      </c>
      <c r="O359" s="9"/>
      <c r="P359" s="7">
        <f t="shared" ca="1" si="82"/>
        <v>0.125</v>
      </c>
      <c r="Q359" s="7">
        <f t="shared" ca="1" si="88"/>
        <v>6.2500000000000003E-3</v>
      </c>
      <c r="R359" s="33">
        <f t="shared" ca="1" si="83"/>
        <v>7250</v>
      </c>
      <c r="S359" s="33">
        <f t="shared" ca="1" si="84"/>
        <v>-50750</v>
      </c>
      <c r="T359" s="33">
        <f t="shared" ca="1" si="89"/>
        <v>7250</v>
      </c>
      <c r="U359" s="7">
        <f t="shared" ca="1" si="85"/>
        <v>0.14285714285714285</v>
      </c>
      <c r="V359" s="7">
        <f t="shared" ca="1" si="86"/>
        <v>-0.31443073718695758</v>
      </c>
      <c r="W359" s="33">
        <f t="shared" ca="1" si="90"/>
        <v>-50750</v>
      </c>
      <c r="X359" s="7">
        <f t="shared" ca="1" si="91"/>
        <v>-1</v>
      </c>
      <c r="Y359" s="7">
        <f t="shared" ca="1" si="92"/>
        <v>-0.85714285714285721</v>
      </c>
      <c r="Z359" s="7">
        <f t="shared" ca="1" si="87"/>
        <v>-9.0256615220436223E-2</v>
      </c>
      <c r="AA359" s="33">
        <f t="shared" ca="1" si="93"/>
        <v>195.90730707927287</v>
      </c>
      <c r="AB359" s="7">
        <f t="shared" ca="1" si="94"/>
        <v>2.7021697528175567E-2</v>
      </c>
      <c r="AC359" s="7">
        <f t="shared" ca="1" si="95"/>
        <v>8.493942019265921E-2</v>
      </c>
    </row>
    <row r="360" spans="1:29" x14ac:dyDescent="0.25">
      <c r="A360" s="1">
        <v>357</v>
      </c>
      <c r="B360" s="25">
        <v>44007</v>
      </c>
      <c r="C360" s="10" t="s">
        <v>470</v>
      </c>
      <c r="D360" s="1">
        <v>173.2</v>
      </c>
      <c r="E360" s="30">
        <v>2900</v>
      </c>
      <c r="F360" s="1">
        <v>160</v>
      </c>
      <c r="G360" s="1">
        <v>3</v>
      </c>
      <c r="H360" s="1">
        <v>145</v>
      </c>
      <c r="I360" s="1">
        <v>0.9</v>
      </c>
      <c r="J360" s="1">
        <v>37700</v>
      </c>
      <c r="K360" s="1">
        <v>23200</v>
      </c>
      <c r="L360" s="1">
        <v>0.35</v>
      </c>
      <c r="M360" s="1">
        <v>1.5</v>
      </c>
      <c r="N360" s="1">
        <v>20300</v>
      </c>
      <c r="O360" s="9"/>
      <c r="P360" s="7">
        <f t="shared" ca="1" si="82"/>
        <v>0.14000000000000001</v>
      </c>
      <c r="Q360" s="7">
        <f t="shared" ca="1" si="88"/>
        <v>7.000000000000001E-3</v>
      </c>
      <c r="R360" s="33">
        <f t="shared" ca="1" si="83"/>
        <v>6090</v>
      </c>
      <c r="S360" s="33">
        <f t="shared" ca="1" si="84"/>
        <v>-37410</v>
      </c>
      <c r="T360" s="33">
        <f t="shared" ca="1" si="89"/>
        <v>6090</v>
      </c>
      <c r="U360" s="7">
        <f t="shared" ca="1" si="85"/>
        <v>0.16279069767441862</v>
      </c>
      <c r="V360" s="7">
        <f t="shared" ca="1" si="86"/>
        <v>-0.31443073718695758</v>
      </c>
      <c r="W360" s="33">
        <f t="shared" ca="1" si="90"/>
        <v>-37410</v>
      </c>
      <c r="X360" s="7">
        <f t="shared" ca="1" si="91"/>
        <v>-1</v>
      </c>
      <c r="Y360" s="7">
        <f t="shared" ca="1" si="92"/>
        <v>-0.83720930232558133</v>
      </c>
      <c r="Z360" s="7">
        <f t="shared" ca="1" si="87"/>
        <v>-9.0256615220436223E-2</v>
      </c>
      <c r="AA360" s="33">
        <f t="shared" ca="1" si="93"/>
        <v>-964.09269292072713</v>
      </c>
      <c r="AB360" s="7">
        <f t="shared" ca="1" si="94"/>
        <v>-0.15830750294264814</v>
      </c>
      <c r="AC360" s="7">
        <f t="shared" ca="1" si="95"/>
        <v>2.2415973658852367E-3</v>
      </c>
    </row>
    <row r="361" spans="1:29" x14ac:dyDescent="0.25">
      <c r="A361" s="1">
        <v>358</v>
      </c>
      <c r="B361" s="25">
        <v>44007</v>
      </c>
      <c r="C361" s="10" t="s">
        <v>470</v>
      </c>
      <c r="D361" s="1">
        <v>173.2</v>
      </c>
      <c r="E361" s="30">
        <v>2900</v>
      </c>
      <c r="F361" s="1">
        <v>160</v>
      </c>
      <c r="G361" s="1">
        <v>3</v>
      </c>
      <c r="H361" s="1">
        <v>150</v>
      </c>
      <c r="I361" s="1">
        <v>1.1499999999999999</v>
      </c>
      <c r="J361" s="1">
        <v>142100</v>
      </c>
      <c r="K361" s="1">
        <v>2900</v>
      </c>
      <c r="L361" s="1">
        <v>1.25</v>
      </c>
      <c r="M361" s="1">
        <v>1.4</v>
      </c>
      <c r="N361" s="1">
        <v>5800</v>
      </c>
      <c r="O361" s="9"/>
      <c r="P361" s="7">
        <f t="shared" ca="1" si="82"/>
        <v>0.185</v>
      </c>
      <c r="Q361" s="7">
        <f t="shared" ca="1" si="88"/>
        <v>9.2499999999999995E-3</v>
      </c>
      <c r="R361" s="33">
        <f t="shared" ca="1" si="83"/>
        <v>5365</v>
      </c>
      <c r="S361" s="33">
        <f t="shared" ca="1" si="84"/>
        <v>-23635</v>
      </c>
      <c r="T361" s="33">
        <f t="shared" ca="1" si="89"/>
        <v>5365</v>
      </c>
      <c r="U361" s="7">
        <f t="shared" ca="1" si="85"/>
        <v>0.22699386503067484</v>
      </c>
      <c r="V361" s="7">
        <f t="shared" ca="1" si="86"/>
        <v>-0.31443073718695758</v>
      </c>
      <c r="W361" s="33">
        <f t="shared" ca="1" si="90"/>
        <v>-23635</v>
      </c>
      <c r="X361" s="7">
        <f t="shared" ca="1" si="91"/>
        <v>-1</v>
      </c>
      <c r="Y361" s="7">
        <f t="shared" ca="1" si="92"/>
        <v>-0.77300613496932513</v>
      </c>
      <c r="Z361" s="7">
        <f t="shared" ca="1" si="87"/>
        <v>-9.0256615220436223E-2</v>
      </c>
      <c r="AA361" s="33">
        <f t="shared" ca="1" si="93"/>
        <v>-1689.0926929207271</v>
      </c>
      <c r="AB361" s="7">
        <f t="shared" ca="1" si="94"/>
        <v>-0.31483554388084384</v>
      </c>
      <c r="AC361" s="7">
        <f t="shared" ca="1" si="95"/>
        <v>-4.3920839425084499E-2</v>
      </c>
    </row>
    <row r="362" spans="1:29" x14ac:dyDescent="0.25">
      <c r="A362" s="1">
        <v>359</v>
      </c>
      <c r="B362" s="25">
        <v>44007</v>
      </c>
      <c r="C362" s="10" t="s">
        <v>470</v>
      </c>
      <c r="D362" s="1">
        <v>173.2</v>
      </c>
      <c r="E362" s="30">
        <v>2900</v>
      </c>
      <c r="F362" s="1">
        <v>160</v>
      </c>
      <c r="G362" s="1">
        <v>3</v>
      </c>
      <c r="H362" s="1">
        <v>155</v>
      </c>
      <c r="I362" s="1">
        <v>2</v>
      </c>
      <c r="J362" s="1">
        <v>98600</v>
      </c>
      <c r="K362" s="1">
        <v>2900</v>
      </c>
      <c r="L362" s="1">
        <v>2</v>
      </c>
      <c r="M362" s="1">
        <v>2.15</v>
      </c>
      <c r="N362" s="1">
        <v>2900</v>
      </c>
      <c r="O362" s="9"/>
      <c r="P362" s="7">
        <f t="shared" ca="1" si="82"/>
        <v>0.2</v>
      </c>
      <c r="Q362" s="7">
        <f t="shared" ca="1" si="88"/>
        <v>0.01</v>
      </c>
      <c r="R362" s="33">
        <f t="shared" ca="1" si="83"/>
        <v>2900</v>
      </c>
      <c r="S362" s="33">
        <f t="shared" ca="1" si="84"/>
        <v>-11600</v>
      </c>
      <c r="T362" s="33">
        <f t="shared" ca="1" si="89"/>
        <v>2900</v>
      </c>
      <c r="U362" s="7">
        <f t="shared" ca="1" si="85"/>
        <v>0.25</v>
      </c>
      <c r="V362" s="7">
        <f t="shared" ca="1" si="86"/>
        <v>-0.31443073718695758</v>
      </c>
      <c r="W362" s="33">
        <f t="shared" ca="1" si="90"/>
        <v>-11600</v>
      </c>
      <c r="X362" s="7">
        <f t="shared" ca="1" si="91"/>
        <v>-1</v>
      </c>
      <c r="Y362" s="7">
        <f t="shared" ca="1" si="92"/>
        <v>-0.75</v>
      </c>
      <c r="Z362" s="7">
        <f t="shared" ca="1" si="87"/>
        <v>-9.0256615220436223E-2</v>
      </c>
      <c r="AA362" s="33">
        <f t="shared" ca="1" si="93"/>
        <v>-4154.0926929207271</v>
      </c>
      <c r="AB362" s="7">
        <f t="shared" ca="1" si="94"/>
        <v>-1.4324457561795612</v>
      </c>
      <c r="AC362" s="7">
        <f t="shared" ca="1" si="95"/>
        <v>-0.59122287808978058</v>
      </c>
    </row>
    <row r="363" spans="1:29" x14ac:dyDescent="0.25">
      <c r="A363" s="1">
        <v>360</v>
      </c>
      <c r="B363" s="25">
        <v>44007</v>
      </c>
      <c r="C363" s="10" t="s">
        <v>1674</v>
      </c>
      <c r="D363" s="1">
        <v>442.85</v>
      </c>
      <c r="E363" s="30">
        <v>900</v>
      </c>
      <c r="F363" s="1">
        <v>400</v>
      </c>
      <c r="G363" s="1">
        <v>8.15</v>
      </c>
      <c r="H363" s="1">
        <v>340</v>
      </c>
      <c r="I363" s="1">
        <v>1.6</v>
      </c>
      <c r="J363" s="1">
        <v>37800</v>
      </c>
      <c r="K363" s="1">
        <v>2700</v>
      </c>
      <c r="L363" s="1">
        <v>1.55</v>
      </c>
      <c r="M363" s="1">
        <v>1.8</v>
      </c>
      <c r="N363" s="1">
        <v>900</v>
      </c>
      <c r="O363" s="9"/>
      <c r="P363" s="7">
        <f t="shared" ca="1" si="82"/>
        <v>0.10916666666666668</v>
      </c>
      <c r="Q363" s="7">
        <f t="shared" ca="1" si="88"/>
        <v>5.4583333333333341E-3</v>
      </c>
      <c r="R363" s="33">
        <f t="shared" ca="1" si="83"/>
        <v>5895.0000000000009</v>
      </c>
      <c r="S363" s="33">
        <f t="shared" ca="1" si="84"/>
        <v>-48105</v>
      </c>
      <c r="T363" s="33">
        <f t="shared" ca="1" si="89"/>
        <v>5895.0000000000009</v>
      </c>
      <c r="U363" s="7">
        <f t="shared" ca="1" si="85"/>
        <v>0.12254443405051452</v>
      </c>
      <c r="V363" s="7">
        <f t="shared" ca="1" si="86"/>
        <v>-0.83225998302266313</v>
      </c>
      <c r="W363" s="33">
        <f t="shared" ca="1" si="90"/>
        <v>-48105</v>
      </c>
      <c r="X363" s="7">
        <f t="shared" ca="1" si="91"/>
        <v>-1</v>
      </c>
      <c r="Y363" s="7">
        <f t="shared" ca="1" si="92"/>
        <v>-0.87745556594948548</v>
      </c>
      <c r="Z363" s="7">
        <f t="shared" ca="1" si="87"/>
        <v>-0.19534223974559081</v>
      </c>
      <c r="AA363" s="33">
        <f t="shared" ca="1" si="93"/>
        <v>-33396.579784201371</v>
      </c>
      <c r="AB363" s="7">
        <f t="shared" ca="1" si="94"/>
        <v>-5.665238300967153</v>
      </c>
      <c r="AC363" s="7">
        <f t="shared" ca="1" si="95"/>
        <v>-2.7713469334583194</v>
      </c>
    </row>
    <row r="364" spans="1:29" x14ac:dyDescent="0.25">
      <c r="A364" s="1">
        <v>361</v>
      </c>
      <c r="B364" s="25">
        <v>44007</v>
      </c>
      <c r="C364" s="10" t="s">
        <v>1674</v>
      </c>
      <c r="D364" s="1">
        <v>442.85</v>
      </c>
      <c r="E364" s="30">
        <v>900</v>
      </c>
      <c r="F364" s="1">
        <v>400</v>
      </c>
      <c r="G364" s="1">
        <v>8.15</v>
      </c>
      <c r="H364" s="1">
        <v>350</v>
      </c>
      <c r="I364" s="1">
        <v>2</v>
      </c>
      <c r="J364" s="1">
        <v>47700</v>
      </c>
      <c r="K364" s="1">
        <v>900</v>
      </c>
      <c r="L364" s="1">
        <v>1.8</v>
      </c>
      <c r="M364" s="1">
        <v>2.9</v>
      </c>
      <c r="N364" s="1">
        <v>2700</v>
      </c>
      <c r="O364" s="9"/>
      <c r="P364" s="7">
        <f t="shared" ca="1" si="82"/>
        <v>0.12300000000000001</v>
      </c>
      <c r="Q364" s="7">
        <f t="shared" ca="1" si="88"/>
        <v>6.150000000000001E-3</v>
      </c>
      <c r="R364" s="33">
        <f t="shared" ca="1" si="83"/>
        <v>5535</v>
      </c>
      <c r="S364" s="33">
        <f t="shared" ca="1" si="84"/>
        <v>-39465</v>
      </c>
      <c r="T364" s="33">
        <f t="shared" ca="1" si="89"/>
        <v>5535</v>
      </c>
      <c r="U364" s="7">
        <f t="shared" ca="1" si="85"/>
        <v>0.1402508551881414</v>
      </c>
      <c r="V364" s="7">
        <f t="shared" ca="1" si="86"/>
        <v>-0.83225998302266313</v>
      </c>
      <c r="W364" s="33">
        <f t="shared" ca="1" si="90"/>
        <v>-39465</v>
      </c>
      <c r="X364" s="7">
        <f t="shared" ca="1" si="91"/>
        <v>-1</v>
      </c>
      <c r="Y364" s="7">
        <f t="shared" ca="1" si="92"/>
        <v>-0.8597491448118586</v>
      </c>
      <c r="Z364" s="7">
        <f t="shared" ca="1" si="87"/>
        <v>-0.19534223974559081</v>
      </c>
      <c r="AA364" s="33">
        <f t="shared" ca="1" si="93"/>
        <v>-33756.579784201371</v>
      </c>
      <c r="AB364" s="7">
        <f t="shared" ca="1" si="94"/>
        <v>-6.0987497351763995</v>
      </c>
      <c r="AC364" s="7">
        <f t="shared" ca="1" si="95"/>
        <v>-2.9792494399941289</v>
      </c>
    </row>
    <row r="365" spans="1:29" x14ac:dyDescent="0.25">
      <c r="A365" s="1">
        <v>362</v>
      </c>
      <c r="B365" s="25">
        <v>44007</v>
      </c>
      <c r="C365" s="10" t="s">
        <v>1674</v>
      </c>
      <c r="D365" s="1">
        <v>442.85</v>
      </c>
      <c r="E365" s="30">
        <v>900</v>
      </c>
      <c r="F365" s="1">
        <v>400</v>
      </c>
      <c r="G365" s="1">
        <v>8.15</v>
      </c>
      <c r="H365" s="1">
        <v>360</v>
      </c>
      <c r="I365" s="1">
        <v>2.5</v>
      </c>
      <c r="J365" s="1">
        <v>93600</v>
      </c>
      <c r="K365" s="1">
        <v>900</v>
      </c>
      <c r="L365" s="1">
        <v>2.35</v>
      </c>
      <c r="M365" s="1">
        <v>2.65</v>
      </c>
      <c r="N365" s="1">
        <v>900</v>
      </c>
      <c r="O365" s="9"/>
      <c r="P365" s="7">
        <f t="shared" ca="1" si="82"/>
        <v>0.14125000000000001</v>
      </c>
      <c r="Q365" s="7">
        <f t="shared" ca="1" si="88"/>
        <v>7.0625000000000011E-3</v>
      </c>
      <c r="R365" s="33">
        <f t="shared" ca="1" si="83"/>
        <v>5085</v>
      </c>
      <c r="S365" s="33">
        <f t="shared" ca="1" si="84"/>
        <v>-30915</v>
      </c>
      <c r="T365" s="33">
        <f t="shared" ca="1" si="89"/>
        <v>5085</v>
      </c>
      <c r="U365" s="7">
        <f t="shared" ca="1" si="85"/>
        <v>0.16448326055312956</v>
      </c>
      <c r="V365" s="7">
        <f t="shared" ca="1" si="86"/>
        <v>-0.83225998302266313</v>
      </c>
      <c r="W365" s="33">
        <f t="shared" ca="1" si="90"/>
        <v>-30915</v>
      </c>
      <c r="X365" s="7">
        <f t="shared" ca="1" si="91"/>
        <v>-1</v>
      </c>
      <c r="Y365" s="7">
        <f t="shared" ca="1" si="92"/>
        <v>-0.83551673944687044</v>
      </c>
      <c r="Z365" s="7">
        <f t="shared" ca="1" si="87"/>
        <v>-0.19534223974559081</v>
      </c>
      <c r="AA365" s="33">
        <f t="shared" ca="1" si="93"/>
        <v>-30915</v>
      </c>
      <c r="AB365" s="7">
        <f t="shared" ca="1" si="94"/>
        <v>-6.0796460176991154</v>
      </c>
      <c r="AC365" s="7">
        <f t="shared" ca="1" si="95"/>
        <v>-2.9575813785729927</v>
      </c>
    </row>
    <row r="366" spans="1:29" x14ac:dyDescent="0.25">
      <c r="A366" s="1">
        <v>363</v>
      </c>
      <c r="B366" s="25">
        <v>44007</v>
      </c>
      <c r="C366" s="10" t="s">
        <v>1674</v>
      </c>
      <c r="D366" s="1">
        <v>442.85</v>
      </c>
      <c r="E366" s="30">
        <v>900</v>
      </c>
      <c r="F366" s="1">
        <v>400</v>
      </c>
      <c r="G366" s="1">
        <v>8.15</v>
      </c>
      <c r="H366" s="1">
        <v>370</v>
      </c>
      <c r="I366" s="1">
        <v>3.5</v>
      </c>
      <c r="J366" s="1">
        <v>49500</v>
      </c>
      <c r="K366" s="1">
        <v>900</v>
      </c>
      <c r="L366" s="1">
        <v>3.4</v>
      </c>
      <c r="M366" s="1">
        <v>3.5</v>
      </c>
      <c r="N366" s="1">
        <v>900</v>
      </c>
      <c r="O366" s="9"/>
      <c r="P366" s="7">
        <f t="shared" ca="1" si="82"/>
        <v>0.155</v>
      </c>
      <c r="Q366" s="7">
        <f t="shared" ca="1" si="88"/>
        <v>7.7499999999999999E-3</v>
      </c>
      <c r="R366" s="33">
        <f t="shared" ca="1" si="83"/>
        <v>4185</v>
      </c>
      <c r="S366" s="33">
        <f t="shared" ca="1" si="84"/>
        <v>-22815</v>
      </c>
      <c r="T366" s="33">
        <f t="shared" ca="1" si="89"/>
        <v>4185</v>
      </c>
      <c r="U366" s="7">
        <f t="shared" ca="1" si="85"/>
        <v>0.18343195266272189</v>
      </c>
      <c r="V366" s="7">
        <f t="shared" ca="1" si="86"/>
        <v>-0.83225998302266313</v>
      </c>
      <c r="W366" s="33">
        <f t="shared" ca="1" si="90"/>
        <v>-22815</v>
      </c>
      <c r="X366" s="7">
        <f t="shared" ca="1" si="91"/>
        <v>-1</v>
      </c>
      <c r="Y366" s="7">
        <f t="shared" ca="1" si="92"/>
        <v>-0.81656804733727806</v>
      </c>
      <c r="Z366" s="7">
        <f t="shared" ca="1" si="87"/>
        <v>-0.19534223974559081</v>
      </c>
      <c r="AA366" s="33">
        <f t="shared" ca="1" si="93"/>
        <v>-22815</v>
      </c>
      <c r="AB366" s="7">
        <f t="shared" ca="1" si="94"/>
        <v>-5.4516129032258061</v>
      </c>
      <c r="AC366" s="7">
        <f t="shared" ca="1" si="95"/>
        <v>-2.6340904752815422</v>
      </c>
    </row>
    <row r="367" spans="1:29" x14ac:dyDescent="0.25">
      <c r="A367" s="1">
        <v>364</v>
      </c>
      <c r="B367" s="25">
        <v>44007</v>
      </c>
      <c r="C367" s="10" t="s">
        <v>1674</v>
      </c>
      <c r="D367" s="1">
        <v>442.85</v>
      </c>
      <c r="E367" s="30">
        <v>900</v>
      </c>
      <c r="F367" s="1">
        <v>400</v>
      </c>
      <c r="G367" s="1">
        <v>8.15</v>
      </c>
      <c r="H367" s="1">
        <v>380</v>
      </c>
      <c r="I367" s="1">
        <v>4.6500000000000004</v>
      </c>
      <c r="J367" s="1">
        <v>96300</v>
      </c>
      <c r="K367" s="1">
        <v>1800</v>
      </c>
      <c r="L367" s="1">
        <v>4.5999999999999996</v>
      </c>
      <c r="M367" s="1">
        <v>4.6500000000000004</v>
      </c>
      <c r="N367" s="1">
        <v>2700</v>
      </c>
      <c r="O367" s="9"/>
      <c r="P367" s="7">
        <f t="shared" ca="1" si="82"/>
        <v>0.17499999999999999</v>
      </c>
      <c r="Q367" s="7">
        <f t="shared" ca="1" si="88"/>
        <v>8.7499999999999991E-3</v>
      </c>
      <c r="R367" s="33">
        <f t="shared" ca="1" si="83"/>
        <v>3150</v>
      </c>
      <c r="S367" s="33">
        <f t="shared" ca="1" si="84"/>
        <v>-14850</v>
      </c>
      <c r="T367" s="33">
        <f t="shared" ca="1" si="89"/>
        <v>3150</v>
      </c>
      <c r="U367" s="7">
        <f t="shared" ca="1" si="85"/>
        <v>0.21212121212121213</v>
      </c>
      <c r="V367" s="7">
        <f t="shared" ca="1" si="86"/>
        <v>-0.83225998302266313</v>
      </c>
      <c r="W367" s="33">
        <f t="shared" ca="1" si="90"/>
        <v>-14850</v>
      </c>
      <c r="X367" s="7">
        <f t="shared" ca="1" si="91"/>
        <v>-1</v>
      </c>
      <c r="Y367" s="7">
        <f t="shared" ca="1" si="92"/>
        <v>-0.78787878787878785</v>
      </c>
      <c r="Z367" s="7">
        <f t="shared" ca="1" si="87"/>
        <v>-0.19534223974559081</v>
      </c>
      <c r="AA367" s="33">
        <f t="shared" ca="1" si="93"/>
        <v>-14850</v>
      </c>
      <c r="AB367" s="7">
        <f t="shared" ca="1" si="94"/>
        <v>-4.7142857142857144</v>
      </c>
      <c r="AC367" s="7">
        <f t="shared" ca="1" si="95"/>
        <v>-2.2510822510822512</v>
      </c>
    </row>
    <row r="368" spans="1:29" x14ac:dyDescent="0.25">
      <c r="A368" s="1">
        <v>365</v>
      </c>
      <c r="B368" s="25">
        <v>44007</v>
      </c>
      <c r="C368" s="10" t="s">
        <v>1674</v>
      </c>
      <c r="D368" s="1">
        <v>442.85</v>
      </c>
      <c r="E368" s="30">
        <v>900</v>
      </c>
      <c r="F368" s="1">
        <v>400</v>
      </c>
      <c r="G368" s="1">
        <v>8.15</v>
      </c>
      <c r="H368" s="1">
        <v>390</v>
      </c>
      <c r="I368" s="1">
        <v>6.2</v>
      </c>
      <c r="J368" s="1">
        <v>48600</v>
      </c>
      <c r="K368" s="1">
        <v>900</v>
      </c>
      <c r="L368" s="1">
        <v>6.1</v>
      </c>
      <c r="M368" s="1">
        <v>6.2</v>
      </c>
      <c r="N368" s="1">
        <v>1800</v>
      </c>
      <c r="O368" s="9"/>
      <c r="P368" s="7">
        <f t="shared" ca="1" si="82"/>
        <v>0.19500000000000001</v>
      </c>
      <c r="Q368" s="7">
        <f t="shared" ca="1" si="88"/>
        <v>9.75E-3</v>
      </c>
      <c r="R368" s="33">
        <f t="shared" ca="1" si="83"/>
        <v>1755.0000000000002</v>
      </c>
      <c r="S368" s="33">
        <f t="shared" ca="1" si="84"/>
        <v>-7245</v>
      </c>
      <c r="T368" s="33">
        <f t="shared" ca="1" si="89"/>
        <v>1755.0000000000002</v>
      </c>
      <c r="U368" s="7">
        <f t="shared" ca="1" si="85"/>
        <v>0.24223602484472054</v>
      </c>
      <c r="V368" s="7">
        <f t="shared" ca="1" si="86"/>
        <v>-0.83225998302266313</v>
      </c>
      <c r="W368" s="33">
        <f t="shared" ca="1" si="90"/>
        <v>-7245</v>
      </c>
      <c r="X368" s="7">
        <f t="shared" ca="1" si="91"/>
        <v>-1</v>
      </c>
      <c r="Y368" s="7">
        <f t="shared" ca="1" si="92"/>
        <v>-0.75776397515527949</v>
      </c>
      <c r="Z368" s="7">
        <f t="shared" ca="1" si="87"/>
        <v>-0.19534223974559081</v>
      </c>
      <c r="AA368" s="33">
        <f t="shared" ca="1" si="93"/>
        <v>-7245</v>
      </c>
      <c r="AB368" s="7">
        <f t="shared" ca="1" si="94"/>
        <v>-4.1282051282051277</v>
      </c>
      <c r="AC368" s="7">
        <f t="shared" ca="1" si="95"/>
        <v>-1.9429845516802036</v>
      </c>
    </row>
    <row r="369" spans="1:29" x14ac:dyDescent="0.25">
      <c r="A369" s="1">
        <v>366</v>
      </c>
      <c r="B369" s="25">
        <v>44007</v>
      </c>
      <c r="C369" s="10" t="s">
        <v>0</v>
      </c>
      <c r="D369" s="1">
        <v>1778.75</v>
      </c>
      <c r="E369" s="30">
        <v>250</v>
      </c>
      <c r="F369" s="1">
        <v>1620</v>
      </c>
      <c r="G369" s="1">
        <v>23.8</v>
      </c>
      <c r="H369" s="1">
        <v>1450</v>
      </c>
      <c r="I369" s="1">
        <v>4.5</v>
      </c>
      <c r="J369" s="1">
        <v>75000</v>
      </c>
      <c r="K369" s="1">
        <v>250</v>
      </c>
      <c r="L369" s="1">
        <v>3.75</v>
      </c>
      <c r="M369" s="1">
        <v>4.8</v>
      </c>
      <c r="N369" s="1">
        <v>1000</v>
      </c>
      <c r="O369" s="9"/>
      <c r="P369" s="7">
        <f t="shared" ca="1" si="82"/>
        <v>0.11352941176470589</v>
      </c>
      <c r="Q369" s="7">
        <f t="shared" ca="1" si="88"/>
        <v>5.676470588235295E-3</v>
      </c>
      <c r="R369" s="33">
        <f t="shared" ca="1" si="83"/>
        <v>4825</v>
      </c>
      <c r="S369" s="33">
        <f t="shared" ca="1" si="84"/>
        <v>-37675</v>
      </c>
      <c r="T369" s="33">
        <f t="shared" ca="1" si="89"/>
        <v>4825</v>
      </c>
      <c r="U369" s="7">
        <f t="shared" ca="1" si="85"/>
        <v>0.12806901128069012</v>
      </c>
      <c r="V369" s="7">
        <f t="shared" ca="1" si="86"/>
        <v>-0.45381962124932601</v>
      </c>
      <c r="W369" s="33">
        <f t="shared" ca="1" si="90"/>
        <v>-37675</v>
      </c>
      <c r="X369" s="7">
        <f t="shared" ca="1" si="91"/>
        <v>-1</v>
      </c>
      <c r="Y369" s="7">
        <f t="shared" ca="1" si="92"/>
        <v>-0.87193098871930985</v>
      </c>
      <c r="Z369" s="7">
        <f t="shared" ca="1" si="87"/>
        <v>-8.6352434955312182E-2</v>
      </c>
      <c r="AA369" s="33">
        <f t="shared" ca="1" si="93"/>
        <v>4825</v>
      </c>
      <c r="AB369" s="7">
        <f t="shared" ca="1" si="94"/>
        <v>1</v>
      </c>
      <c r="AC369" s="7">
        <f t="shared" ca="1" si="95"/>
        <v>0.56403450564034507</v>
      </c>
    </row>
    <row r="370" spans="1:29" x14ac:dyDescent="0.25">
      <c r="A370" s="1">
        <v>367</v>
      </c>
      <c r="B370" s="25">
        <v>44007</v>
      </c>
      <c r="C370" s="10" t="s">
        <v>0</v>
      </c>
      <c r="D370" s="1">
        <v>1778.75</v>
      </c>
      <c r="E370" s="30">
        <v>250</v>
      </c>
      <c r="F370" s="1">
        <v>1620</v>
      </c>
      <c r="G370" s="1">
        <v>23.8</v>
      </c>
      <c r="H370" s="1">
        <v>1500</v>
      </c>
      <c r="I370" s="1">
        <v>7.55</v>
      </c>
      <c r="J370" s="1">
        <v>182500</v>
      </c>
      <c r="K370" s="1">
        <v>250</v>
      </c>
      <c r="L370" s="1">
        <v>7.55</v>
      </c>
      <c r="M370" s="1">
        <v>7.75</v>
      </c>
      <c r="N370" s="1">
        <v>500</v>
      </c>
      <c r="O370" s="9"/>
      <c r="P370" s="7">
        <f t="shared" ca="1" si="82"/>
        <v>0.13541666666666666</v>
      </c>
      <c r="Q370" s="7">
        <f t="shared" ca="1" si="88"/>
        <v>6.7708333333333327E-3</v>
      </c>
      <c r="R370" s="33">
        <f t="shared" ca="1" si="83"/>
        <v>4062.5</v>
      </c>
      <c r="S370" s="33">
        <f t="shared" ca="1" si="84"/>
        <v>-25937.5</v>
      </c>
      <c r="T370" s="33">
        <f t="shared" ca="1" si="89"/>
        <v>4062.5</v>
      </c>
      <c r="U370" s="7">
        <f t="shared" ca="1" si="85"/>
        <v>0.15662650602409639</v>
      </c>
      <c r="V370" s="7">
        <f t="shared" ca="1" si="86"/>
        <v>-0.45381962124932601</v>
      </c>
      <c r="W370" s="33">
        <f t="shared" ca="1" si="90"/>
        <v>-25937.5</v>
      </c>
      <c r="X370" s="7">
        <f t="shared" ca="1" si="91"/>
        <v>-1</v>
      </c>
      <c r="Y370" s="7">
        <f t="shared" ca="1" si="92"/>
        <v>-0.84337349397590367</v>
      </c>
      <c r="Z370" s="7">
        <f t="shared" ca="1" si="87"/>
        <v>-8.6352434955312182E-2</v>
      </c>
      <c r="AA370" s="33">
        <f t="shared" ca="1" si="93"/>
        <v>4062.5</v>
      </c>
      <c r="AB370" s="7">
        <f t="shared" ca="1" si="94"/>
        <v>1</v>
      </c>
      <c r="AC370" s="7">
        <f t="shared" ca="1" si="95"/>
        <v>0.57831325301204817</v>
      </c>
    </row>
    <row r="371" spans="1:29" x14ac:dyDescent="0.25">
      <c r="A371" s="1">
        <v>368</v>
      </c>
      <c r="B371" s="25">
        <v>44007</v>
      </c>
      <c r="C371" s="10" t="s">
        <v>0</v>
      </c>
      <c r="D371" s="1">
        <v>1778.75</v>
      </c>
      <c r="E371" s="30">
        <v>250</v>
      </c>
      <c r="F371" s="1">
        <v>1620</v>
      </c>
      <c r="G371" s="1">
        <v>23.8</v>
      </c>
      <c r="H371" s="1">
        <v>1550</v>
      </c>
      <c r="I371" s="1">
        <v>11.9</v>
      </c>
      <c r="J371" s="1">
        <v>82250</v>
      </c>
      <c r="K371" s="1">
        <v>250</v>
      </c>
      <c r="L371" s="1">
        <v>11.65</v>
      </c>
      <c r="M371" s="1">
        <v>12.15</v>
      </c>
      <c r="N371" s="1">
        <v>250</v>
      </c>
      <c r="O371" s="9"/>
      <c r="P371" s="7">
        <f t="shared" ca="1" si="82"/>
        <v>0.17</v>
      </c>
      <c r="Q371" s="7">
        <f t="shared" ca="1" si="88"/>
        <v>8.5000000000000006E-3</v>
      </c>
      <c r="R371" s="33">
        <f t="shared" ca="1" si="83"/>
        <v>2975</v>
      </c>
      <c r="S371" s="33">
        <f t="shared" ca="1" si="84"/>
        <v>-14525</v>
      </c>
      <c r="T371" s="33">
        <f t="shared" ca="1" si="89"/>
        <v>2975</v>
      </c>
      <c r="U371" s="7">
        <f t="shared" ca="1" si="85"/>
        <v>0.20481927710843373</v>
      </c>
      <c r="V371" s="7">
        <f t="shared" ca="1" si="86"/>
        <v>-0.45381962124932601</v>
      </c>
      <c r="W371" s="33">
        <f t="shared" ca="1" si="90"/>
        <v>-14525</v>
      </c>
      <c r="X371" s="7">
        <f t="shared" ca="1" si="91"/>
        <v>-1</v>
      </c>
      <c r="Y371" s="7">
        <f t="shared" ca="1" si="92"/>
        <v>-0.79518072289156627</v>
      </c>
      <c r="Z371" s="7">
        <f t="shared" ca="1" si="87"/>
        <v>-8.6352434955312182E-2</v>
      </c>
      <c r="AA371" s="33">
        <f t="shared" ca="1" si="93"/>
        <v>2975</v>
      </c>
      <c r="AB371" s="7">
        <f t="shared" ca="1" si="94"/>
        <v>1</v>
      </c>
      <c r="AC371" s="7">
        <f t="shared" ca="1" si="95"/>
        <v>0.60240963855421681</v>
      </c>
    </row>
    <row r="372" spans="1:29" x14ac:dyDescent="0.25">
      <c r="A372" s="1">
        <v>369</v>
      </c>
      <c r="B372" s="25">
        <v>44007</v>
      </c>
      <c r="C372" s="10" t="s">
        <v>0</v>
      </c>
      <c r="D372" s="1">
        <v>1778.75</v>
      </c>
      <c r="E372" s="30">
        <v>250</v>
      </c>
      <c r="F372" s="1">
        <v>1620</v>
      </c>
      <c r="G372" s="1">
        <v>23.8</v>
      </c>
      <c r="H372" s="1">
        <v>1600</v>
      </c>
      <c r="I372" s="1">
        <v>17.55</v>
      </c>
      <c r="J372" s="1">
        <v>215000</v>
      </c>
      <c r="K372" s="1">
        <v>500</v>
      </c>
      <c r="L372" s="1">
        <v>17.45</v>
      </c>
      <c r="M372" s="1">
        <v>17.95</v>
      </c>
      <c r="N372" s="1">
        <v>500</v>
      </c>
      <c r="O372" s="9"/>
      <c r="P372" s="7">
        <f t="shared" ca="1" si="82"/>
        <v>0.3125</v>
      </c>
      <c r="Q372" s="7">
        <f t="shared" ca="1" si="88"/>
        <v>1.5625E-2</v>
      </c>
      <c r="R372" s="33">
        <f t="shared" ca="1" si="83"/>
        <v>1562.5</v>
      </c>
      <c r="S372" s="33">
        <f t="shared" ca="1" si="84"/>
        <v>-3437.5</v>
      </c>
      <c r="T372" s="33">
        <f t="shared" ca="1" si="89"/>
        <v>1562.5</v>
      </c>
      <c r="U372" s="7">
        <f t="shared" ca="1" si="85"/>
        <v>0.45454545454545453</v>
      </c>
      <c r="V372" s="7">
        <f t="shared" ca="1" si="86"/>
        <v>-0.45381962124932601</v>
      </c>
      <c r="W372" s="33">
        <f t="shared" ca="1" si="90"/>
        <v>-3437.5</v>
      </c>
      <c r="X372" s="7">
        <f t="shared" ca="1" si="91"/>
        <v>-1</v>
      </c>
      <c r="Y372" s="7">
        <f t="shared" ca="1" si="92"/>
        <v>-0.54545454545454541</v>
      </c>
      <c r="Z372" s="7">
        <f t="shared" ca="1" si="87"/>
        <v>-8.6352434955312182E-2</v>
      </c>
      <c r="AA372" s="33">
        <f t="shared" ca="1" si="93"/>
        <v>1562.5</v>
      </c>
      <c r="AB372" s="7">
        <f t="shared" ca="1" si="94"/>
        <v>1</v>
      </c>
      <c r="AC372" s="7">
        <f t="shared" ca="1" si="95"/>
        <v>0.72727272727272729</v>
      </c>
    </row>
    <row r="373" spans="1:29" x14ac:dyDescent="0.25">
      <c r="A373" s="1">
        <v>370</v>
      </c>
      <c r="B373" s="25">
        <v>44007</v>
      </c>
      <c r="C373" s="10" t="s">
        <v>869</v>
      </c>
      <c r="D373" s="1">
        <v>1339.15</v>
      </c>
      <c r="E373" s="30">
        <v>400</v>
      </c>
      <c r="F373" s="1">
        <v>1260</v>
      </c>
      <c r="G373" s="1">
        <v>24.85</v>
      </c>
      <c r="H373" s="1">
        <v>1050</v>
      </c>
      <c r="I373" s="1">
        <v>2.8</v>
      </c>
      <c r="J373" s="1">
        <v>87200</v>
      </c>
      <c r="K373" s="1">
        <v>400</v>
      </c>
      <c r="L373" s="1">
        <v>2.65</v>
      </c>
      <c r="M373" s="1">
        <v>3.5</v>
      </c>
      <c r="N373" s="1">
        <v>400</v>
      </c>
      <c r="O373" s="9"/>
      <c r="P373" s="7">
        <f t="shared" ca="1" si="82"/>
        <v>0.10500000000000001</v>
      </c>
      <c r="Q373" s="7">
        <f t="shared" ca="1" si="88"/>
        <v>5.2500000000000003E-3</v>
      </c>
      <c r="R373" s="33">
        <f t="shared" ca="1" si="83"/>
        <v>8820</v>
      </c>
      <c r="S373" s="33">
        <f t="shared" ca="1" si="84"/>
        <v>-75180</v>
      </c>
      <c r="T373" s="33">
        <f t="shared" ca="1" si="89"/>
        <v>8820</v>
      </c>
      <c r="U373" s="7">
        <f t="shared" ca="1" si="85"/>
        <v>0.11731843575418995</v>
      </c>
      <c r="V373" s="7">
        <f t="shared" ca="1" si="86"/>
        <v>-0.4375570967596481</v>
      </c>
      <c r="W373" s="33">
        <f t="shared" ca="1" si="90"/>
        <v>-75180</v>
      </c>
      <c r="X373" s="7">
        <f t="shared" ca="1" si="91"/>
        <v>-1</v>
      </c>
      <c r="Y373" s="7">
        <f t="shared" ca="1" si="92"/>
        <v>-0.88268156424581001</v>
      </c>
      <c r="Z373" s="7">
        <f t="shared" ca="1" si="87"/>
        <v>-7.1671674172852043E-2</v>
      </c>
      <c r="AA373" s="33">
        <f t="shared" ca="1" si="93"/>
        <v>2088.3510125701105</v>
      </c>
      <c r="AB373" s="7">
        <f t="shared" ca="1" si="94"/>
        <v>0.23677449122110095</v>
      </c>
      <c r="AC373" s="7">
        <f t="shared" ca="1" si="95"/>
        <v>0.17704646348764544</v>
      </c>
    </row>
    <row r="374" spans="1:29" x14ac:dyDescent="0.25">
      <c r="A374" s="1">
        <v>371</v>
      </c>
      <c r="B374" s="25">
        <v>44007</v>
      </c>
      <c r="C374" s="10" t="s">
        <v>869</v>
      </c>
      <c r="D374" s="1">
        <v>1339.15</v>
      </c>
      <c r="E374" s="30">
        <v>400</v>
      </c>
      <c r="F374" s="1">
        <v>1260</v>
      </c>
      <c r="G374" s="1">
        <v>24.85</v>
      </c>
      <c r="H374" s="1">
        <v>1100</v>
      </c>
      <c r="I374" s="1">
        <v>4.5</v>
      </c>
      <c r="J374" s="1">
        <v>362400</v>
      </c>
      <c r="K374" s="1">
        <v>400</v>
      </c>
      <c r="L374" s="1">
        <v>4.55</v>
      </c>
      <c r="M374" s="1">
        <v>4.8</v>
      </c>
      <c r="N374" s="1">
        <v>800</v>
      </c>
      <c r="O374" s="9"/>
      <c r="P374" s="7">
        <f t="shared" ca="1" si="82"/>
        <v>0.12718750000000001</v>
      </c>
      <c r="Q374" s="7">
        <f t="shared" ca="1" si="88"/>
        <v>6.3593750000000004E-3</v>
      </c>
      <c r="R374" s="33">
        <f t="shared" ca="1" si="83"/>
        <v>8140.0000000000009</v>
      </c>
      <c r="S374" s="33">
        <f t="shared" ca="1" si="84"/>
        <v>-55860</v>
      </c>
      <c r="T374" s="33">
        <f t="shared" ca="1" si="89"/>
        <v>8140.0000000000009</v>
      </c>
      <c r="U374" s="7">
        <f t="shared" ca="1" si="85"/>
        <v>0.14572144647332619</v>
      </c>
      <c r="V374" s="7">
        <f t="shared" ca="1" si="86"/>
        <v>-0.4375570967596481</v>
      </c>
      <c r="W374" s="33">
        <f t="shared" ca="1" si="90"/>
        <v>-55860</v>
      </c>
      <c r="X374" s="7">
        <f t="shared" ca="1" si="91"/>
        <v>-1</v>
      </c>
      <c r="Y374" s="7">
        <f t="shared" ca="1" si="92"/>
        <v>-0.85427855352667381</v>
      </c>
      <c r="Z374" s="7">
        <f t="shared" ca="1" si="87"/>
        <v>-7.1671674172852043E-2</v>
      </c>
      <c r="AA374" s="33">
        <f t="shared" ca="1" si="93"/>
        <v>1408.3510125701114</v>
      </c>
      <c r="AB374" s="7">
        <f t="shared" ca="1" si="94"/>
        <v>0.17301609491033307</v>
      </c>
      <c r="AC374" s="7">
        <f t="shared" ca="1" si="95"/>
        <v>0.15936877069182964</v>
      </c>
    </row>
    <row r="375" spans="1:29" x14ac:dyDescent="0.25">
      <c r="A375" s="1">
        <v>372</v>
      </c>
      <c r="B375" s="25">
        <v>44007</v>
      </c>
      <c r="C375" s="10" t="s">
        <v>869</v>
      </c>
      <c r="D375" s="1">
        <v>1339.15</v>
      </c>
      <c r="E375" s="30">
        <v>400</v>
      </c>
      <c r="F375" s="1">
        <v>1260</v>
      </c>
      <c r="G375" s="1">
        <v>24.85</v>
      </c>
      <c r="H375" s="1">
        <v>1150</v>
      </c>
      <c r="I375" s="1">
        <v>6.85</v>
      </c>
      <c r="J375" s="1">
        <v>290800</v>
      </c>
      <c r="K375" s="1">
        <v>1200</v>
      </c>
      <c r="L375" s="1">
        <v>6.5</v>
      </c>
      <c r="M375" s="1">
        <v>7.35</v>
      </c>
      <c r="N375" s="1">
        <v>800</v>
      </c>
      <c r="O375" s="9"/>
      <c r="P375" s="7">
        <f t="shared" ca="1" si="82"/>
        <v>0.16363636363636364</v>
      </c>
      <c r="Q375" s="7">
        <f t="shared" ca="1" si="88"/>
        <v>8.1818181818181825E-3</v>
      </c>
      <c r="R375" s="33">
        <f t="shared" ca="1" si="83"/>
        <v>7200</v>
      </c>
      <c r="S375" s="33">
        <f t="shared" ca="1" si="84"/>
        <v>-36800</v>
      </c>
      <c r="T375" s="33">
        <f t="shared" ca="1" si="89"/>
        <v>7200</v>
      </c>
      <c r="U375" s="7">
        <f t="shared" ca="1" si="85"/>
        <v>0.19565217391304349</v>
      </c>
      <c r="V375" s="7">
        <f t="shared" ca="1" si="86"/>
        <v>-0.4375570967596481</v>
      </c>
      <c r="W375" s="33">
        <f t="shared" ca="1" si="90"/>
        <v>-36800</v>
      </c>
      <c r="X375" s="7">
        <f t="shared" ca="1" si="91"/>
        <v>-1</v>
      </c>
      <c r="Y375" s="7">
        <f t="shared" ca="1" si="92"/>
        <v>-0.80434782608695654</v>
      </c>
      <c r="Z375" s="7">
        <f t="shared" ca="1" si="87"/>
        <v>-7.1671674172852043E-2</v>
      </c>
      <c r="AA375" s="33">
        <f t="shared" ca="1" si="93"/>
        <v>468.35101257011047</v>
      </c>
      <c r="AB375" s="7">
        <f t="shared" ca="1" si="94"/>
        <v>6.5048751745848676E-2</v>
      </c>
      <c r="AC375" s="7">
        <f t="shared" ca="1" si="95"/>
        <v>0.13035046282944607</v>
      </c>
    </row>
    <row r="376" spans="1:29" x14ac:dyDescent="0.25">
      <c r="A376" s="1">
        <v>373</v>
      </c>
      <c r="B376" s="25">
        <v>44007</v>
      </c>
      <c r="C376" s="10" t="s">
        <v>869</v>
      </c>
      <c r="D376" s="1">
        <v>1339.15</v>
      </c>
      <c r="E376" s="30">
        <v>400</v>
      </c>
      <c r="F376" s="1">
        <v>1260</v>
      </c>
      <c r="G376" s="1">
        <v>24.85</v>
      </c>
      <c r="H376" s="1">
        <v>1160</v>
      </c>
      <c r="I376" s="1">
        <v>7.5</v>
      </c>
      <c r="J376" s="1">
        <v>31200</v>
      </c>
      <c r="K376" s="1">
        <v>2000</v>
      </c>
      <c r="L376" s="1">
        <v>7.25</v>
      </c>
      <c r="M376" s="1">
        <v>8.75</v>
      </c>
      <c r="N376" s="1">
        <v>2000</v>
      </c>
      <c r="O376" s="9"/>
      <c r="P376" s="7">
        <f t="shared" ca="1" si="82"/>
        <v>0.17350000000000002</v>
      </c>
      <c r="Q376" s="7">
        <f t="shared" ca="1" si="88"/>
        <v>8.6750000000000004E-3</v>
      </c>
      <c r="R376" s="33">
        <f t="shared" ca="1" si="83"/>
        <v>6940.0000000000009</v>
      </c>
      <c r="S376" s="33">
        <f t="shared" ca="1" si="84"/>
        <v>-33060</v>
      </c>
      <c r="T376" s="33">
        <f t="shared" ca="1" si="89"/>
        <v>6940.0000000000009</v>
      </c>
      <c r="U376" s="7">
        <f t="shared" ca="1" si="85"/>
        <v>0.20992135511191776</v>
      </c>
      <c r="V376" s="7">
        <f t="shared" ca="1" si="86"/>
        <v>-0.4375570967596481</v>
      </c>
      <c r="W376" s="33">
        <f t="shared" ca="1" si="90"/>
        <v>-33060</v>
      </c>
      <c r="X376" s="7">
        <f t="shared" ca="1" si="91"/>
        <v>-1</v>
      </c>
      <c r="Y376" s="7">
        <f t="shared" ca="1" si="92"/>
        <v>-0.79007864488808222</v>
      </c>
      <c r="Z376" s="7">
        <f t="shared" ca="1" si="87"/>
        <v>-7.1671674172852043E-2</v>
      </c>
      <c r="AA376" s="33">
        <f t="shared" ca="1" si="93"/>
        <v>208.35101257011138</v>
      </c>
      <c r="AB376" s="7">
        <f t="shared" ca="1" si="94"/>
        <v>3.0021759736327282E-2</v>
      </c>
      <c r="AC376" s="7">
        <f t="shared" ca="1" si="95"/>
        <v>0.11997155742412252</v>
      </c>
    </row>
    <row r="377" spans="1:29" x14ac:dyDescent="0.25">
      <c r="A377" s="1">
        <v>374</v>
      </c>
      <c r="B377" s="25">
        <v>44007</v>
      </c>
      <c r="C377" s="10" t="s">
        <v>869</v>
      </c>
      <c r="D377" s="1">
        <v>1339.15</v>
      </c>
      <c r="E377" s="30">
        <v>400</v>
      </c>
      <c r="F377" s="1">
        <v>1260</v>
      </c>
      <c r="G377" s="1">
        <v>24.85</v>
      </c>
      <c r="H377" s="1">
        <v>1180</v>
      </c>
      <c r="I377" s="1">
        <v>13.05</v>
      </c>
      <c r="J377" s="1">
        <v>41200</v>
      </c>
      <c r="K377" s="1">
        <v>2000</v>
      </c>
      <c r="L377" s="1">
        <v>9.0500000000000007</v>
      </c>
      <c r="M377" s="1">
        <v>12.75</v>
      </c>
      <c r="N377" s="1">
        <v>1600</v>
      </c>
      <c r="O377" s="9"/>
      <c r="P377" s="7">
        <f t="shared" ca="1" si="82"/>
        <v>0.14750000000000002</v>
      </c>
      <c r="Q377" s="7">
        <f t="shared" ca="1" si="88"/>
        <v>7.3750000000000013E-3</v>
      </c>
      <c r="R377" s="33">
        <f t="shared" ca="1" si="83"/>
        <v>4720</v>
      </c>
      <c r="S377" s="33">
        <f t="shared" ca="1" si="84"/>
        <v>-27280</v>
      </c>
      <c r="T377" s="33">
        <f t="shared" ca="1" si="89"/>
        <v>4720</v>
      </c>
      <c r="U377" s="7">
        <f t="shared" ca="1" si="85"/>
        <v>0.17302052785923755</v>
      </c>
      <c r="V377" s="7">
        <f t="shared" ca="1" si="86"/>
        <v>-0.4375570967596481</v>
      </c>
      <c r="W377" s="33">
        <f t="shared" ca="1" si="90"/>
        <v>-27280</v>
      </c>
      <c r="X377" s="7">
        <f t="shared" ca="1" si="91"/>
        <v>-1</v>
      </c>
      <c r="Y377" s="7">
        <f t="shared" ca="1" si="92"/>
        <v>-0.82697947214076239</v>
      </c>
      <c r="Z377" s="7">
        <f t="shared" ca="1" si="87"/>
        <v>-7.1671674172852043E-2</v>
      </c>
      <c r="AA377" s="33">
        <f t="shared" ca="1" si="93"/>
        <v>-2011.6489874298895</v>
      </c>
      <c r="AB377" s="7">
        <f t="shared" ca="1" si="94"/>
        <v>-0.42619681937073933</v>
      </c>
      <c r="AC377" s="7">
        <f t="shared" ca="1" si="95"/>
        <v>-0.12658814575575089</v>
      </c>
    </row>
    <row r="378" spans="1:29" x14ac:dyDescent="0.25">
      <c r="A378" s="1">
        <v>375</v>
      </c>
      <c r="B378" s="25">
        <v>44007</v>
      </c>
      <c r="C378" s="10" t="s">
        <v>869</v>
      </c>
      <c r="D378" s="1">
        <v>1339.15</v>
      </c>
      <c r="E378" s="30">
        <v>400</v>
      </c>
      <c r="F378" s="1">
        <v>1260</v>
      </c>
      <c r="G378" s="1">
        <v>24.85</v>
      </c>
      <c r="H378" s="1">
        <v>1200</v>
      </c>
      <c r="I378" s="1">
        <v>13.25</v>
      </c>
      <c r="J378" s="1">
        <v>377200</v>
      </c>
      <c r="K378" s="1">
        <v>1600</v>
      </c>
      <c r="L378" s="1">
        <v>12.9</v>
      </c>
      <c r="M378" s="1">
        <v>13.2</v>
      </c>
      <c r="N378" s="1">
        <v>1600</v>
      </c>
      <c r="O378" s="9"/>
      <c r="P378" s="7">
        <f t="shared" ca="1" si="82"/>
        <v>0.19333333333333336</v>
      </c>
      <c r="Q378" s="7">
        <f t="shared" ca="1" si="88"/>
        <v>9.6666666666666672E-3</v>
      </c>
      <c r="R378" s="33">
        <f t="shared" ca="1" si="83"/>
        <v>4640.0000000000009</v>
      </c>
      <c r="S378" s="33">
        <f t="shared" ca="1" si="84"/>
        <v>-19360</v>
      </c>
      <c r="T378" s="33">
        <f t="shared" ca="1" si="89"/>
        <v>4640.0000000000009</v>
      </c>
      <c r="U378" s="7">
        <f t="shared" ca="1" si="85"/>
        <v>0.23966942148760334</v>
      </c>
      <c r="V378" s="7">
        <f t="shared" ca="1" si="86"/>
        <v>-0.4375570967596481</v>
      </c>
      <c r="W378" s="33">
        <f t="shared" ca="1" si="90"/>
        <v>-19360</v>
      </c>
      <c r="X378" s="7">
        <f t="shared" ca="1" si="91"/>
        <v>-1</v>
      </c>
      <c r="Y378" s="7">
        <f t="shared" ca="1" si="92"/>
        <v>-0.7603305785123966</v>
      </c>
      <c r="Z378" s="7">
        <f t="shared" ca="1" si="87"/>
        <v>-7.1671674172852043E-2</v>
      </c>
      <c r="AA378" s="33">
        <f t="shared" ca="1" si="93"/>
        <v>-2091.6489874298886</v>
      </c>
      <c r="AB378" s="7">
        <f t="shared" ca="1" si="94"/>
        <v>-0.45078641970471728</v>
      </c>
      <c r="AC378" s="7">
        <f t="shared" ca="1" si="95"/>
        <v>-0.10555849910855697</v>
      </c>
    </row>
    <row r="379" spans="1:29" x14ac:dyDescent="0.25">
      <c r="A379" s="1">
        <v>376</v>
      </c>
      <c r="B379" s="25">
        <v>44007</v>
      </c>
      <c r="C379" s="10" t="s">
        <v>869</v>
      </c>
      <c r="D379" s="1">
        <v>1339.15</v>
      </c>
      <c r="E379" s="30">
        <v>400</v>
      </c>
      <c r="F379" s="1">
        <v>1260</v>
      </c>
      <c r="G379" s="1">
        <v>24.85</v>
      </c>
      <c r="H379" s="1">
        <v>1220</v>
      </c>
      <c r="I379" s="1">
        <v>18.649999999999999</v>
      </c>
      <c r="J379" s="1">
        <v>46400</v>
      </c>
      <c r="K379" s="1">
        <v>400</v>
      </c>
      <c r="L379" s="1">
        <v>15.65</v>
      </c>
      <c r="M379" s="1">
        <v>17.149999999999999</v>
      </c>
      <c r="N379" s="1">
        <v>400</v>
      </c>
      <c r="O379" s="9"/>
      <c r="P379" s="7">
        <f t="shared" ca="1" si="82"/>
        <v>0.15500000000000008</v>
      </c>
      <c r="Q379" s="7">
        <f t="shared" ca="1" si="88"/>
        <v>7.7500000000000043E-3</v>
      </c>
      <c r="R379" s="33">
        <f t="shared" ca="1" si="83"/>
        <v>2480.0000000000009</v>
      </c>
      <c r="S379" s="33">
        <f t="shared" ca="1" si="84"/>
        <v>-13520</v>
      </c>
      <c r="T379" s="33">
        <f t="shared" ca="1" si="89"/>
        <v>2480.0000000000009</v>
      </c>
      <c r="U379" s="7">
        <f t="shared" ca="1" si="85"/>
        <v>0.18343195266272197</v>
      </c>
      <c r="V379" s="7">
        <f t="shared" ca="1" si="86"/>
        <v>-0.4375570967596481</v>
      </c>
      <c r="W379" s="33">
        <f t="shared" ca="1" si="90"/>
        <v>-13520</v>
      </c>
      <c r="X379" s="7">
        <f t="shared" ca="1" si="91"/>
        <v>-1</v>
      </c>
      <c r="Y379" s="7">
        <f t="shared" ca="1" si="92"/>
        <v>-0.81656804733727806</v>
      </c>
      <c r="Z379" s="7">
        <f t="shared" ca="1" si="87"/>
        <v>-7.1671674172852043E-2</v>
      </c>
      <c r="AA379" s="33">
        <f t="shared" ca="1" si="93"/>
        <v>-4251.6489874298886</v>
      </c>
      <c r="AB379" s="7">
        <f t="shared" ca="1" si="94"/>
        <v>-1.7143745917055997</v>
      </c>
      <c r="AC379" s="7">
        <f t="shared" ca="1" si="95"/>
        <v>-0.76547131952143888</v>
      </c>
    </row>
    <row r="380" spans="1:29" x14ac:dyDescent="0.25">
      <c r="A380" s="1">
        <v>377</v>
      </c>
      <c r="B380" s="25">
        <v>44007</v>
      </c>
      <c r="C380" s="10" t="s">
        <v>869</v>
      </c>
      <c r="D380" s="1">
        <v>1339.15</v>
      </c>
      <c r="E380" s="30">
        <v>400</v>
      </c>
      <c r="F380" s="1">
        <v>1260</v>
      </c>
      <c r="G380" s="1">
        <v>24.85</v>
      </c>
      <c r="H380" s="1">
        <v>1240</v>
      </c>
      <c r="I380" s="1">
        <v>19.850000000000001</v>
      </c>
      <c r="J380" s="1">
        <v>164800</v>
      </c>
      <c r="K380" s="1">
        <v>400</v>
      </c>
      <c r="L380" s="1">
        <v>19.8</v>
      </c>
      <c r="M380" s="1">
        <v>20.350000000000001</v>
      </c>
      <c r="N380" s="1">
        <v>400</v>
      </c>
      <c r="O380" s="9"/>
      <c r="P380" s="7">
        <f t="shared" ca="1" si="82"/>
        <v>0.25</v>
      </c>
      <c r="Q380" s="7">
        <f t="shared" ca="1" si="88"/>
        <v>1.2500000000000001E-2</v>
      </c>
      <c r="R380" s="33">
        <f t="shared" ca="1" si="83"/>
        <v>2000</v>
      </c>
      <c r="S380" s="33">
        <f t="shared" ca="1" si="84"/>
        <v>-6000</v>
      </c>
      <c r="T380" s="33">
        <f t="shared" ca="1" si="89"/>
        <v>2000</v>
      </c>
      <c r="U380" s="7">
        <f t="shared" ca="1" si="85"/>
        <v>0.33333333333333331</v>
      </c>
      <c r="V380" s="7">
        <f t="shared" ca="1" si="86"/>
        <v>-0.4375570967596481</v>
      </c>
      <c r="W380" s="33">
        <f t="shared" ca="1" si="90"/>
        <v>-6000</v>
      </c>
      <c r="X380" s="7">
        <f t="shared" ca="1" si="91"/>
        <v>-1</v>
      </c>
      <c r="Y380" s="7">
        <f t="shared" ca="1" si="92"/>
        <v>-0.66666666666666674</v>
      </c>
      <c r="Z380" s="7">
        <f t="shared" ca="1" si="87"/>
        <v>-7.1671674172852043E-2</v>
      </c>
      <c r="AA380" s="33">
        <f t="shared" ca="1" si="93"/>
        <v>-4731.6489874298895</v>
      </c>
      <c r="AB380" s="7">
        <f t="shared" ca="1" si="94"/>
        <v>-2.3658244937149449</v>
      </c>
      <c r="AC380" s="7">
        <f t="shared" ca="1" si="95"/>
        <v>-1.0162455801908057</v>
      </c>
    </row>
    <row r="381" spans="1:29" x14ac:dyDescent="0.25">
      <c r="A381" s="1">
        <v>378</v>
      </c>
      <c r="B381" s="25">
        <v>44007</v>
      </c>
      <c r="C381" s="10" t="s">
        <v>869</v>
      </c>
      <c r="D381" s="1">
        <v>1339.15</v>
      </c>
      <c r="E381" s="30">
        <v>400</v>
      </c>
      <c r="F381" s="1">
        <v>1260</v>
      </c>
      <c r="G381" s="1">
        <v>24.85</v>
      </c>
      <c r="H381" s="1">
        <v>1250</v>
      </c>
      <c r="I381" s="1">
        <v>22.15</v>
      </c>
      <c r="J381" s="1">
        <v>185600</v>
      </c>
      <c r="K381" s="1">
        <v>400</v>
      </c>
      <c r="L381" s="1">
        <v>22.1</v>
      </c>
      <c r="M381" s="1">
        <v>22.35</v>
      </c>
      <c r="N381" s="1">
        <v>800</v>
      </c>
      <c r="O381" s="9"/>
      <c r="P381" s="7">
        <f t="shared" ca="1" si="82"/>
        <v>0.2700000000000003</v>
      </c>
      <c r="Q381" s="7">
        <f t="shared" ca="1" si="88"/>
        <v>1.3500000000000015E-2</v>
      </c>
      <c r="R381" s="33">
        <f t="shared" ca="1" si="83"/>
        <v>1080.0000000000011</v>
      </c>
      <c r="S381" s="33">
        <f t="shared" ca="1" si="84"/>
        <v>-2919.9999999999991</v>
      </c>
      <c r="T381" s="33">
        <f t="shared" ca="1" si="89"/>
        <v>1080.0000000000011</v>
      </c>
      <c r="U381" s="7">
        <f t="shared" ca="1" si="85"/>
        <v>0.36986301369863062</v>
      </c>
      <c r="V381" s="7">
        <f t="shared" ca="1" si="86"/>
        <v>-0.4375570967596481</v>
      </c>
      <c r="W381" s="33">
        <f t="shared" ca="1" si="90"/>
        <v>-2919.9999999999991</v>
      </c>
      <c r="X381" s="7">
        <f t="shared" ca="1" si="91"/>
        <v>-1</v>
      </c>
      <c r="Y381" s="7">
        <f t="shared" ca="1" si="92"/>
        <v>-0.63013698630136938</v>
      </c>
      <c r="Z381" s="7">
        <f t="shared" ca="1" si="87"/>
        <v>-7.1671674172852043E-2</v>
      </c>
      <c r="AA381" s="33">
        <f t="shared" ca="1" si="93"/>
        <v>-2919.9999999999991</v>
      </c>
      <c r="AB381" s="7">
        <f t="shared" ca="1" si="94"/>
        <v>-2.7037037037037002</v>
      </c>
      <c r="AC381" s="7">
        <f t="shared" ca="1" si="95"/>
        <v>-1.1669203450025347</v>
      </c>
    </row>
    <row r="382" spans="1:29" x14ac:dyDescent="0.25">
      <c r="A382" s="1">
        <v>379</v>
      </c>
      <c r="B382" s="25">
        <v>44007</v>
      </c>
      <c r="C382" s="10" t="s">
        <v>1285</v>
      </c>
      <c r="D382" s="1">
        <v>126.1</v>
      </c>
      <c r="E382" s="30">
        <v>1500</v>
      </c>
      <c r="F382" s="1">
        <v>120</v>
      </c>
      <c r="G382" s="1">
        <v>7.65</v>
      </c>
      <c r="H382" s="1">
        <v>80</v>
      </c>
      <c r="I382" s="1">
        <v>0.75</v>
      </c>
      <c r="J382" s="1">
        <v>58500</v>
      </c>
      <c r="K382" s="1">
        <v>1500</v>
      </c>
      <c r="L382" s="1">
        <v>0.6</v>
      </c>
      <c r="M382" s="1">
        <v>0.75</v>
      </c>
      <c r="N382" s="1">
        <v>3000</v>
      </c>
      <c r="O382" s="9"/>
      <c r="P382" s="7">
        <f t="shared" ca="1" si="82"/>
        <v>0.17250000000000001</v>
      </c>
      <c r="Q382" s="7">
        <f t="shared" ca="1" si="88"/>
        <v>8.6250000000000007E-3</v>
      </c>
      <c r="R382" s="33">
        <f t="shared" ca="1" si="83"/>
        <v>10350</v>
      </c>
      <c r="S382" s="33">
        <f t="shared" ca="1" si="84"/>
        <v>-49650</v>
      </c>
      <c r="T382" s="33">
        <f t="shared" ca="1" si="89"/>
        <v>10350</v>
      </c>
      <c r="U382" s="7">
        <f t="shared" ca="1" si="85"/>
        <v>0.20845921450151059</v>
      </c>
      <c r="V382" s="7">
        <f t="shared" ca="1" si="86"/>
        <v>-0.96801656001509229</v>
      </c>
      <c r="W382" s="33">
        <f t="shared" ca="1" si="90"/>
        <v>-49650</v>
      </c>
      <c r="X382" s="7">
        <f t="shared" ca="1" si="91"/>
        <v>-1</v>
      </c>
      <c r="Y382" s="7">
        <f t="shared" ca="1" si="92"/>
        <v>-0.79154078549848939</v>
      </c>
      <c r="Z382" s="7">
        <f t="shared" ca="1" si="87"/>
        <v>-0.29815829253637843</v>
      </c>
      <c r="AA382" s="33">
        <f t="shared" ca="1" si="93"/>
        <v>-36896.641033255975</v>
      </c>
      <c r="AB382" s="7">
        <f t="shared" ca="1" si="94"/>
        <v>-3.5648928534546838</v>
      </c>
      <c r="AC382" s="7">
        <f t="shared" ca="1" si="95"/>
        <v>-1.6782168194765865</v>
      </c>
    </row>
    <row r="383" spans="1:29" x14ac:dyDescent="0.25">
      <c r="A383" s="1">
        <v>380</v>
      </c>
      <c r="B383" s="25">
        <v>44007</v>
      </c>
      <c r="C383" s="10" t="s">
        <v>1285</v>
      </c>
      <c r="D383" s="1">
        <v>126.1</v>
      </c>
      <c r="E383" s="30">
        <v>1500</v>
      </c>
      <c r="F383" s="1">
        <v>120</v>
      </c>
      <c r="G383" s="1">
        <v>7.65</v>
      </c>
      <c r="H383" s="1">
        <v>90</v>
      </c>
      <c r="I383" s="1">
        <v>0.9</v>
      </c>
      <c r="J383" s="1">
        <v>127500</v>
      </c>
      <c r="K383" s="1">
        <v>1500</v>
      </c>
      <c r="L383" s="1">
        <v>0.8</v>
      </c>
      <c r="M383" s="1">
        <v>1.1000000000000001</v>
      </c>
      <c r="N383" s="1">
        <v>1500</v>
      </c>
      <c r="O383" s="9"/>
      <c r="P383" s="7">
        <f t="shared" ca="1" si="82"/>
        <v>0.22500000000000001</v>
      </c>
      <c r="Q383" s="7">
        <f t="shared" ca="1" si="88"/>
        <v>1.125E-2</v>
      </c>
      <c r="R383" s="33">
        <f t="shared" ca="1" si="83"/>
        <v>10125</v>
      </c>
      <c r="S383" s="33">
        <f t="shared" ca="1" si="84"/>
        <v>-34875</v>
      </c>
      <c r="T383" s="33">
        <f t="shared" ca="1" si="89"/>
        <v>10125</v>
      </c>
      <c r="U383" s="7">
        <f t="shared" ca="1" si="85"/>
        <v>0.29032258064516131</v>
      </c>
      <c r="V383" s="7">
        <f t="shared" ca="1" si="86"/>
        <v>-0.96801656001509229</v>
      </c>
      <c r="W383" s="33">
        <f t="shared" ca="1" si="90"/>
        <v>-34875</v>
      </c>
      <c r="X383" s="7">
        <f t="shared" ca="1" si="91"/>
        <v>-1</v>
      </c>
      <c r="Y383" s="7">
        <f t="shared" ca="1" si="92"/>
        <v>-0.70967741935483875</v>
      </c>
      <c r="Z383" s="7">
        <f t="shared" ca="1" si="87"/>
        <v>-0.29815829253637843</v>
      </c>
      <c r="AA383" s="33">
        <f t="shared" ca="1" si="93"/>
        <v>-34875</v>
      </c>
      <c r="AB383" s="7">
        <f t="shared" ca="1" si="94"/>
        <v>-3.4444444444444446</v>
      </c>
      <c r="AC383" s="7">
        <f t="shared" ca="1" si="95"/>
        <v>-1.5770609318996416</v>
      </c>
    </row>
    <row r="384" spans="1:29" x14ac:dyDescent="0.25">
      <c r="A384" s="1">
        <v>381</v>
      </c>
      <c r="B384" s="25">
        <v>44007</v>
      </c>
      <c r="C384" s="10" t="s">
        <v>1285</v>
      </c>
      <c r="D384" s="1">
        <v>126.1</v>
      </c>
      <c r="E384" s="30">
        <v>1500</v>
      </c>
      <c r="F384" s="1">
        <v>120</v>
      </c>
      <c r="G384" s="1">
        <v>7.65</v>
      </c>
      <c r="H384" s="1">
        <v>100</v>
      </c>
      <c r="I384" s="1">
        <v>1.95</v>
      </c>
      <c r="J384" s="1">
        <v>559500</v>
      </c>
      <c r="K384" s="1">
        <v>6000</v>
      </c>
      <c r="L384" s="1">
        <v>1.85</v>
      </c>
      <c r="M384" s="1">
        <v>1.95</v>
      </c>
      <c r="N384" s="1">
        <v>4500</v>
      </c>
      <c r="O384" s="9"/>
      <c r="P384" s="7">
        <f t="shared" ca="1" si="82"/>
        <v>0.28500000000000003</v>
      </c>
      <c r="Q384" s="7">
        <f t="shared" ca="1" si="88"/>
        <v>1.4250000000000002E-2</v>
      </c>
      <c r="R384" s="33">
        <f t="shared" ca="1" si="83"/>
        <v>8550</v>
      </c>
      <c r="S384" s="33">
        <f t="shared" ca="1" si="84"/>
        <v>-21450</v>
      </c>
      <c r="T384" s="33">
        <f t="shared" ca="1" si="89"/>
        <v>8550</v>
      </c>
      <c r="U384" s="7">
        <f t="shared" ca="1" si="85"/>
        <v>0.39860139860139859</v>
      </c>
      <c r="V384" s="7">
        <f t="shared" ca="1" si="86"/>
        <v>-0.96801656001509229</v>
      </c>
      <c r="W384" s="33">
        <f t="shared" ca="1" si="90"/>
        <v>-21450</v>
      </c>
      <c r="X384" s="7">
        <f t="shared" ca="1" si="91"/>
        <v>-1</v>
      </c>
      <c r="Y384" s="7">
        <f t="shared" ca="1" si="92"/>
        <v>-0.60139860139860146</v>
      </c>
      <c r="Z384" s="7">
        <f t="shared" ca="1" si="87"/>
        <v>-0.29815829253637843</v>
      </c>
      <c r="AA384" s="33">
        <f t="shared" ca="1" si="93"/>
        <v>-21450</v>
      </c>
      <c r="AB384" s="7">
        <f t="shared" ca="1" si="94"/>
        <v>-2.5087719298245612</v>
      </c>
      <c r="AC384" s="7">
        <f t="shared" ca="1" si="95"/>
        <v>-1.0550852656115812</v>
      </c>
    </row>
    <row r="385" spans="1:29" x14ac:dyDescent="0.25">
      <c r="A385" s="1">
        <v>382</v>
      </c>
      <c r="B385" s="25">
        <v>44007</v>
      </c>
      <c r="C385" s="10" t="s">
        <v>1285</v>
      </c>
      <c r="D385" s="1">
        <v>126.1</v>
      </c>
      <c r="E385" s="30">
        <v>1500</v>
      </c>
      <c r="F385" s="1">
        <v>120</v>
      </c>
      <c r="G385" s="1">
        <v>7.65</v>
      </c>
      <c r="H385" s="1">
        <v>105</v>
      </c>
      <c r="I385" s="1">
        <v>2.8</v>
      </c>
      <c r="J385" s="1">
        <v>84000</v>
      </c>
      <c r="K385" s="1">
        <v>1500</v>
      </c>
      <c r="L385" s="1">
        <v>2.7</v>
      </c>
      <c r="M385" s="1">
        <v>2.8</v>
      </c>
      <c r="N385" s="1">
        <v>6000</v>
      </c>
      <c r="O385" s="9"/>
      <c r="P385" s="7">
        <f t="shared" ca="1" si="82"/>
        <v>0.32333333333333336</v>
      </c>
      <c r="Q385" s="7">
        <f t="shared" ca="1" si="88"/>
        <v>1.6166666666666669E-2</v>
      </c>
      <c r="R385" s="33">
        <f t="shared" ca="1" si="83"/>
        <v>7275.0000000000009</v>
      </c>
      <c r="S385" s="33">
        <f t="shared" ca="1" si="84"/>
        <v>-15225</v>
      </c>
      <c r="T385" s="33">
        <f t="shared" ca="1" si="89"/>
        <v>7275.0000000000009</v>
      </c>
      <c r="U385" s="7">
        <f t="shared" ca="1" si="85"/>
        <v>0.47783251231527102</v>
      </c>
      <c r="V385" s="7">
        <f t="shared" ca="1" si="86"/>
        <v>-0.96801656001509229</v>
      </c>
      <c r="W385" s="33">
        <f t="shared" ca="1" si="90"/>
        <v>-15225</v>
      </c>
      <c r="X385" s="7">
        <f t="shared" ca="1" si="91"/>
        <v>-1</v>
      </c>
      <c r="Y385" s="7">
        <f t="shared" ca="1" si="92"/>
        <v>-0.52216748768472898</v>
      </c>
      <c r="Z385" s="7">
        <f t="shared" ca="1" si="87"/>
        <v>-0.29815829253637843</v>
      </c>
      <c r="AA385" s="33">
        <f t="shared" ca="1" si="93"/>
        <v>-15225</v>
      </c>
      <c r="AB385" s="7">
        <f t="shared" ca="1" si="94"/>
        <v>-2.0927835051546388</v>
      </c>
      <c r="AC385" s="7">
        <f t="shared" ca="1" si="95"/>
        <v>-0.80747549641968397</v>
      </c>
    </row>
    <row r="386" spans="1:29" x14ac:dyDescent="0.25">
      <c r="A386" s="1">
        <v>383</v>
      </c>
      <c r="B386" s="25">
        <v>44007</v>
      </c>
      <c r="C386" s="10" t="s">
        <v>1285</v>
      </c>
      <c r="D386" s="1">
        <v>126.1</v>
      </c>
      <c r="E386" s="30">
        <v>1500</v>
      </c>
      <c r="F386" s="1">
        <v>120</v>
      </c>
      <c r="G386" s="1">
        <v>7.65</v>
      </c>
      <c r="H386" s="1">
        <v>110</v>
      </c>
      <c r="I386" s="1">
        <v>3.9</v>
      </c>
      <c r="J386" s="1">
        <v>909000</v>
      </c>
      <c r="K386" s="1">
        <v>4500</v>
      </c>
      <c r="L386" s="1">
        <v>3.85</v>
      </c>
      <c r="M386" s="1">
        <v>3.95</v>
      </c>
      <c r="N386" s="1">
        <v>13500</v>
      </c>
      <c r="O386" s="9"/>
      <c r="P386" s="7">
        <f t="shared" ca="1" si="82"/>
        <v>0.37500000000000006</v>
      </c>
      <c r="Q386" s="7">
        <f t="shared" ca="1" si="88"/>
        <v>1.8750000000000003E-2</v>
      </c>
      <c r="R386" s="33">
        <f t="shared" ca="1" si="83"/>
        <v>5625.0000000000009</v>
      </c>
      <c r="S386" s="33">
        <f t="shared" ca="1" si="84"/>
        <v>-9375</v>
      </c>
      <c r="T386" s="33">
        <f t="shared" ca="1" si="89"/>
        <v>5625.0000000000009</v>
      </c>
      <c r="U386" s="7">
        <f t="shared" ca="1" si="85"/>
        <v>0.60000000000000009</v>
      </c>
      <c r="V386" s="7">
        <f t="shared" ca="1" si="86"/>
        <v>-0.96801656001509229</v>
      </c>
      <c r="W386" s="33">
        <f t="shared" ca="1" si="90"/>
        <v>-9375</v>
      </c>
      <c r="X386" s="7">
        <f t="shared" ca="1" si="91"/>
        <v>-1</v>
      </c>
      <c r="Y386" s="7">
        <f t="shared" ca="1" si="92"/>
        <v>-0.39999999999999991</v>
      </c>
      <c r="Z386" s="7">
        <f t="shared" ca="1" si="87"/>
        <v>-0.29815829253637843</v>
      </c>
      <c r="AA386" s="33">
        <f t="shared" ca="1" si="93"/>
        <v>-9375</v>
      </c>
      <c r="AB386" s="7">
        <f t="shared" ca="1" si="94"/>
        <v>-1.6666666666666663</v>
      </c>
      <c r="AC386" s="7">
        <f t="shared" ca="1" si="95"/>
        <v>-0.5333333333333331</v>
      </c>
    </row>
    <row r="387" spans="1:29" x14ac:dyDescent="0.25">
      <c r="A387" s="1">
        <v>384</v>
      </c>
      <c r="B387" s="25">
        <v>44007</v>
      </c>
      <c r="C387" s="10" t="s">
        <v>1285</v>
      </c>
      <c r="D387" s="1">
        <v>126.1</v>
      </c>
      <c r="E387" s="30">
        <v>1500</v>
      </c>
      <c r="F387" s="1">
        <v>120</v>
      </c>
      <c r="G387" s="1">
        <v>7.65</v>
      </c>
      <c r="H387" s="1">
        <v>115</v>
      </c>
      <c r="I387" s="1">
        <v>5.6</v>
      </c>
      <c r="J387" s="1">
        <v>121500</v>
      </c>
      <c r="K387" s="1">
        <v>9000</v>
      </c>
      <c r="L387" s="1">
        <v>5.55</v>
      </c>
      <c r="M387" s="1">
        <v>5.7</v>
      </c>
      <c r="N387" s="1">
        <v>6000</v>
      </c>
      <c r="O387" s="9"/>
      <c r="P387" s="7">
        <f t="shared" ca="1" si="82"/>
        <v>0.41000000000000014</v>
      </c>
      <c r="Q387" s="7">
        <f t="shared" ca="1" si="88"/>
        <v>2.0500000000000008E-2</v>
      </c>
      <c r="R387" s="33">
        <f t="shared" ca="1" si="83"/>
        <v>3075.0000000000009</v>
      </c>
      <c r="S387" s="33">
        <f t="shared" ca="1" si="84"/>
        <v>-4424.9999999999991</v>
      </c>
      <c r="T387" s="33">
        <f t="shared" ca="1" si="89"/>
        <v>3075.0000000000009</v>
      </c>
      <c r="U387" s="7">
        <f t="shared" ca="1" si="85"/>
        <v>0.6949152542372885</v>
      </c>
      <c r="V387" s="7">
        <f t="shared" ca="1" si="86"/>
        <v>-0.96801656001509229</v>
      </c>
      <c r="W387" s="33">
        <f t="shared" ca="1" si="90"/>
        <v>-4424.9999999999991</v>
      </c>
      <c r="X387" s="7">
        <f t="shared" ca="1" si="91"/>
        <v>-1</v>
      </c>
      <c r="Y387" s="7">
        <f t="shared" ca="1" si="92"/>
        <v>-0.3050847457627115</v>
      </c>
      <c r="Z387" s="7">
        <f t="shared" ca="1" si="87"/>
        <v>-0.29815829253637843</v>
      </c>
      <c r="AA387" s="33">
        <f t="shared" ca="1" si="93"/>
        <v>-4424.9999999999991</v>
      </c>
      <c r="AB387" s="7">
        <f t="shared" ca="1" si="94"/>
        <v>-1.4390243902439017</v>
      </c>
      <c r="AC387" s="7">
        <f t="shared" ca="1" si="95"/>
        <v>-0.37205456800330661</v>
      </c>
    </row>
    <row r="388" spans="1:29" x14ac:dyDescent="0.25">
      <c r="A388" s="1">
        <v>385</v>
      </c>
      <c r="B388" s="25">
        <v>44007</v>
      </c>
      <c r="C388" s="10" t="s">
        <v>103</v>
      </c>
      <c r="D388" s="1">
        <v>192.7</v>
      </c>
      <c r="E388" s="30">
        <v>2500</v>
      </c>
      <c r="F388" s="1">
        <v>175</v>
      </c>
      <c r="G388" s="1">
        <v>1.85</v>
      </c>
      <c r="H388" s="1">
        <v>160</v>
      </c>
      <c r="I388" s="1">
        <v>0.35</v>
      </c>
      <c r="J388" s="1">
        <v>62500</v>
      </c>
      <c r="K388" s="1">
        <v>7500</v>
      </c>
      <c r="L388" s="1">
        <v>0.35</v>
      </c>
      <c r="M388" s="1">
        <v>0.7</v>
      </c>
      <c r="N388" s="1">
        <v>2500</v>
      </c>
      <c r="O388" s="9"/>
      <c r="P388" s="7">
        <f t="shared" ref="P388:P428" ca="1" si="96">($G388-$I388)/($F388-$H388)</f>
        <v>0.1</v>
      </c>
      <c r="Q388" s="7">
        <f t="shared" ca="1" si="88"/>
        <v>5.0000000000000001E-3</v>
      </c>
      <c r="R388" s="33">
        <f t="shared" ref="R388:R428" ca="1" si="97">$E388*($G388-$I388)</f>
        <v>3750</v>
      </c>
      <c r="S388" s="33">
        <f t="shared" ref="S388:S428" ca="1" si="98">-(($F388-$H388)*$E388-$R388)</f>
        <v>-33750</v>
      </c>
      <c r="T388" s="33">
        <f t="shared" ca="1" si="89"/>
        <v>3750</v>
      </c>
      <c r="U388" s="7">
        <f t="shared" ref="U388:U428" ca="1" si="99">ABS($T388/$S388)</f>
        <v>0.1111111111111111</v>
      </c>
      <c r="V388" s="7">
        <f t="shared" ref="V388:V428" ca="1" si="100">mrigxl_max_drawdown($C388,INT($B388-TODAY()))</f>
        <v>-0.41145209552813111</v>
      </c>
      <c r="W388" s="33">
        <f t="shared" ca="1" si="90"/>
        <v>-33750</v>
      </c>
      <c r="X388" s="7">
        <f t="shared" ca="1" si="91"/>
        <v>-1</v>
      </c>
      <c r="Y388" s="7">
        <f t="shared" ca="1" si="92"/>
        <v>-0.88888888888888884</v>
      </c>
      <c r="Z388" s="7">
        <f t="shared" ref="Z388:Z428" ca="1" si="101">mrigxl_avg_drawdown($C388,INT($B388-TODAY()))</f>
        <v>-7.0891398018026575E-2</v>
      </c>
      <c r="AA388" s="33">
        <f t="shared" ca="1" si="93"/>
        <v>3750</v>
      </c>
      <c r="AB388" s="7">
        <f t="shared" ca="1" si="94"/>
        <v>1</v>
      </c>
      <c r="AC388" s="7">
        <f t="shared" ca="1" si="95"/>
        <v>0.55555555555555558</v>
      </c>
    </row>
    <row r="389" spans="1:29" x14ac:dyDescent="0.25">
      <c r="A389" s="1">
        <v>386</v>
      </c>
      <c r="B389" s="25">
        <v>44007</v>
      </c>
      <c r="C389" s="10" t="s">
        <v>103</v>
      </c>
      <c r="D389" s="1">
        <v>192.7</v>
      </c>
      <c r="E389" s="30">
        <v>2500</v>
      </c>
      <c r="F389" s="1">
        <v>175</v>
      </c>
      <c r="G389" s="1">
        <v>1.85</v>
      </c>
      <c r="H389" s="1">
        <v>170</v>
      </c>
      <c r="I389" s="1">
        <v>1.1000000000000001</v>
      </c>
      <c r="J389" s="1">
        <v>335000</v>
      </c>
      <c r="K389" s="1">
        <v>2500</v>
      </c>
      <c r="L389" s="1">
        <v>1.1000000000000001</v>
      </c>
      <c r="M389" s="1">
        <v>1.2</v>
      </c>
      <c r="N389" s="1">
        <v>2500</v>
      </c>
      <c r="O389" s="9"/>
      <c r="P389" s="7">
        <f t="shared" ca="1" si="96"/>
        <v>0.15</v>
      </c>
      <c r="Q389" s="7">
        <f t="shared" ca="1" si="88"/>
        <v>7.4999999999999997E-3</v>
      </c>
      <c r="R389" s="33">
        <f t="shared" ca="1" si="97"/>
        <v>1875</v>
      </c>
      <c r="S389" s="33">
        <f t="shared" ca="1" si="98"/>
        <v>-10625</v>
      </c>
      <c r="T389" s="33">
        <f t="shared" ca="1" si="89"/>
        <v>1875</v>
      </c>
      <c r="U389" s="7">
        <f t="shared" ca="1" si="99"/>
        <v>0.17647058823529413</v>
      </c>
      <c r="V389" s="7">
        <f t="shared" ca="1" si="100"/>
        <v>-0.41145209552813111</v>
      </c>
      <c r="W389" s="33">
        <f t="shared" ca="1" si="90"/>
        <v>-10625</v>
      </c>
      <c r="X389" s="7">
        <f t="shared" ca="1" si="91"/>
        <v>-1</v>
      </c>
      <c r="Y389" s="7">
        <f t="shared" ca="1" si="92"/>
        <v>-0.82352941176470584</v>
      </c>
      <c r="Z389" s="7">
        <f t="shared" ca="1" si="101"/>
        <v>-7.0891398018026575E-2</v>
      </c>
      <c r="AA389" s="33">
        <f t="shared" ca="1" si="93"/>
        <v>1875</v>
      </c>
      <c r="AB389" s="7">
        <f t="shared" ca="1" si="94"/>
        <v>1</v>
      </c>
      <c r="AC389" s="7">
        <f t="shared" ca="1" si="95"/>
        <v>0.58823529411764708</v>
      </c>
    </row>
    <row r="390" spans="1:29" x14ac:dyDescent="0.25">
      <c r="A390" s="1">
        <v>387</v>
      </c>
      <c r="B390" s="25">
        <v>44007</v>
      </c>
      <c r="C390" s="10" t="s">
        <v>1288</v>
      </c>
      <c r="D390" s="1">
        <v>100.65</v>
      </c>
      <c r="E390" s="30">
        <v>6000</v>
      </c>
      <c r="F390" s="1">
        <v>92.5</v>
      </c>
      <c r="G390" s="1">
        <v>1.9</v>
      </c>
      <c r="H390" s="1">
        <v>75</v>
      </c>
      <c r="I390" s="1">
        <v>0.1</v>
      </c>
      <c r="J390" s="1">
        <v>138000</v>
      </c>
      <c r="K390" s="1">
        <v>120000</v>
      </c>
      <c r="L390" s="1">
        <v>0.1</v>
      </c>
      <c r="M390" s="1">
        <v>0.15</v>
      </c>
      <c r="N390" s="1">
        <v>48000</v>
      </c>
      <c r="O390" s="9"/>
      <c r="P390" s="7">
        <f t="shared" ca="1" si="96"/>
        <v>0.10285714285714284</v>
      </c>
      <c r="Q390" s="7">
        <f t="shared" ca="1" si="88"/>
        <v>5.1428571428571417E-3</v>
      </c>
      <c r="R390" s="33">
        <f t="shared" ca="1" si="97"/>
        <v>10799.999999999998</v>
      </c>
      <c r="S390" s="33">
        <f t="shared" ca="1" si="98"/>
        <v>-94200</v>
      </c>
      <c r="T390" s="33">
        <f t="shared" ca="1" si="89"/>
        <v>10799.999999999998</v>
      </c>
      <c r="U390" s="7">
        <f t="shared" ca="1" si="99"/>
        <v>0.11464968152866239</v>
      </c>
      <c r="V390" s="7">
        <f t="shared" ca="1" si="100"/>
        <v>-0.54129588091340841</v>
      </c>
      <c r="W390" s="33">
        <f t="shared" ca="1" si="90"/>
        <v>-94200</v>
      </c>
      <c r="X390" s="7">
        <f t="shared" ca="1" si="91"/>
        <v>-1</v>
      </c>
      <c r="Y390" s="7">
        <f t="shared" ca="1" si="92"/>
        <v>-0.88535031847133761</v>
      </c>
      <c r="Z390" s="7">
        <f t="shared" ca="1" si="101"/>
        <v>-0.12891301163068083</v>
      </c>
      <c r="AA390" s="33">
        <f t="shared" ca="1" si="93"/>
        <v>-18150.56772376813</v>
      </c>
      <c r="AB390" s="7">
        <f t="shared" ca="1" si="94"/>
        <v>-1.6806081225711234</v>
      </c>
      <c r="AC390" s="7">
        <f t="shared" ca="1" si="95"/>
        <v>-0.78297922052123048</v>
      </c>
    </row>
    <row r="391" spans="1:29" x14ac:dyDescent="0.25">
      <c r="A391" s="1">
        <v>388</v>
      </c>
      <c r="B391" s="25">
        <v>44007</v>
      </c>
      <c r="C391" s="10" t="s">
        <v>1288</v>
      </c>
      <c r="D391" s="1">
        <v>100.65</v>
      </c>
      <c r="E391" s="30">
        <v>6000</v>
      </c>
      <c r="F391" s="1">
        <v>92.5</v>
      </c>
      <c r="G391" s="1">
        <v>1.9</v>
      </c>
      <c r="H391" s="1">
        <v>80</v>
      </c>
      <c r="I391" s="1">
        <v>0.25</v>
      </c>
      <c r="J391" s="1">
        <v>420000</v>
      </c>
      <c r="K391" s="1">
        <v>180000</v>
      </c>
      <c r="L391" s="1">
        <v>0.25</v>
      </c>
      <c r="M391" s="1">
        <v>0.3</v>
      </c>
      <c r="N391" s="1">
        <v>24000</v>
      </c>
      <c r="O391" s="9"/>
      <c r="P391" s="7">
        <f t="shared" ca="1" si="96"/>
        <v>0.13200000000000001</v>
      </c>
      <c r="Q391" s="7">
        <f t="shared" ca="1" si="88"/>
        <v>6.6E-3</v>
      </c>
      <c r="R391" s="33">
        <f t="shared" ca="1" si="97"/>
        <v>9900</v>
      </c>
      <c r="S391" s="33">
        <f t="shared" ca="1" si="98"/>
        <v>-65100</v>
      </c>
      <c r="T391" s="33">
        <f t="shared" ca="1" si="89"/>
        <v>9900</v>
      </c>
      <c r="U391" s="7">
        <f t="shared" ca="1" si="99"/>
        <v>0.15207373271889402</v>
      </c>
      <c r="V391" s="7">
        <f t="shared" ca="1" si="100"/>
        <v>-0.54129588091340841</v>
      </c>
      <c r="W391" s="33">
        <f t="shared" ca="1" si="90"/>
        <v>-65100</v>
      </c>
      <c r="X391" s="7">
        <f t="shared" ca="1" si="91"/>
        <v>-1</v>
      </c>
      <c r="Y391" s="7">
        <f t="shared" ca="1" si="92"/>
        <v>-0.84792626728110598</v>
      </c>
      <c r="Z391" s="7">
        <f t="shared" ca="1" si="101"/>
        <v>-0.12891301163068083</v>
      </c>
      <c r="AA391" s="33">
        <f t="shared" ca="1" si="93"/>
        <v>-19050.56772376813</v>
      </c>
      <c r="AB391" s="7">
        <f t="shared" ca="1" si="94"/>
        <v>-1.924299770077589</v>
      </c>
      <c r="AC391" s="7">
        <f t="shared" ca="1" si="95"/>
        <v>-0.88611301867934755</v>
      </c>
    </row>
    <row r="392" spans="1:29" x14ac:dyDescent="0.25">
      <c r="A392" s="1">
        <v>389</v>
      </c>
      <c r="B392" s="25">
        <v>44007</v>
      </c>
      <c r="C392" s="10" t="s">
        <v>1288</v>
      </c>
      <c r="D392" s="1">
        <v>100.65</v>
      </c>
      <c r="E392" s="30">
        <v>6000</v>
      </c>
      <c r="F392" s="1">
        <v>92.5</v>
      </c>
      <c r="G392" s="1">
        <v>1.9</v>
      </c>
      <c r="H392" s="1">
        <v>82.5</v>
      </c>
      <c r="I392" s="1">
        <v>0.4</v>
      </c>
      <c r="J392" s="1">
        <v>96000</v>
      </c>
      <c r="K392" s="1">
        <v>12000</v>
      </c>
      <c r="L392" s="1">
        <v>0.35</v>
      </c>
      <c r="M392" s="1">
        <v>0.45</v>
      </c>
      <c r="N392" s="1">
        <v>6000</v>
      </c>
      <c r="O392" s="9"/>
      <c r="P392" s="7">
        <f t="shared" ca="1" si="96"/>
        <v>0.15</v>
      </c>
      <c r="Q392" s="7">
        <f t="shared" ca="1" si="88"/>
        <v>7.4999999999999997E-3</v>
      </c>
      <c r="R392" s="33">
        <f t="shared" ca="1" si="97"/>
        <v>9000</v>
      </c>
      <c r="S392" s="33">
        <f t="shared" ca="1" si="98"/>
        <v>-51000</v>
      </c>
      <c r="T392" s="33">
        <f t="shared" ca="1" si="89"/>
        <v>9000</v>
      </c>
      <c r="U392" s="7">
        <f t="shared" ca="1" si="99"/>
        <v>0.17647058823529413</v>
      </c>
      <c r="V392" s="7">
        <f t="shared" ca="1" si="100"/>
        <v>-0.54129588091340841</v>
      </c>
      <c r="W392" s="33">
        <f t="shared" ca="1" si="90"/>
        <v>-51000</v>
      </c>
      <c r="X392" s="7">
        <f t="shared" ca="1" si="91"/>
        <v>-1</v>
      </c>
      <c r="Y392" s="7">
        <f t="shared" ca="1" si="92"/>
        <v>-0.82352941176470584</v>
      </c>
      <c r="Z392" s="7">
        <f t="shared" ca="1" si="101"/>
        <v>-0.12891301163068083</v>
      </c>
      <c r="AA392" s="33">
        <f t="shared" ca="1" si="93"/>
        <v>-19950.56772376813</v>
      </c>
      <c r="AB392" s="7">
        <f t="shared" ca="1" si="94"/>
        <v>-2.2167297470853478</v>
      </c>
      <c r="AC392" s="7">
        <f t="shared" ca="1" si="95"/>
        <v>-1.0201295794250269</v>
      </c>
    </row>
    <row r="393" spans="1:29" x14ac:dyDescent="0.25">
      <c r="A393" s="1">
        <v>390</v>
      </c>
      <c r="B393" s="25">
        <v>44007</v>
      </c>
      <c r="C393" s="10" t="s">
        <v>1288</v>
      </c>
      <c r="D393" s="1">
        <v>100.65</v>
      </c>
      <c r="E393" s="30">
        <v>6000</v>
      </c>
      <c r="F393" s="1">
        <v>92.5</v>
      </c>
      <c r="G393" s="1">
        <v>1.9</v>
      </c>
      <c r="H393" s="1">
        <v>85</v>
      </c>
      <c r="I393" s="1">
        <v>0.6</v>
      </c>
      <c r="J393" s="1">
        <v>504000</v>
      </c>
      <c r="K393" s="1">
        <v>18000</v>
      </c>
      <c r="L393" s="1">
        <v>0.65</v>
      </c>
      <c r="M393" s="1">
        <v>0.7</v>
      </c>
      <c r="N393" s="1">
        <v>18000</v>
      </c>
      <c r="O393" s="9"/>
      <c r="P393" s="7">
        <f t="shared" ca="1" si="96"/>
        <v>0.17333333333333331</v>
      </c>
      <c r="Q393" s="7">
        <f t="shared" ca="1" si="88"/>
        <v>8.6666666666666663E-3</v>
      </c>
      <c r="R393" s="33">
        <f t="shared" ca="1" si="97"/>
        <v>7799.9999999999991</v>
      </c>
      <c r="S393" s="33">
        <f t="shared" ca="1" si="98"/>
        <v>-37200</v>
      </c>
      <c r="T393" s="33">
        <f t="shared" ca="1" si="89"/>
        <v>7799.9999999999991</v>
      </c>
      <c r="U393" s="7">
        <f t="shared" ca="1" si="99"/>
        <v>0.20967741935483869</v>
      </c>
      <c r="V393" s="7">
        <f t="shared" ca="1" si="100"/>
        <v>-0.54129588091340841</v>
      </c>
      <c r="W393" s="33">
        <f t="shared" ca="1" si="90"/>
        <v>-37200</v>
      </c>
      <c r="X393" s="7">
        <f t="shared" ca="1" si="91"/>
        <v>-1</v>
      </c>
      <c r="Y393" s="7">
        <f t="shared" ca="1" si="92"/>
        <v>-0.79032258064516125</v>
      </c>
      <c r="Z393" s="7">
        <f t="shared" ca="1" si="101"/>
        <v>-0.12891301163068083</v>
      </c>
      <c r="AA393" s="33">
        <f t="shared" ca="1" si="93"/>
        <v>-21150.56772376813</v>
      </c>
      <c r="AB393" s="7">
        <f t="shared" ca="1" si="94"/>
        <v>-2.7116112466369402</v>
      </c>
      <c r="AC393" s="7">
        <f t="shared" ca="1" si="95"/>
        <v>-1.2509669136410508</v>
      </c>
    </row>
    <row r="394" spans="1:29" x14ac:dyDescent="0.25">
      <c r="A394" s="1">
        <v>391</v>
      </c>
      <c r="B394" s="25">
        <v>44007</v>
      </c>
      <c r="C394" s="10" t="s">
        <v>1288</v>
      </c>
      <c r="D394" s="1">
        <v>100.65</v>
      </c>
      <c r="E394" s="30">
        <v>6000</v>
      </c>
      <c r="F394" s="1">
        <v>92.5</v>
      </c>
      <c r="G394" s="1">
        <v>1.9</v>
      </c>
      <c r="H394" s="1">
        <v>87.5</v>
      </c>
      <c r="I394" s="1">
        <v>0.9</v>
      </c>
      <c r="J394" s="1">
        <v>132000</v>
      </c>
      <c r="K394" s="1">
        <v>6000</v>
      </c>
      <c r="L394" s="1">
        <v>0.9</v>
      </c>
      <c r="M394" s="1">
        <v>1</v>
      </c>
      <c r="N394" s="1">
        <v>12000</v>
      </c>
      <c r="O394" s="9"/>
      <c r="P394" s="7">
        <f t="shared" ca="1" si="96"/>
        <v>0.19999999999999998</v>
      </c>
      <c r="Q394" s="7">
        <f t="shared" ca="1" si="88"/>
        <v>9.9999999999999985E-3</v>
      </c>
      <c r="R394" s="33">
        <f t="shared" ca="1" si="97"/>
        <v>5999.9999999999991</v>
      </c>
      <c r="S394" s="33">
        <f t="shared" ca="1" si="98"/>
        <v>-24000</v>
      </c>
      <c r="T394" s="33">
        <f t="shared" ca="1" si="89"/>
        <v>5999.9999999999991</v>
      </c>
      <c r="U394" s="7">
        <f t="shared" ca="1" si="99"/>
        <v>0.24999999999999997</v>
      </c>
      <c r="V394" s="7">
        <f t="shared" ca="1" si="100"/>
        <v>-0.54129588091340841</v>
      </c>
      <c r="W394" s="33">
        <f t="shared" ca="1" si="90"/>
        <v>-24000</v>
      </c>
      <c r="X394" s="7">
        <f t="shared" ca="1" si="91"/>
        <v>-1</v>
      </c>
      <c r="Y394" s="7">
        <f t="shared" ca="1" si="92"/>
        <v>-0.75</v>
      </c>
      <c r="Z394" s="7">
        <f t="shared" ca="1" si="101"/>
        <v>-0.12891301163068083</v>
      </c>
      <c r="AA394" s="33">
        <f t="shared" ca="1" si="93"/>
        <v>-22950.56772376813</v>
      </c>
      <c r="AB394" s="7">
        <f t="shared" ca="1" si="94"/>
        <v>-3.8250946206280223</v>
      </c>
      <c r="AC394" s="7">
        <f t="shared" ca="1" si="95"/>
        <v>-1.7875473103140112</v>
      </c>
    </row>
    <row r="395" spans="1:29" x14ac:dyDescent="0.25">
      <c r="A395" s="1">
        <v>392</v>
      </c>
      <c r="B395" s="25">
        <v>44007</v>
      </c>
      <c r="C395" s="10" t="s">
        <v>1288</v>
      </c>
      <c r="D395" s="1">
        <v>100.65</v>
      </c>
      <c r="E395" s="30">
        <v>6000</v>
      </c>
      <c r="F395" s="1">
        <v>92.5</v>
      </c>
      <c r="G395" s="1">
        <v>1.9</v>
      </c>
      <c r="H395" s="1">
        <v>90</v>
      </c>
      <c r="I395" s="1">
        <v>1.35</v>
      </c>
      <c r="J395" s="1">
        <v>534000</v>
      </c>
      <c r="K395" s="1">
        <v>18000</v>
      </c>
      <c r="L395" s="1">
        <v>1.3</v>
      </c>
      <c r="M395" s="1">
        <v>1.4</v>
      </c>
      <c r="N395" s="1">
        <v>6000</v>
      </c>
      <c r="O395" s="9"/>
      <c r="P395" s="7">
        <f t="shared" ca="1" si="96"/>
        <v>0.21999999999999992</v>
      </c>
      <c r="Q395" s="7">
        <f t="shared" ca="1" si="88"/>
        <v>1.0999999999999996E-2</v>
      </c>
      <c r="R395" s="33">
        <f t="shared" ca="1" si="97"/>
        <v>3299.9999999999991</v>
      </c>
      <c r="S395" s="33">
        <f t="shared" ca="1" si="98"/>
        <v>-11700</v>
      </c>
      <c r="T395" s="33">
        <f t="shared" ca="1" si="89"/>
        <v>3299.9999999999991</v>
      </c>
      <c r="U395" s="7">
        <f t="shared" ca="1" si="99"/>
        <v>0.28205128205128199</v>
      </c>
      <c r="V395" s="7">
        <f t="shared" ca="1" si="100"/>
        <v>-0.54129588091340841</v>
      </c>
      <c r="W395" s="33">
        <f t="shared" ca="1" si="90"/>
        <v>-11700</v>
      </c>
      <c r="X395" s="7">
        <f t="shared" ca="1" si="91"/>
        <v>-1</v>
      </c>
      <c r="Y395" s="7">
        <f t="shared" ca="1" si="92"/>
        <v>-0.71794871794871806</v>
      </c>
      <c r="Z395" s="7">
        <f t="shared" ca="1" si="101"/>
        <v>-0.12891301163068083</v>
      </c>
      <c r="AA395" s="33">
        <f t="shared" ca="1" si="93"/>
        <v>-11700</v>
      </c>
      <c r="AB395" s="7">
        <f t="shared" ca="1" si="94"/>
        <v>-3.5454545454545463</v>
      </c>
      <c r="AC395" s="7">
        <f t="shared" ca="1" si="95"/>
        <v>-1.6317016317016322</v>
      </c>
    </row>
    <row r="396" spans="1:29" x14ac:dyDescent="0.25">
      <c r="A396" s="1">
        <v>393</v>
      </c>
      <c r="B396" s="25">
        <v>44007</v>
      </c>
      <c r="C396" s="10" t="s">
        <v>23</v>
      </c>
      <c r="D396" s="1">
        <v>582</v>
      </c>
      <c r="E396" s="30">
        <v>1200</v>
      </c>
      <c r="F396" s="1">
        <v>530</v>
      </c>
      <c r="G396" s="1">
        <v>6</v>
      </c>
      <c r="H396" s="1">
        <v>500</v>
      </c>
      <c r="I396" s="1">
        <v>2.5</v>
      </c>
      <c r="J396" s="1">
        <v>104400</v>
      </c>
      <c r="K396" s="1">
        <v>1200</v>
      </c>
      <c r="L396" s="1">
        <v>2.4</v>
      </c>
      <c r="M396" s="1">
        <v>2.75</v>
      </c>
      <c r="N396" s="1">
        <v>1200</v>
      </c>
      <c r="O396" s="9"/>
      <c r="P396" s="7">
        <f t="shared" ca="1" si="96"/>
        <v>0.11666666666666667</v>
      </c>
      <c r="Q396" s="7">
        <f t="shared" ca="1" si="88"/>
        <v>5.8333333333333336E-3</v>
      </c>
      <c r="R396" s="33">
        <f t="shared" ca="1" si="97"/>
        <v>4200</v>
      </c>
      <c r="S396" s="33">
        <f t="shared" ca="1" si="98"/>
        <v>-31800</v>
      </c>
      <c r="T396" s="33">
        <f t="shared" ca="1" si="89"/>
        <v>4200</v>
      </c>
      <c r="U396" s="7">
        <f t="shared" ca="1" si="99"/>
        <v>0.13207547169811321</v>
      </c>
      <c r="V396" s="7">
        <f t="shared" ca="1" si="100"/>
        <v>-0.54579803044316511</v>
      </c>
      <c r="W396" s="33">
        <f t="shared" ca="1" si="90"/>
        <v>-31800</v>
      </c>
      <c r="X396" s="7">
        <f t="shared" ca="1" si="91"/>
        <v>-1</v>
      </c>
      <c r="Y396" s="7">
        <f t="shared" ca="1" si="92"/>
        <v>-0.86792452830188682</v>
      </c>
      <c r="Z396" s="7">
        <f t="shared" ca="1" si="101"/>
        <v>-0.11689197749046315</v>
      </c>
      <c r="AA396" s="33">
        <f t="shared" ca="1" si="93"/>
        <v>-15037.357079339425</v>
      </c>
      <c r="AB396" s="7">
        <f t="shared" ca="1" si="94"/>
        <v>-3.5803231141284346</v>
      </c>
      <c r="AC396" s="7">
        <f t="shared" ca="1" si="95"/>
        <v>-1.7241238212151606</v>
      </c>
    </row>
    <row r="397" spans="1:29" x14ac:dyDescent="0.25">
      <c r="A397" s="1">
        <v>394</v>
      </c>
      <c r="B397" s="25">
        <v>44007</v>
      </c>
      <c r="C397" s="10" t="s">
        <v>23</v>
      </c>
      <c r="D397" s="1">
        <v>582</v>
      </c>
      <c r="E397" s="30">
        <v>1200</v>
      </c>
      <c r="F397" s="1">
        <v>530</v>
      </c>
      <c r="G397" s="1">
        <v>6</v>
      </c>
      <c r="H397" s="1">
        <v>520</v>
      </c>
      <c r="I397" s="1">
        <v>4.45</v>
      </c>
      <c r="J397" s="1">
        <v>224400</v>
      </c>
      <c r="K397" s="1">
        <v>1200</v>
      </c>
      <c r="L397" s="1">
        <v>4.45</v>
      </c>
      <c r="M397" s="1">
        <v>4.9000000000000004</v>
      </c>
      <c r="N397" s="1">
        <v>3600</v>
      </c>
      <c r="O397" s="9"/>
      <c r="P397" s="7">
        <f t="shared" ca="1" si="96"/>
        <v>0.15499999999999997</v>
      </c>
      <c r="Q397" s="7">
        <f t="shared" ca="1" si="88"/>
        <v>7.7499999999999982E-3</v>
      </c>
      <c r="R397" s="33">
        <f t="shared" ca="1" si="97"/>
        <v>1859.9999999999998</v>
      </c>
      <c r="S397" s="33">
        <f t="shared" ca="1" si="98"/>
        <v>-10140</v>
      </c>
      <c r="T397" s="33">
        <f t="shared" ca="1" si="89"/>
        <v>1859.9999999999998</v>
      </c>
      <c r="U397" s="7">
        <f t="shared" ca="1" si="99"/>
        <v>0.18343195266272186</v>
      </c>
      <c r="V397" s="7">
        <f t="shared" ca="1" si="100"/>
        <v>-0.54579803044316511</v>
      </c>
      <c r="W397" s="33">
        <f t="shared" ca="1" si="90"/>
        <v>-10140</v>
      </c>
      <c r="X397" s="7">
        <f t="shared" ca="1" si="91"/>
        <v>-1</v>
      </c>
      <c r="Y397" s="7">
        <f t="shared" ca="1" si="92"/>
        <v>-0.81656804733727817</v>
      </c>
      <c r="Z397" s="7">
        <f t="shared" ca="1" si="101"/>
        <v>-0.11689197749046315</v>
      </c>
      <c r="AA397" s="33">
        <f t="shared" ca="1" si="93"/>
        <v>-10140</v>
      </c>
      <c r="AB397" s="7">
        <f t="shared" ca="1" si="94"/>
        <v>-5.4516129032258069</v>
      </c>
      <c r="AC397" s="7">
        <f t="shared" ca="1" si="95"/>
        <v>-2.6340904752815426</v>
      </c>
    </row>
    <row r="398" spans="1:29" x14ac:dyDescent="0.25">
      <c r="A398" s="1">
        <v>395</v>
      </c>
      <c r="B398" s="25">
        <v>44007</v>
      </c>
      <c r="C398" s="10" t="s">
        <v>815</v>
      </c>
      <c r="D398" s="1">
        <v>410.95</v>
      </c>
      <c r="E398" s="30">
        <v>1400</v>
      </c>
      <c r="F398" s="1">
        <v>370</v>
      </c>
      <c r="G398" s="1">
        <v>9</v>
      </c>
      <c r="H398" s="1">
        <v>300</v>
      </c>
      <c r="I398" s="1">
        <v>0.65</v>
      </c>
      <c r="J398" s="1">
        <v>78400</v>
      </c>
      <c r="K398" s="1">
        <v>1400</v>
      </c>
      <c r="L398" s="1">
        <v>0.7</v>
      </c>
      <c r="M398" s="1">
        <v>1</v>
      </c>
      <c r="N398" s="1">
        <v>1400</v>
      </c>
      <c r="O398" s="9"/>
      <c r="P398" s="7">
        <f t="shared" ca="1" si="96"/>
        <v>0.11928571428571429</v>
      </c>
      <c r="Q398" s="7">
        <f t="shared" ca="1" si="88"/>
        <v>5.9642857142857145E-3</v>
      </c>
      <c r="R398" s="33">
        <f t="shared" ca="1" si="97"/>
        <v>11690</v>
      </c>
      <c r="S398" s="33">
        <f t="shared" ca="1" si="98"/>
        <v>-86310</v>
      </c>
      <c r="T398" s="33">
        <f t="shared" ca="1" si="89"/>
        <v>11690</v>
      </c>
      <c r="U398" s="7">
        <f t="shared" ca="1" si="99"/>
        <v>0.13544201135442011</v>
      </c>
      <c r="V398" s="7">
        <f t="shared" ca="1" si="100"/>
        <v>-0.59957840302415644</v>
      </c>
      <c r="W398" s="33">
        <f t="shared" ca="1" si="90"/>
        <v>-86310</v>
      </c>
      <c r="X398" s="7">
        <f t="shared" ca="1" si="91"/>
        <v>-1</v>
      </c>
      <c r="Y398" s="7">
        <f t="shared" ca="1" si="92"/>
        <v>-0.86455798864557987</v>
      </c>
      <c r="Z398" s="7">
        <f t="shared" ca="1" si="101"/>
        <v>-0.18045126216585911</v>
      </c>
      <c r="AA398" s="33">
        <f t="shared" ca="1" si="93"/>
        <v>-34799.024661883777</v>
      </c>
      <c r="AB398" s="7">
        <f t="shared" ca="1" si="94"/>
        <v>-2.9768199026418971</v>
      </c>
      <c r="AC398" s="7">
        <f t="shared" ca="1" si="95"/>
        <v>-1.4206889456437386</v>
      </c>
    </row>
    <row r="399" spans="1:29" x14ac:dyDescent="0.25">
      <c r="A399" s="1">
        <v>396</v>
      </c>
      <c r="B399" s="25">
        <v>44007</v>
      </c>
      <c r="C399" s="10" t="s">
        <v>815</v>
      </c>
      <c r="D399" s="1">
        <v>410.95</v>
      </c>
      <c r="E399" s="30">
        <v>1400</v>
      </c>
      <c r="F399" s="1">
        <v>370</v>
      </c>
      <c r="G399" s="1">
        <v>9</v>
      </c>
      <c r="H399" s="1">
        <v>340</v>
      </c>
      <c r="I399" s="1">
        <v>3.2</v>
      </c>
      <c r="J399" s="1">
        <v>70000</v>
      </c>
      <c r="K399" s="1">
        <v>1400</v>
      </c>
      <c r="L399" s="1">
        <v>2.35</v>
      </c>
      <c r="M399" s="1">
        <v>3.3</v>
      </c>
      <c r="N399" s="1">
        <v>1400</v>
      </c>
      <c r="O399" s="9"/>
      <c r="P399" s="7">
        <f t="shared" ca="1" si="96"/>
        <v>0.19333333333333333</v>
      </c>
      <c r="Q399" s="7">
        <f t="shared" ca="1" si="88"/>
        <v>9.6666666666666672E-3</v>
      </c>
      <c r="R399" s="33">
        <f t="shared" ca="1" si="97"/>
        <v>8120</v>
      </c>
      <c r="S399" s="33">
        <f t="shared" ca="1" si="98"/>
        <v>-33880</v>
      </c>
      <c r="T399" s="33">
        <f t="shared" ca="1" si="89"/>
        <v>8120</v>
      </c>
      <c r="U399" s="7">
        <f t="shared" ca="1" si="99"/>
        <v>0.23966942148760331</v>
      </c>
      <c r="V399" s="7">
        <f t="shared" ca="1" si="100"/>
        <v>-0.59957840302415644</v>
      </c>
      <c r="W399" s="33">
        <f t="shared" ca="1" si="90"/>
        <v>-33880</v>
      </c>
      <c r="X399" s="7">
        <f t="shared" ca="1" si="91"/>
        <v>-1</v>
      </c>
      <c r="Y399" s="7">
        <f t="shared" ca="1" si="92"/>
        <v>-0.76033057851239672</v>
      </c>
      <c r="Z399" s="7">
        <f t="shared" ca="1" si="101"/>
        <v>-0.18045126216585911</v>
      </c>
      <c r="AA399" s="33">
        <f t="shared" ca="1" si="93"/>
        <v>-33880</v>
      </c>
      <c r="AB399" s="7">
        <f t="shared" ca="1" si="94"/>
        <v>-4.1724137931034484</v>
      </c>
      <c r="AC399" s="7">
        <f t="shared" ca="1" si="95"/>
        <v>-1.9663721858079226</v>
      </c>
    </row>
    <row r="400" spans="1:29" x14ac:dyDescent="0.25">
      <c r="A400" s="1">
        <v>397</v>
      </c>
      <c r="B400" s="25">
        <v>44007</v>
      </c>
      <c r="C400" s="10" t="s">
        <v>815</v>
      </c>
      <c r="D400" s="1">
        <v>410.95</v>
      </c>
      <c r="E400" s="30">
        <v>1400</v>
      </c>
      <c r="F400" s="1">
        <v>370</v>
      </c>
      <c r="G400" s="1">
        <v>9</v>
      </c>
      <c r="H400" s="1">
        <v>360</v>
      </c>
      <c r="I400" s="1">
        <v>6.2</v>
      </c>
      <c r="J400" s="1">
        <v>114800</v>
      </c>
      <c r="K400" s="1">
        <v>1400</v>
      </c>
      <c r="L400" s="1">
        <v>5.15</v>
      </c>
      <c r="M400" s="1">
        <v>6.3</v>
      </c>
      <c r="N400" s="1">
        <v>1400</v>
      </c>
      <c r="O400" s="9"/>
      <c r="P400" s="7">
        <f t="shared" ca="1" si="96"/>
        <v>0.27999999999999997</v>
      </c>
      <c r="Q400" s="7">
        <f t="shared" ca="1" si="88"/>
        <v>1.3999999999999999E-2</v>
      </c>
      <c r="R400" s="33">
        <f t="shared" ca="1" si="97"/>
        <v>3919.9999999999995</v>
      </c>
      <c r="S400" s="33">
        <f t="shared" ca="1" si="98"/>
        <v>-10080</v>
      </c>
      <c r="T400" s="33">
        <f t="shared" ca="1" si="89"/>
        <v>3919.9999999999995</v>
      </c>
      <c r="U400" s="7">
        <f t="shared" ca="1" si="99"/>
        <v>0.38888888888888884</v>
      </c>
      <c r="V400" s="7">
        <f t="shared" ca="1" si="100"/>
        <v>-0.59957840302415644</v>
      </c>
      <c r="W400" s="33">
        <f t="shared" ca="1" si="90"/>
        <v>-10080</v>
      </c>
      <c r="X400" s="7">
        <f t="shared" ca="1" si="91"/>
        <v>-1</v>
      </c>
      <c r="Y400" s="7">
        <f t="shared" ca="1" si="92"/>
        <v>-0.61111111111111116</v>
      </c>
      <c r="Z400" s="7">
        <f t="shared" ca="1" si="101"/>
        <v>-0.18045126216585911</v>
      </c>
      <c r="AA400" s="33">
        <f t="shared" ca="1" si="93"/>
        <v>-10080</v>
      </c>
      <c r="AB400" s="7">
        <f t="shared" ca="1" si="94"/>
        <v>-2.5714285714285716</v>
      </c>
      <c r="AC400" s="7">
        <f t="shared" ca="1" si="95"/>
        <v>-1.0912698412698414</v>
      </c>
    </row>
    <row r="401" spans="1:29" x14ac:dyDescent="0.25">
      <c r="A401" s="1">
        <v>398</v>
      </c>
      <c r="B401" s="25">
        <v>44007</v>
      </c>
      <c r="C401" s="10" t="s">
        <v>554</v>
      </c>
      <c r="D401" s="1">
        <v>802.2</v>
      </c>
      <c r="E401" s="30">
        <v>650</v>
      </c>
      <c r="F401" s="1">
        <v>720</v>
      </c>
      <c r="G401" s="1">
        <v>12.7</v>
      </c>
      <c r="H401" s="1">
        <v>700</v>
      </c>
      <c r="I401" s="1">
        <v>10.5</v>
      </c>
      <c r="J401" s="1">
        <v>35750</v>
      </c>
      <c r="K401" s="1">
        <v>650</v>
      </c>
      <c r="L401" s="1">
        <v>8.25</v>
      </c>
      <c r="M401" s="1">
        <v>10</v>
      </c>
      <c r="N401" s="1">
        <v>650</v>
      </c>
      <c r="O401" s="9"/>
      <c r="P401" s="7">
        <f t="shared" ca="1" si="96"/>
        <v>0.10999999999999996</v>
      </c>
      <c r="Q401" s="7">
        <f t="shared" ca="1" si="88"/>
        <v>5.4999999999999979E-3</v>
      </c>
      <c r="R401" s="33">
        <f t="shared" ca="1" si="97"/>
        <v>1429.9999999999995</v>
      </c>
      <c r="S401" s="33">
        <f t="shared" ca="1" si="98"/>
        <v>-11570</v>
      </c>
      <c r="T401" s="33">
        <f t="shared" ca="1" si="89"/>
        <v>1429.9999999999995</v>
      </c>
      <c r="U401" s="7">
        <f t="shared" ca="1" si="99"/>
        <v>0.12359550561797748</v>
      </c>
      <c r="V401" s="7">
        <f t="shared" ca="1" si="100"/>
        <v>-0.6665309890826463</v>
      </c>
      <c r="W401" s="33">
        <f t="shared" ca="1" si="90"/>
        <v>-11570</v>
      </c>
      <c r="X401" s="7">
        <f t="shared" ca="1" si="91"/>
        <v>-1</v>
      </c>
      <c r="Y401" s="7">
        <f t="shared" ca="1" si="92"/>
        <v>-0.8764044943820225</v>
      </c>
      <c r="Z401" s="7">
        <f t="shared" ca="1" si="101"/>
        <v>-0.17755479273853009</v>
      </c>
      <c r="AA401" s="33">
        <f t="shared" ca="1" si="93"/>
        <v>-11570</v>
      </c>
      <c r="AB401" s="7">
        <f t="shared" ca="1" si="94"/>
        <v>-8.0909090909090935</v>
      </c>
      <c r="AC401" s="7">
        <f t="shared" ca="1" si="95"/>
        <v>-3.9836567926455579</v>
      </c>
    </row>
    <row r="402" spans="1:29" x14ac:dyDescent="0.25">
      <c r="A402" s="1">
        <v>399</v>
      </c>
      <c r="B402" s="25">
        <v>44007</v>
      </c>
      <c r="C402" s="10" t="s">
        <v>1903</v>
      </c>
      <c r="D402" s="1">
        <v>23.9</v>
      </c>
      <c r="E402" s="30">
        <v>12000</v>
      </c>
      <c r="F402" s="1">
        <v>21</v>
      </c>
      <c r="G402" s="1">
        <v>0.6</v>
      </c>
      <c r="H402" s="1">
        <v>16</v>
      </c>
      <c r="I402" s="1">
        <v>0.1</v>
      </c>
      <c r="J402" s="1">
        <v>312000</v>
      </c>
      <c r="K402" s="1">
        <v>240000</v>
      </c>
      <c r="L402" s="1">
        <v>0.05</v>
      </c>
      <c r="M402" s="1">
        <v>0.1</v>
      </c>
      <c r="N402" s="1">
        <v>72000</v>
      </c>
      <c r="O402" s="9"/>
      <c r="P402" s="7">
        <f t="shared" ca="1" si="96"/>
        <v>0.1</v>
      </c>
      <c r="Q402" s="7">
        <f t="shared" ca="1" si="88"/>
        <v>5.0000000000000001E-3</v>
      </c>
      <c r="R402" s="33">
        <f t="shared" ca="1" si="97"/>
        <v>6000</v>
      </c>
      <c r="S402" s="33">
        <f t="shared" ca="1" si="98"/>
        <v>-54000</v>
      </c>
      <c r="T402" s="33">
        <f t="shared" ca="1" si="89"/>
        <v>6000</v>
      </c>
      <c r="U402" s="7">
        <f t="shared" ca="1" si="99"/>
        <v>0.1111111111111111</v>
      </c>
      <c r="V402" s="7">
        <f t="shared" ca="1" si="100"/>
        <v>-0.78770576318495789</v>
      </c>
      <c r="W402" s="33">
        <f t="shared" ca="1" si="90"/>
        <v>-54000</v>
      </c>
      <c r="X402" s="7">
        <f t="shared" ca="1" si="91"/>
        <v>-1</v>
      </c>
      <c r="Y402" s="7">
        <f t="shared" ca="1" si="92"/>
        <v>-0.88888888888888884</v>
      </c>
      <c r="Z402" s="7">
        <f t="shared" ca="1" si="101"/>
        <v>-0.15561501781226542</v>
      </c>
      <c r="AA402" s="33">
        <f t="shared" ca="1" si="93"/>
        <v>-3830.3871085577448</v>
      </c>
      <c r="AB402" s="7">
        <f t="shared" ca="1" si="94"/>
        <v>-0.6383978514262908</v>
      </c>
      <c r="AC402" s="7">
        <f t="shared" ca="1" si="95"/>
        <v>-0.26364337015758987</v>
      </c>
    </row>
    <row r="403" spans="1:29" x14ac:dyDescent="0.25">
      <c r="A403" s="1">
        <v>400</v>
      </c>
      <c r="B403" s="25">
        <v>44007</v>
      </c>
      <c r="C403" s="10" t="s">
        <v>1903</v>
      </c>
      <c r="D403" s="1">
        <v>23.9</v>
      </c>
      <c r="E403" s="30">
        <v>12000</v>
      </c>
      <c r="F403" s="1">
        <v>21</v>
      </c>
      <c r="G403" s="1">
        <v>0.6</v>
      </c>
      <c r="H403" s="1">
        <v>17</v>
      </c>
      <c r="I403" s="1">
        <v>0.1</v>
      </c>
      <c r="J403" s="1">
        <v>648000</v>
      </c>
      <c r="K403" s="1">
        <v>300000</v>
      </c>
      <c r="L403" s="1">
        <v>0.1</v>
      </c>
      <c r="M403" s="1">
        <v>0.15</v>
      </c>
      <c r="N403" s="1">
        <v>216000</v>
      </c>
      <c r="O403" s="9"/>
      <c r="P403" s="7">
        <f t="shared" ca="1" si="96"/>
        <v>0.125</v>
      </c>
      <c r="Q403" s="7">
        <f t="shared" ca="1" si="88"/>
        <v>6.2500000000000003E-3</v>
      </c>
      <c r="R403" s="33">
        <f t="shared" ca="1" si="97"/>
        <v>6000</v>
      </c>
      <c r="S403" s="33">
        <f t="shared" ca="1" si="98"/>
        <v>-42000</v>
      </c>
      <c r="T403" s="33">
        <f t="shared" ca="1" si="89"/>
        <v>6000</v>
      </c>
      <c r="U403" s="7">
        <f t="shared" ca="1" si="99"/>
        <v>0.14285714285714285</v>
      </c>
      <c r="V403" s="7">
        <f t="shared" ca="1" si="100"/>
        <v>-0.78770576318495789</v>
      </c>
      <c r="W403" s="33">
        <f t="shared" ca="1" si="90"/>
        <v>-42000</v>
      </c>
      <c r="X403" s="7">
        <f t="shared" ca="1" si="91"/>
        <v>-1</v>
      </c>
      <c r="Y403" s="7">
        <f t="shared" ca="1" si="92"/>
        <v>-0.85714285714285721</v>
      </c>
      <c r="Z403" s="7">
        <f t="shared" ca="1" si="101"/>
        <v>-0.15561501781226542</v>
      </c>
      <c r="AA403" s="33">
        <f t="shared" ca="1" si="93"/>
        <v>-3830.3871085577448</v>
      </c>
      <c r="AB403" s="7">
        <f t="shared" ca="1" si="94"/>
        <v>-0.6383978514262908</v>
      </c>
      <c r="AC403" s="7">
        <f t="shared" ca="1" si="95"/>
        <v>-0.24777035428457397</v>
      </c>
    </row>
    <row r="404" spans="1:29" x14ac:dyDescent="0.25">
      <c r="A404" s="1">
        <v>401</v>
      </c>
      <c r="B404" s="25">
        <v>44007</v>
      </c>
      <c r="C404" s="10" t="s">
        <v>1903</v>
      </c>
      <c r="D404" s="1">
        <v>23.9</v>
      </c>
      <c r="E404" s="30">
        <v>12000</v>
      </c>
      <c r="F404" s="1">
        <v>21</v>
      </c>
      <c r="G404" s="1">
        <v>0.6</v>
      </c>
      <c r="H404" s="1">
        <v>18</v>
      </c>
      <c r="I404" s="1">
        <v>0.15</v>
      </c>
      <c r="J404" s="1">
        <v>1200000</v>
      </c>
      <c r="K404" s="1">
        <v>492000</v>
      </c>
      <c r="L404" s="1">
        <v>0.15</v>
      </c>
      <c r="M404" s="1">
        <v>0.2</v>
      </c>
      <c r="N404" s="1">
        <v>48000</v>
      </c>
      <c r="O404" s="9"/>
      <c r="P404" s="7">
        <f t="shared" ca="1" si="96"/>
        <v>0.15</v>
      </c>
      <c r="Q404" s="7">
        <f t="shared" ca="1" si="88"/>
        <v>7.4999999999999997E-3</v>
      </c>
      <c r="R404" s="33">
        <f t="shared" ca="1" si="97"/>
        <v>5399.9999999999991</v>
      </c>
      <c r="S404" s="33">
        <f t="shared" ca="1" si="98"/>
        <v>-30600</v>
      </c>
      <c r="T404" s="33">
        <f t="shared" ca="1" si="89"/>
        <v>5399.9999999999991</v>
      </c>
      <c r="U404" s="7">
        <f t="shared" ca="1" si="99"/>
        <v>0.1764705882352941</v>
      </c>
      <c r="V404" s="7">
        <f t="shared" ca="1" si="100"/>
        <v>-0.78770576318495789</v>
      </c>
      <c r="W404" s="33">
        <f t="shared" ca="1" si="90"/>
        <v>-30600</v>
      </c>
      <c r="X404" s="7">
        <f t="shared" ca="1" si="91"/>
        <v>-1</v>
      </c>
      <c r="Y404" s="7">
        <f t="shared" ca="1" si="92"/>
        <v>-0.82352941176470584</v>
      </c>
      <c r="Z404" s="7">
        <f t="shared" ca="1" si="101"/>
        <v>-0.15561501781226542</v>
      </c>
      <c r="AA404" s="33">
        <f t="shared" ca="1" si="93"/>
        <v>-4430.3871085577457</v>
      </c>
      <c r="AB404" s="7">
        <f t="shared" ca="1" si="94"/>
        <v>-0.82044205714032337</v>
      </c>
      <c r="AC404" s="7">
        <f t="shared" ca="1" si="95"/>
        <v>-0.32198573445251466</v>
      </c>
    </row>
    <row r="405" spans="1:29" x14ac:dyDescent="0.25">
      <c r="A405" s="1">
        <v>402</v>
      </c>
      <c r="B405" s="25">
        <v>44007</v>
      </c>
      <c r="C405" s="10" t="s">
        <v>1903</v>
      </c>
      <c r="D405" s="1">
        <v>23.9</v>
      </c>
      <c r="E405" s="30">
        <v>12000</v>
      </c>
      <c r="F405" s="1">
        <v>21</v>
      </c>
      <c r="G405" s="1">
        <v>0.6</v>
      </c>
      <c r="H405" s="1">
        <v>19</v>
      </c>
      <c r="I405" s="1">
        <v>0.25</v>
      </c>
      <c r="J405" s="1">
        <v>1128000</v>
      </c>
      <c r="K405" s="1">
        <v>204000</v>
      </c>
      <c r="L405" s="1">
        <v>0.25</v>
      </c>
      <c r="M405" s="1">
        <v>0.3</v>
      </c>
      <c r="N405" s="1">
        <v>168000</v>
      </c>
      <c r="O405" s="9"/>
      <c r="P405" s="7">
        <f t="shared" ca="1" si="96"/>
        <v>0.17499999999999999</v>
      </c>
      <c r="Q405" s="7">
        <f t="shared" ref="Q405:Q428" ca="1" si="102">P405/($B405-TODAY())</f>
        <v>8.7499999999999991E-3</v>
      </c>
      <c r="R405" s="33">
        <f t="shared" ca="1" si="97"/>
        <v>4200</v>
      </c>
      <c r="S405" s="33">
        <f t="shared" ca="1" si="98"/>
        <v>-19800</v>
      </c>
      <c r="T405" s="33">
        <f t="shared" ref="T405:T428" ca="1" si="103">R405</f>
        <v>4200</v>
      </c>
      <c r="U405" s="7">
        <f t="shared" ca="1" si="99"/>
        <v>0.21212121212121213</v>
      </c>
      <c r="V405" s="7">
        <f t="shared" ca="1" si="100"/>
        <v>-0.78770576318495789</v>
      </c>
      <c r="W405" s="33">
        <f t="shared" ref="W405:W428" ca="1" si="104">-(MAX(($F405-MAX($D405*(1+V405),$H405)),0)*$E405-$R405)</f>
        <v>-19800</v>
      </c>
      <c r="X405" s="7">
        <f t="shared" ref="X405:X428" ca="1" si="105">W405/ABS($S405)</f>
        <v>-1</v>
      </c>
      <c r="Y405" s="7">
        <f t="shared" ref="Y405:Y428" ca="1" si="106">$U405+X405</f>
        <v>-0.78787878787878785</v>
      </c>
      <c r="Z405" s="7">
        <f t="shared" ca="1" si="101"/>
        <v>-0.15561501781226542</v>
      </c>
      <c r="AA405" s="33">
        <f t="shared" ref="AA405:AA428" ca="1" si="107">-(MAX(($F405-MAX($D405*(1+Z405),$H405)),0)*$E405-$R405)</f>
        <v>-5630.3871085577448</v>
      </c>
      <c r="AB405" s="7">
        <f t="shared" ref="AB405:AB428" ca="1" si="108">AA405/$R405</f>
        <v>-1.3405683591804154</v>
      </c>
      <c r="AC405" s="7">
        <f t="shared" ref="AC405:AC428" ca="1" si="109">AVERAGE($U405,AB405)</f>
        <v>-0.56422357352960162</v>
      </c>
    </row>
    <row r="406" spans="1:29" x14ac:dyDescent="0.25">
      <c r="A406" s="1">
        <v>403</v>
      </c>
      <c r="B406" s="25">
        <v>44007</v>
      </c>
      <c r="C406" s="10" t="s">
        <v>1903</v>
      </c>
      <c r="D406" s="1">
        <v>23.9</v>
      </c>
      <c r="E406" s="30">
        <v>12000</v>
      </c>
      <c r="F406" s="1">
        <v>21</v>
      </c>
      <c r="G406" s="1">
        <v>0.6</v>
      </c>
      <c r="H406" s="1">
        <v>20</v>
      </c>
      <c r="I406" s="1">
        <v>0.4</v>
      </c>
      <c r="J406" s="1">
        <v>2628000</v>
      </c>
      <c r="K406" s="1">
        <v>132000</v>
      </c>
      <c r="L406" s="1">
        <v>0.4</v>
      </c>
      <c r="M406" s="1">
        <v>0.45</v>
      </c>
      <c r="N406" s="1">
        <v>144000</v>
      </c>
      <c r="O406" s="9"/>
      <c r="P406" s="7">
        <f t="shared" ca="1" si="96"/>
        <v>0.19999999999999996</v>
      </c>
      <c r="Q406" s="7">
        <f t="shared" ca="1" si="102"/>
        <v>9.9999999999999985E-3</v>
      </c>
      <c r="R406" s="33">
        <f t="shared" ca="1" si="97"/>
        <v>2399.9999999999995</v>
      </c>
      <c r="S406" s="33">
        <f t="shared" ca="1" si="98"/>
        <v>-9600</v>
      </c>
      <c r="T406" s="33">
        <f t="shared" ca="1" si="103"/>
        <v>2399.9999999999995</v>
      </c>
      <c r="U406" s="7">
        <f t="shared" ca="1" si="99"/>
        <v>0.24999999999999994</v>
      </c>
      <c r="V406" s="7">
        <f t="shared" ca="1" si="100"/>
        <v>-0.78770576318495789</v>
      </c>
      <c r="W406" s="33">
        <f t="shared" ca="1" si="104"/>
        <v>-9600</v>
      </c>
      <c r="X406" s="7">
        <f t="shared" ca="1" si="105"/>
        <v>-1</v>
      </c>
      <c r="Y406" s="7">
        <f t="shared" ca="1" si="106"/>
        <v>-0.75</v>
      </c>
      <c r="Z406" s="7">
        <f t="shared" ca="1" si="101"/>
        <v>-0.15561501781226542</v>
      </c>
      <c r="AA406" s="33">
        <f t="shared" ca="1" si="107"/>
        <v>-7430.3871085577448</v>
      </c>
      <c r="AB406" s="7">
        <f t="shared" ca="1" si="108"/>
        <v>-3.0959946285657276</v>
      </c>
      <c r="AC406" s="7">
        <f t="shared" ca="1" si="109"/>
        <v>-1.4229973142828638</v>
      </c>
    </row>
    <row r="407" spans="1:29" x14ac:dyDescent="0.25">
      <c r="A407" s="1">
        <v>404</v>
      </c>
      <c r="B407" s="25">
        <v>44007</v>
      </c>
      <c r="C407" s="10" t="s">
        <v>48</v>
      </c>
      <c r="D407" s="1">
        <v>151.85</v>
      </c>
      <c r="E407" s="30">
        <v>4000</v>
      </c>
      <c r="F407" s="1">
        <v>140</v>
      </c>
      <c r="G407" s="1">
        <v>4.1500000000000004</v>
      </c>
      <c r="H407" s="1">
        <v>130</v>
      </c>
      <c r="I407" s="1">
        <v>2.0499999999999998</v>
      </c>
      <c r="J407" s="1">
        <v>164000</v>
      </c>
      <c r="K407" s="1">
        <v>12000</v>
      </c>
      <c r="L407" s="1">
        <v>1.85</v>
      </c>
      <c r="M407" s="1">
        <v>2.0499999999999998</v>
      </c>
      <c r="N407" s="1">
        <v>8000</v>
      </c>
      <c r="O407" s="9"/>
      <c r="P407" s="7">
        <f t="shared" ca="1" si="96"/>
        <v>0.21000000000000005</v>
      </c>
      <c r="Q407" s="7">
        <f t="shared" ca="1" si="102"/>
        <v>1.0500000000000002E-2</v>
      </c>
      <c r="R407" s="33">
        <f t="shared" ca="1" si="97"/>
        <v>8400.0000000000018</v>
      </c>
      <c r="S407" s="33">
        <f t="shared" ca="1" si="98"/>
        <v>-31600</v>
      </c>
      <c r="T407" s="33">
        <f t="shared" ca="1" si="103"/>
        <v>8400.0000000000018</v>
      </c>
      <c r="U407" s="7">
        <f t="shared" ca="1" si="99"/>
        <v>0.26582278481012667</v>
      </c>
      <c r="V407" s="7">
        <f t="shared" ca="1" si="100"/>
        <v>-0.74237050939778959</v>
      </c>
      <c r="W407" s="33">
        <f t="shared" ca="1" si="104"/>
        <v>-31600</v>
      </c>
      <c r="X407" s="7">
        <f t="shared" ca="1" si="105"/>
        <v>-1</v>
      </c>
      <c r="Y407" s="7">
        <f t="shared" ca="1" si="106"/>
        <v>-0.73417721518987333</v>
      </c>
      <c r="Z407" s="7">
        <f t="shared" ca="1" si="101"/>
        <v>-0.15743295956083847</v>
      </c>
      <c r="AA407" s="33">
        <f t="shared" ca="1" si="107"/>
        <v>-31600</v>
      </c>
      <c r="AB407" s="7">
        <f t="shared" ca="1" si="108"/>
        <v>-3.761904761904761</v>
      </c>
      <c r="AC407" s="7">
        <f t="shared" ca="1" si="109"/>
        <v>-1.7480409885473172</v>
      </c>
    </row>
    <row r="408" spans="1:29" x14ac:dyDescent="0.25">
      <c r="A408" s="1">
        <v>405</v>
      </c>
      <c r="B408" s="25">
        <v>44007</v>
      </c>
      <c r="C408" s="10" t="s">
        <v>48</v>
      </c>
      <c r="D408" s="1">
        <v>151.85</v>
      </c>
      <c r="E408" s="30">
        <v>4000</v>
      </c>
      <c r="F408" s="1">
        <v>140</v>
      </c>
      <c r="G408" s="1">
        <v>4.1500000000000004</v>
      </c>
      <c r="H408" s="1">
        <v>135</v>
      </c>
      <c r="I408" s="1">
        <v>2.75</v>
      </c>
      <c r="J408" s="1">
        <v>76000</v>
      </c>
      <c r="K408" s="1">
        <v>4000</v>
      </c>
      <c r="L408" s="1">
        <v>2.8</v>
      </c>
      <c r="M408" s="1">
        <v>2.95</v>
      </c>
      <c r="N408" s="1">
        <v>4000</v>
      </c>
      <c r="O408" s="9"/>
      <c r="P408" s="7">
        <f t="shared" ca="1" si="96"/>
        <v>0.28000000000000008</v>
      </c>
      <c r="Q408" s="7">
        <f t="shared" ca="1" si="102"/>
        <v>1.4000000000000004E-2</v>
      </c>
      <c r="R408" s="33">
        <f t="shared" ca="1" si="97"/>
        <v>5600.0000000000018</v>
      </c>
      <c r="S408" s="33">
        <f t="shared" ca="1" si="98"/>
        <v>-14399.999999999998</v>
      </c>
      <c r="T408" s="33">
        <f t="shared" ca="1" si="103"/>
        <v>5600.0000000000018</v>
      </c>
      <c r="U408" s="7">
        <f t="shared" ca="1" si="99"/>
        <v>0.38888888888888906</v>
      </c>
      <c r="V408" s="7">
        <f t="shared" ca="1" si="100"/>
        <v>-0.74237050939778959</v>
      </c>
      <c r="W408" s="33">
        <f t="shared" ca="1" si="104"/>
        <v>-14399.999999999998</v>
      </c>
      <c r="X408" s="7">
        <f t="shared" ca="1" si="105"/>
        <v>-1</v>
      </c>
      <c r="Y408" s="7">
        <f t="shared" ca="1" si="106"/>
        <v>-0.61111111111111094</v>
      </c>
      <c r="Z408" s="7">
        <f t="shared" ca="1" si="101"/>
        <v>-0.15743295956083847</v>
      </c>
      <c r="AA408" s="33">
        <f t="shared" ca="1" si="107"/>
        <v>-14399.999999999998</v>
      </c>
      <c r="AB408" s="7">
        <f t="shared" ca="1" si="108"/>
        <v>-2.5714285714285703</v>
      </c>
      <c r="AC408" s="7">
        <f t="shared" ca="1" si="109"/>
        <v>-1.0912698412698405</v>
      </c>
    </row>
    <row r="409" spans="1:29" x14ac:dyDescent="0.25">
      <c r="A409" s="1">
        <v>406</v>
      </c>
      <c r="B409" s="25">
        <v>44007</v>
      </c>
      <c r="C409" s="10" t="s">
        <v>613</v>
      </c>
      <c r="D409" s="1">
        <v>1031.0999999999999</v>
      </c>
      <c r="E409" s="30">
        <v>500</v>
      </c>
      <c r="F409" s="1">
        <v>930</v>
      </c>
      <c r="G409" s="1">
        <v>12</v>
      </c>
      <c r="H409" s="1">
        <v>860</v>
      </c>
      <c r="I409" s="1">
        <v>5</v>
      </c>
      <c r="J409" s="1">
        <v>196000</v>
      </c>
      <c r="K409" s="1">
        <v>1000</v>
      </c>
      <c r="L409" s="1">
        <v>5</v>
      </c>
      <c r="M409" s="1">
        <v>5.25</v>
      </c>
      <c r="N409" s="1">
        <v>500</v>
      </c>
      <c r="O409" s="9"/>
      <c r="P409" s="7">
        <f t="shared" ca="1" si="96"/>
        <v>0.1</v>
      </c>
      <c r="Q409" s="7">
        <f t="shared" ca="1" si="102"/>
        <v>5.0000000000000001E-3</v>
      </c>
      <c r="R409" s="33">
        <f t="shared" ca="1" si="97"/>
        <v>3500</v>
      </c>
      <c r="S409" s="33">
        <f t="shared" ca="1" si="98"/>
        <v>-31500</v>
      </c>
      <c r="T409" s="33">
        <f t="shared" ca="1" si="103"/>
        <v>3500</v>
      </c>
      <c r="U409" s="7">
        <f t="shared" ca="1" si="99"/>
        <v>0.1111111111111111</v>
      </c>
      <c r="V409" s="7">
        <f t="shared" ca="1" si="100"/>
        <v>-0.46408895209577794</v>
      </c>
      <c r="W409" s="33">
        <f t="shared" ca="1" si="104"/>
        <v>-31500</v>
      </c>
      <c r="X409" s="7">
        <f t="shared" ca="1" si="105"/>
        <v>-1</v>
      </c>
      <c r="Y409" s="7">
        <f t="shared" ca="1" si="106"/>
        <v>-0.88888888888888884</v>
      </c>
      <c r="Z409" s="7">
        <f t="shared" ca="1" si="101"/>
        <v>-7.6362902246376416E-2</v>
      </c>
      <c r="AA409" s="33">
        <f t="shared" ca="1" si="107"/>
        <v>3500</v>
      </c>
      <c r="AB409" s="7">
        <f t="shared" ca="1" si="108"/>
        <v>1</v>
      </c>
      <c r="AC409" s="7">
        <f t="shared" ca="1" si="109"/>
        <v>0.55555555555555558</v>
      </c>
    </row>
    <row r="410" spans="1:29" x14ac:dyDescent="0.25">
      <c r="A410" s="1">
        <v>407</v>
      </c>
      <c r="B410" s="25">
        <v>44007</v>
      </c>
      <c r="C410" s="10" t="s">
        <v>613</v>
      </c>
      <c r="D410" s="1">
        <v>1031.0999999999999</v>
      </c>
      <c r="E410" s="30">
        <v>500</v>
      </c>
      <c r="F410" s="1">
        <v>930</v>
      </c>
      <c r="G410" s="1">
        <v>12</v>
      </c>
      <c r="H410" s="1">
        <v>880</v>
      </c>
      <c r="I410" s="1">
        <v>6.85</v>
      </c>
      <c r="J410" s="1">
        <v>182500</v>
      </c>
      <c r="K410" s="1">
        <v>500</v>
      </c>
      <c r="L410" s="1">
        <v>6.45</v>
      </c>
      <c r="M410" s="1">
        <v>6.85</v>
      </c>
      <c r="N410" s="1">
        <v>500</v>
      </c>
      <c r="O410" s="9"/>
      <c r="P410" s="7">
        <f t="shared" ca="1" si="96"/>
        <v>0.10300000000000001</v>
      </c>
      <c r="Q410" s="7">
        <f t="shared" ca="1" si="102"/>
        <v>5.1500000000000001E-3</v>
      </c>
      <c r="R410" s="33">
        <f t="shared" ca="1" si="97"/>
        <v>2575</v>
      </c>
      <c r="S410" s="33">
        <f t="shared" ca="1" si="98"/>
        <v>-22425</v>
      </c>
      <c r="T410" s="33">
        <f t="shared" ca="1" si="103"/>
        <v>2575</v>
      </c>
      <c r="U410" s="7">
        <f t="shared" ca="1" si="99"/>
        <v>0.11482720178372352</v>
      </c>
      <c r="V410" s="7">
        <f t="shared" ca="1" si="100"/>
        <v>-0.46408895209577794</v>
      </c>
      <c r="W410" s="33">
        <f t="shared" ca="1" si="104"/>
        <v>-22425</v>
      </c>
      <c r="X410" s="7">
        <f t="shared" ca="1" si="105"/>
        <v>-1</v>
      </c>
      <c r="Y410" s="7">
        <f t="shared" ca="1" si="106"/>
        <v>-0.88517279821627648</v>
      </c>
      <c r="Z410" s="7">
        <f t="shared" ca="1" si="101"/>
        <v>-7.6362902246376416E-2</v>
      </c>
      <c r="AA410" s="33">
        <f t="shared" ca="1" si="107"/>
        <v>2575</v>
      </c>
      <c r="AB410" s="7">
        <f t="shared" ca="1" si="108"/>
        <v>1</v>
      </c>
      <c r="AC410" s="7">
        <f t="shared" ca="1" si="109"/>
        <v>0.55741360089186176</v>
      </c>
    </row>
    <row r="411" spans="1:29" x14ac:dyDescent="0.25">
      <c r="A411" s="1">
        <v>408</v>
      </c>
      <c r="B411" s="25">
        <v>44007</v>
      </c>
      <c r="C411" s="10" t="s">
        <v>613</v>
      </c>
      <c r="D411" s="1">
        <v>1031.0999999999999</v>
      </c>
      <c r="E411" s="30">
        <v>500</v>
      </c>
      <c r="F411" s="1">
        <v>930</v>
      </c>
      <c r="G411" s="1">
        <v>12</v>
      </c>
      <c r="H411" s="1">
        <v>900</v>
      </c>
      <c r="I411" s="1">
        <v>8.35</v>
      </c>
      <c r="J411" s="1">
        <v>804500</v>
      </c>
      <c r="K411" s="1">
        <v>2000</v>
      </c>
      <c r="L411" s="1">
        <v>8.1</v>
      </c>
      <c r="M411" s="1">
        <v>8.1999999999999993</v>
      </c>
      <c r="N411" s="1">
        <v>1000</v>
      </c>
      <c r="O411" s="9"/>
      <c r="P411" s="7">
        <f t="shared" ca="1" si="96"/>
        <v>0.12166666666666667</v>
      </c>
      <c r="Q411" s="7">
        <f t="shared" ca="1" si="102"/>
        <v>6.0833333333333338E-3</v>
      </c>
      <c r="R411" s="33">
        <f t="shared" ca="1" si="97"/>
        <v>1825.0000000000002</v>
      </c>
      <c r="S411" s="33">
        <f t="shared" ca="1" si="98"/>
        <v>-13175</v>
      </c>
      <c r="T411" s="33">
        <f t="shared" ca="1" si="103"/>
        <v>1825.0000000000002</v>
      </c>
      <c r="U411" s="7">
        <f t="shared" ca="1" si="99"/>
        <v>0.13851992409867175</v>
      </c>
      <c r="V411" s="7">
        <f t="shared" ca="1" si="100"/>
        <v>-0.46408895209577794</v>
      </c>
      <c r="W411" s="33">
        <f t="shared" ca="1" si="104"/>
        <v>-13175</v>
      </c>
      <c r="X411" s="7">
        <f t="shared" ca="1" si="105"/>
        <v>-1</v>
      </c>
      <c r="Y411" s="7">
        <f t="shared" ca="1" si="106"/>
        <v>-0.86148007590132825</v>
      </c>
      <c r="Z411" s="7">
        <f t="shared" ca="1" si="101"/>
        <v>-7.6362902246376416E-2</v>
      </c>
      <c r="AA411" s="33">
        <f t="shared" ca="1" si="107"/>
        <v>1825.0000000000002</v>
      </c>
      <c r="AB411" s="7">
        <f t="shared" ca="1" si="108"/>
        <v>1</v>
      </c>
      <c r="AC411" s="7">
        <f t="shared" ca="1" si="109"/>
        <v>0.56925996204933593</v>
      </c>
    </row>
    <row r="412" spans="1:29" x14ac:dyDescent="0.25">
      <c r="A412" s="1">
        <v>409</v>
      </c>
      <c r="B412" s="25">
        <v>44007</v>
      </c>
      <c r="C412" s="10" t="s">
        <v>613</v>
      </c>
      <c r="D412" s="1">
        <v>1031.0999999999999</v>
      </c>
      <c r="E412" s="30">
        <v>500</v>
      </c>
      <c r="F412" s="1">
        <v>930</v>
      </c>
      <c r="G412" s="1">
        <v>12</v>
      </c>
      <c r="H412" s="1">
        <v>910</v>
      </c>
      <c r="I412" s="1">
        <v>9.85</v>
      </c>
      <c r="J412" s="1">
        <v>23000</v>
      </c>
      <c r="K412" s="1">
        <v>500</v>
      </c>
      <c r="L412" s="1">
        <v>8.9</v>
      </c>
      <c r="M412" s="1">
        <v>9.4499999999999993</v>
      </c>
      <c r="N412" s="1">
        <v>500</v>
      </c>
      <c r="O412" s="9"/>
      <c r="P412" s="7">
        <f t="shared" ca="1" si="96"/>
        <v>0.10750000000000001</v>
      </c>
      <c r="Q412" s="7">
        <f t="shared" ca="1" si="102"/>
        <v>5.3750000000000004E-3</v>
      </c>
      <c r="R412" s="33">
        <f t="shared" ca="1" si="97"/>
        <v>1075.0000000000002</v>
      </c>
      <c r="S412" s="33">
        <f t="shared" ca="1" si="98"/>
        <v>-8925</v>
      </c>
      <c r="T412" s="33">
        <f t="shared" ca="1" si="103"/>
        <v>1075.0000000000002</v>
      </c>
      <c r="U412" s="7">
        <f t="shared" ca="1" si="99"/>
        <v>0.12044817927170871</v>
      </c>
      <c r="V412" s="7">
        <f t="shared" ca="1" si="100"/>
        <v>-0.46408895209577794</v>
      </c>
      <c r="W412" s="33">
        <f t="shared" ca="1" si="104"/>
        <v>-8925</v>
      </c>
      <c r="X412" s="7">
        <f t="shared" ca="1" si="105"/>
        <v>-1</v>
      </c>
      <c r="Y412" s="7">
        <f t="shared" ca="1" si="106"/>
        <v>-0.8795518207282913</v>
      </c>
      <c r="Z412" s="7">
        <f t="shared" ca="1" si="101"/>
        <v>-7.6362902246376416E-2</v>
      </c>
      <c r="AA412" s="33">
        <f t="shared" ca="1" si="107"/>
        <v>1075.0000000000002</v>
      </c>
      <c r="AB412" s="7">
        <f t="shared" ca="1" si="108"/>
        <v>1</v>
      </c>
      <c r="AC412" s="7">
        <f t="shared" ca="1" si="109"/>
        <v>0.56022408963585435</v>
      </c>
    </row>
    <row r="413" spans="1:29" x14ac:dyDescent="0.25">
      <c r="A413" s="1">
        <v>410</v>
      </c>
      <c r="B413" s="25">
        <v>44007</v>
      </c>
      <c r="C413" s="10" t="s">
        <v>613</v>
      </c>
      <c r="D413" s="1">
        <v>1031.0999999999999</v>
      </c>
      <c r="E413" s="30">
        <v>500</v>
      </c>
      <c r="F413" s="1">
        <v>930</v>
      </c>
      <c r="G413" s="1">
        <v>12</v>
      </c>
      <c r="H413" s="1">
        <v>920</v>
      </c>
      <c r="I413" s="1">
        <v>10.25</v>
      </c>
      <c r="J413" s="1">
        <v>219500</v>
      </c>
      <c r="K413" s="1">
        <v>500</v>
      </c>
      <c r="L413" s="1">
        <v>10.1</v>
      </c>
      <c r="M413" s="1">
        <v>10.4</v>
      </c>
      <c r="N413" s="1">
        <v>1000</v>
      </c>
      <c r="O413" s="9"/>
      <c r="P413" s="7">
        <f t="shared" ca="1" si="96"/>
        <v>0.17499999999999999</v>
      </c>
      <c r="Q413" s="7">
        <f t="shared" ca="1" si="102"/>
        <v>8.7499999999999991E-3</v>
      </c>
      <c r="R413" s="33">
        <f t="shared" ca="1" si="97"/>
        <v>875</v>
      </c>
      <c r="S413" s="33">
        <f t="shared" ca="1" si="98"/>
        <v>-4125</v>
      </c>
      <c r="T413" s="33">
        <f t="shared" ca="1" si="103"/>
        <v>875</v>
      </c>
      <c r="U413" s="7">
        <f t="shared" ca="1" si="99"/>
        <v>0.21212121212121213</v>
      </c>
      <c r="V413" s="7">
        <f t="shared" ca="1" si="100"/>
        <v>-0.46408895209577794</v>
      </c>
      <c r="W413" s="33">
        <f t="shared" ca="1" si="104"/>
        <v>-4125</v>
      </c>
      <c r="X413" s="7">
        <f t="shared" ca="1" si="105"/>
        <v>-1</v>
      </c>
      <c r="Y413" s="7">
        <f t="shared" ca="1" si="106"/>
        <v>-0.78787878787878785</v>
      </c>
      <c r="Z413" s="7">
        <f t="shared" ca="1" si="101"/>
        <v>-7.6362902246376416E-2</v>
      </c>
      <c r="AA413" s="33">
        <f t="shared" ca="1" si="107"/>
        <v>875</v>
      </c>
      <c r="AB413" s="7">
        <f t="shared" ca="1" si="108"/>
        <v>1</v>
      </c>
      <c r="AC413" s="7">
        <f t="shared" ca="1" si="109"/>
        <v>0.60606060606060608</v>
      </c>
    </row>
    <row r="414" spans="1:29" x14ac:dyDescent="0.25">
      <c r="A414" s="1">
        <v>411</v>
      </c>
      <c r="B414" s="25">
        <v>44007</v>
      </c>
      <c r="C414" s="10" t="s">
        <v>478</v>
      </c>
      <c r="D414" s="1">
        <v>47.05</v>
      </c>
      <c r="E414" s="30">
        <v>7000</v>
      </c>
      <c r="F414" s="1">
        <v>44</v>
      </c>
      <c r="G414" s="1">
        <v>1.6</v>
      </c>
      <c r="H414" s="1">
        <v>35</v>
      </c>
      <c r="I414" s="1">
        <v>0.25</v>
      </c>
      <c r="J414" s="1">
        <v>581000</v>
      </c>
      <c r="K414" s="1">
        <v>175000</v>
      </c>
      <c r="L414" s="1">
        <v>0.15</v>
      </c>
      <c r="M414" s="1">
        <v>0.2</v>
      </c>
      <c r="N414" s="1">
        <v>14000</v>
      </c>
      <c r="O414" s="9"/>
      <c r="P414" s="7">
        <f t="shared" ca="1" si="96"/>
        <v>0.15000000000000002</v>
      </c>
      <c r="Q414" s="7">
        <f t="shared" ca="1" si="102"/>
        <v>7.5000000000000015E-3</v>
      </c>
      <c r="R414" s="33">
        <f t="shared" ca="1" si="97"/>
        <v>9450</v>
      </c>
      <c r="S414" s="33">
        <f t="shared" ca="1" si="98"/>
        <v>-53550</v>
      </c>
      <c r="T414" s="33">
        <f t="shared" ca="1" si="103"/>
        <v>9450</v>
      </c>
      <c r="U414" s="7">
        <f t="shared" ca="1" si="99"/>
        <v>0.17647058823529413</v>
      </c>
      <c r="V414" s="7">
        <f t="shared" ca="1" si="100"/>
        <v>-0.83932969073802666</v>
      </c>
      <c r="W414" s="33">
        <f t="shared" ca="1" si="104"/>
        <v>-53550</v>
      </c>
      <c r="X414" s="7">
        <f t="shared" ca="1" si="105"/>
        <v>-1</v>
      </c>
      <c r="Y414" s="7">
        <f t="shared" ca="1" si="106"/>
        <v>-0.82352941176470584</v>
      </c>
      <c r="Z414" s="7">
        <f t="shared" ca="1" si="101"/>
        <v>-0.15966402577526226</v>
      </c>
      <c r="AA414" s="33">
        <f t="shared" ca="1" si="107"/>
        <v>-21785.346889082626</v>
      </c>
      <c r="AB414" s="7">
        <f t="shared" ca="1" si="108"/>
        <v>-2.3053277131304366</v>
      </c>
      <c r="AC414" s="7">
        <f t="shared" ca="1" si="109"/>
        <v>-1.0644285624475713</v>
      </c>
    </row>
    <row r="415" spans="1:29" x14ac:dyDescent="0.25">
      <c r="A415" s="1">
        <v>412</v>
      </c>
      <c r="B415" s="25">
        <v>44007</v>
      </c>
      <c r="C415" s="10" t="s">
        <v>478</v>
      </c>
      <c r="D415" s="1">
        <v>47.05</v>
      </c>
      <c r="E415" s="30">
        <v>7000</v>
      </c>
      <c r="F415" s="1">
        <v>44</v>
      </c>
      <c r="G415" s="1">
        <v>1.6</v>
      </c>
      <c r="H415" s="1">
        <v>37.5</v>
      </c>
      <c r="I415" s="1">
        <v>0.4</v>
      </c>
      <c r="J415" s="1">
        <v>322000</v>
      </c>
      <c r="K415" s="1">
        <v>42000</v>
      </c>
      <c r="L415" s="1">
        <v>0.3</v>
      </c>
      <c r="M415" s="1">
        <v>0.4</v>
      </c>
      <c r="N415" s="1">
        <v>42000</v>
      </c>
      <c r="O415" s="9"/>
      <c r="P415" s="7">
        <f t="shared" ca="1" si="96"/>
        <v>0.18461538461538465</v>
      </c>
      <c r="Q415" s="7">
        <f t="shared" ca="1" si="102"/>
        <v>9.2307692307692334E-3</v>
      </c>
      <c r="R415" s="33">
        <f t="shared" ca="1" si="97"/>
        <v>8400.0000000000018</v>
      </c>
      <c r="S415" s="33">
        <f t="shared" ca="1" si="98"/>
        <v>-37100</v>
      </c>
      <c r="T415" s="33">
        <f t="shared" ca="1" si="103"/>
        <v>8400.0000000000018</v>
      </c>
      <c r="U415" s="7">
        <f t="shared" ca="1" si="99"/>
        <v>0.2264150943396227</v>
      </c>
      <c r="V415" s="7">
        <f t="shared" ca="1" si="100"/>
        <v>-0.83932969073802666</v>
      </c>
      <c r="W415" s="33">
        <f t="shared" ca="1" si="104"/>
        <v>-37100</v>
      </c>
      <c r="X415" s="7">
        <f t="shared" ca="1" si="105"/>
        <v>-1</v>
      </c>
      <c r="Y415" s="7">
        <f t="shared" ca="1" si="106"/>
        <v>-0.7735849056603773</v>
      </c>
      <c r="Z415" s="7">
        <f t="shared" ca="1" si="101"/>
        <v>-0.15966402577526226</v>
      </c>
      <c r="AA415" s="33">
        <f t="shared" ca="1" si="107"/>
        <v>-22835.346889082626</v>
      </c>
      <c r="AB415" s="7">
        <f t="shared" ca="1" si="108"/>
        <v>-2.7184936772717405</v>
      </c>
      <c r="AC415" s="7">
        <f t="shared" ca="1" si="109"/>
        <v>-1.246039291466059</v>
      </c>
    </row>
    <row r="416" spans="1:29" x14ac:dyDescent="0.25">
      <c r="A416" s="1">
        <v>413</v>
      </c>
      <c r="B416" s="25">
        <v>44007</v>
      </c>
      <c r="C416" s="10" t="s">
        <v>478</v>
      </c>
      <c r="D416" s="1">
        <v>47.05</v>
      </c>
      <c r="E416" s="30">
        <v>7000</v>
      </c>
      <c r="F416" s="1">
        <v>44</v>
      </c>
      <c r="G416" s="1">
        <v>1.6</v>
      </c>
      <c r="H416" s="1">
        <v>40</v>
      </c>
      <c r="I416" s="1">
        <v>0.7</v>
      </c>
      <c r="J416" s="1">
        <v>2324000</v>
      </c>
      <c r="K416" s="1">
        <v>42000</v>
      </c>
      <c r="L416" s="1">
        <v>0.65</v>
      </c>
      <c r="M416" s="1">
        <v>0.7</v>
      </c>
      <c r="N416" s="1">
        <v>70000</v>
      </c>
      <c r="O416" s="9"/>
      <c r="P416" s="7">
        <f t="shared" ca="1" si="96"/>
        <v>0.22500000000000003</v>
      </c>
      <c r="Q416" s="7">
        <f t="shared" ca="1" si="102"/>
        <v>1.1250000000000001E-2</v>
      </c>
      <c r="R416" s="33">
        <f t="shared" ca="1" si="97"/>
        <v>6300.0000000000009</v>
      </c>
      <c r="S416" s="33">
        <f t="shared" ca="1" si="98"/>
        <v>-21700</v>
      </c>
      <c r="T416" s="33">
        <f t="shared" ca="1" si="103"/>
        <v>6300.0000000000009</v>
      </c>
      <c r="U416" s="7">
        <f t="shared" ca="1" si="99"/>
        <v>0.29032258064516131</v>
      </c>
      <c r="V416" s="7">
        <f t="shared" ca="1" si="100"/>
        <v>-0.83932969073802666</v>
      </c>
      <c r="W416" s="33">
        <f t="shared" ca="1" si="104"/>
        <v>-21700</v>
      </c>
      <c r="X416" s="7">
        <f t="shared" ca="1" si="105"/>
        <v>-1</v>
      </c>
      <c r="Y416" s="7">
        <f t="shared" ca="1" si="106"/>
        <v>-0.70967741935483875</v>
      </c>
      <c r="Z416" s="7">
        <f t="shared" ca="1" si="101"/>
        <v>-0.15966402577526226</v>
      </c>
      <c r="AA416" s="33">
        <f t="shared" ca="1" si="107"/>
        <v>-21700</v>
      </c>
      <c r="AB416" s="7">
        <f t="shared" ca="1" si="108"/>
        <v>-3.4444444444444438</v>
      </c>
      <c r="AC416" s="7">
        <f t="shared" ca="1" si="109"/>
        <v>-1.5770609318996411</v>
      </c>
    </row>
    <row r="417" spans="1:29" x14ac:dyDescent="0.25">
      <c r="A417" s="1">
        <v>414</v>
      </c>
      <c r="B417" s="25">
        <v>44007</v>
      </c>
      <c r="C417" s="10" t="s">
        <v>478</v>
      </c>
      <c r="D417" s="1">
        <v>47.05</v>
      </c>
      <c r="E417" s="30">
        <v>7000</v>
      </c>
      <c r="F417" s="1">
        <v>44</v>
      </c>
      <c r="G417" s="1">
        <v>1.6</v>
      </c>
      <c r="H417" s="1">
        <v>41</v>
      </c>
      <c r="I417" s="1">
        <v>0.5</v>
      </c>
      <c r="J417" s="1">
        <v>63000</v>
      </c>
      <c r="K417" s="1">
        <v>35000</v>
      </c>
      <c r="L417" s="1">
        <v>0.65</v>
      </c>
      <c r="M417" s="1">
        <v>1.2</v>
      </c>
      <c r="N417" s="1">
        <v>56000</v>
      </c>
      <c r="O417" s="9"/>
      <c r="P417" s="7">
        <f t="shared" ca="1" si="96"/>
        <v>0.3666666666666667</v>
      </c>
      <c r="Q417" s="7">
        <f t="shared" ca="1" si="102"/>
        <v>1.8333333333333333E-2</v>
      </c>
      <c r="R417" s="33">
        <f t="shared" ca="1" si="97"/>
        <v>7700.0000000000009</v>
      </c>
      <c r="S417" s="33">
        <f t="shared" ca="1" si="98"/>
        <v>-13300</v>
      </c>
      <c r="T417" s="33">
        <f t="shared" ca="1" si="103"/>
        <v>7700.0000000000009</v>
      </c>
      <c r="U417" s="7">
        <f t="shared" ca="1" si="99"/>
        <v>0.57894736842105265</v>
      </c>
      <c r="V417" s="7">
        <f t="shared" ca="1" si="100"/>
        <v>-0.83932969073802666</v>
      </c>
      <c r="W417" s="33">
        <f t="shared" ca="1" si="104"/>
        <v>-13300</v>
      </c>
      <c r="X417" s="7">
        <f t="shared" ca="1" si="105"/>
        <v>-1</v>
      </c>
      <c r="Y417" s="7">
        <f t="shared" ca="1" si="106"/>
        <v>-0.42105263157894735</v>
      </c>
      <c r="Z417" s="7">
        <f t="shared" ca="1" si="101"/>
        <v>-0.15966402577526226</v>
      </c>
      <c r="AA417" s="33">
        <f t="shared" ca="1" si="107"/>
        <v>-13300</v>
      </c>
      <c r="AB417" s="7">
        <f t="shared" ca="1" si="108"/>
        <v>-1.7272727272727271</v>
      </c>
      <c r="AC417" s="7">
        <f t="shared" ca="1" si="109"/>
        <v>-0.57416267942583721</v>
      </c>
    </row>
    <row r="418" spans="1:29" x14ac:dyDescent="0.25">
      <c r="A418" s="1">
        <v>415</v>
      </c>
      <c r="B418" s="25">
        <v>44007</v>
      </c>
      <c r="C418" s="10" t="s">
        <v>478</v>
      </c>
      <c r="D418" s="1">
        <v>47.05</v>
      </c>
      <c r="E418" s="30">
        <v>7000</v>
      </c>
      <c r="F418" s="1">
        <v>44</v>
      </c>
      <c r="G418" s="1">
        <v>1.6</v>
      </c>
      <c r="H418" s="1">
        <v>42</v>
      </c>
      <c r="I418" s="1">
        <v>0.95</v>
      </c>
      <c r="J418" s="1">
        <v>175000</v>
      </c>
      <c r="K418" s="1">
        <v>35000</v>
      </c>
      <c r="L418" s="1">
        <v>1</v>
      </c>
      <c r="M418" s="1">
        <v>1.1000000000000001</v>
      </c>
      <c r="N418" s="1">
        <v>35000</v>
      </c>
      <c r="O418" s="9"/>
      <c r="P418" s="7">
        <f t="shared" ca="1" si="96"/>
        <v>0.32500000000000007</v>
      </c>
      <c r="Q418" s="7">
        <f t="shared" ca="1" si="102"/>
        <v>1.6250000000000004E-2</v>
      </c>
      <c r="R418" s="33">
        <f t="shared" ca="1" si="97"/>
        <v>4550.0000000000009</v>
      </c>
      <c r="S418" s="33">
        <f t="shared" ca="1" si="98"/>
        <v>-9450</v>
      </c>
      <c r="T418" s="33">
        <f t="shared" ca="1" si="103"/>
        <v>4550.0000000000009</v>
      </c>
      <c r="U418" s="7">
        <f t="shared" ca="1" si="99"/>
        <v>0.48148148148148157</v>
      </c>
      <c r="V418" s="7">
        <f t="shared" ca="1" si="100"/>
        <v>-0.83932969073802666</v>
      </c>
      <c r="W418" s="33">
        <f t="shared" ca="1" si="104"/>
        <v>-9450</v>
      </c>
      <c r="X418" s="7">
        <f t="shared" ca="1" si="105"/>
        <v>-1</v>
      </c>
      <c r="Y418" s="7">
        <f t="shared" ca="1" si="106"/>
        <v>-0.51851851851851838</v>
      </c>
      <c r="Z418" s="7">
        <f t="shared" ca="1" si="101"/>
        <v>-0.15966402577526226</v>
      </c>
      <c r="AA418" s="33">
        <f t="shared" ca="1" si="107"/>
        <v>-9450</v>
      </c>
      <c r="AB418" s="7">
        <f t="shared" ca="1" si="108"/>
        <v>-2.0769230769230766</v>
      </c>
      <c r="AC418" s="7">
        <f t="shared" ca="1" si="109"/>
        <v>-0.79772079772079751</v>
      </c>
    </row>
    <row r="419" spans="1:29" x14ac:dyDescent="0.25">
      <c r="A419" s="1">
        <v>416</v>
      </c>
      <c r="B419" s="25">
        <v>44007</v>
      </c>
      <c r="C419" s="10" t="s">
        <v>478</v>
      </c>
      <c r="D419" s="1">
        <v>47.05</v>
      </c>
      <c r="E419" s="30">
        <v>7000</v>
      </c>
      <c r="F419" s="1">
        <v>44</v>
      </c>
      <c r="G419" s="1">
        <v>1.6</v>
      </c>
      <c r="H419" s="1">
        <v>42.5</v>
      </c>
      <c r="I419" s="1">
        <v>1.1499999999999999</v>
      </c>
      <c r="J419" s="1">
        <v>707000</v>
      </c>
      <c r="K419" s="1">
        <v>77000</v>
      </c>
      <c r="L419" s="1">
        <v>1.1000000000000001</v>
      </c>
      <c r="M419" s="1">
        <v>1.2</v>
      </c>
      <c r="N419" s="1">
        <v>77000</v>
      </c>
      <c r="O419" s="9"/>
      <c r="P419" s="7">
        <f t="shared" ca="1" si="96"/>
        <v>0.3000000000000001</v>
      </c>
      <c r="Q419" s="7">
        <f t="shared" ca="1" si="102"/>
        <v>1.5000000000000005E-2</v>
      </c>
      <c r="R419" s="33">
        <f t="shared" ca="1" si="97"/>
        <v>3150.0000000000014</v>
      </c>
      <c r="S419" s="33">
        <f t="shared" ca="1" si="98"/>
        <v>-7349.9999999999982</v>
      </c>
      <c r="T419" s="33">
        <f t="shared" ca="1" si="103"/>
        <v>3150.0000000000014</v>
      </c>
      <c r="U419" s="7">
        <f t="shared" ca="1" si="99"/>
        <v>0.42857142857142888</v>
      </c>
      <c r="V419" s="7">
        <f t="shared" ca="1" si="100"/>
        <v>-0.83932969073802666</v>
      </c>
      <c r="W419" s="33">
        <f t="shared" ca="1" si="104"/>
        <v>-7349.9999999999982</v>
      </c>
      <c r="X419" s="7">
        <f t="shared" ca="1" si="105"/>
        <v>-1</v>
      </c>
      <c r="Y419" s="7">
        <f t="shared" ca="1" si="106"/>
        <v>-0.57142857142857117</v>
      </c>
      <c r="Z419" s="7">
        <f t="shared" ca="1" si="101"/>
        <v>-0.15966402577526226</v>
      </c>
      <c r="AA419" s="33">
        <f t="shared" ca="1" si="107"/>
        <v>-7349.9999999999982</v>
      </c>
      <c r="AB419" s="7">
        <f t="shared" ca="1" si="108"/>
        <v>-2.3333333333333317</v>
      </c>
      <c r="AC419" s="7">
        <f t="shared" ca="1" si="109"/>
        <v>-0.95238095238095144</v>
      </c>
    </row>
    <row r="420" spans="1:29" x14ac:dyDescent="0.25">
      <c r="A420" s="1">
        <v>417</v>
      </c>
      <c r="B420" s="25">
        <v>44007</v>
      </c>
      <c r="C420" s="10" t="s">
        <v>478</v>
      </c>
      <c r="D420" s="1">
        <v>47.05</v>
      </c>
      <c r="E420" s="30">
        <v>7000</v>
      </c>
      <c r="F420" s="1">
        <v>44</v>
      </c>
      <c r="G420" s="1">
        <v>1.6</v>
      </c>
      <c r="H420" s="1">
        <v>43</v>
      </c>
      <c r="I420" s="1">
        <v>1.3</v>
      </c>
      <c r="J420" s="1">
        <v>217000</v>
      </c>
      <c r="K420" s="1">
        <v>56000</v>
      </c>
      <c r="L420" s="1">
        <v>1.25</v>
      </c>
      <c r="M420" s="1">
        <v>1.3</v>
      </c>
      <c r="N420" s="1">
        <v>49000</v>
      </c>
      <c r="O420" s="9"/>
      <c r="P420" s="7">
        <f t="shared" ca="1" si="96"/>
        <v>0.30000000000000004</v>
      </c>
      <c r="Q420" s="7">
        <f t="shared" ca="1" si="102"/>
        <v>1.5000000000000003E-2</v>
      </c>
      <c r="R420" s="33">
        <f t="shared" ca="1" si="97"/>
        <v>2100.0000000000005</v>
      </c>
      <c r="S420" s="33">
        <f t="shared" ca="1" si="98"/>
        <v>-4900</v>
      </c>
      <c r="T420" s="33">
        <f t="shared" ca="1" si="103"/>
        <v>2100.0000000000005</v>
      </c>
      <c r="U420" s="7">
        <f t="shared" ca="1" si="99"/>
        <v>0.42857142857142866</v>
      </c>
      <c r="V420" s="7">
        <f t="shared" ca="1" si="100"/>
        <v>-0.83932969073802666</v>
      </c>
      <c r="W420" s="33">
        <f t="shared" ca="1" si="104"/>
        <v>-4900</v>
      </c>
      <c r="X420" s="7">
        <f t="shared" ca="1" si="105"/>
        <v>-1</v>
      </c>
      <c r="Y420" s="7">
        <f t="shared" ca="1" si="106"/>
        <v>-0.5714285714285714</v>
      </c>
      <c r="Z420" s="7">
        <f t="shared" ca="1" si="101"/>
        <v>-0.15966402577526226</v>
      </c>
      <c r="AA420" s="33">
        <f t="shared" ca="1" si="107"/>
        <v>-4900</v>
      </c>
      <c r="AB420" s="7">
        <f t="shared" ca="1" si="108"/>
        <v>-2.333333333333333</v>
      </c>
      <c r="AC420" s="7">
        <f t="shared" ca="1" si="109"/>
        <v>-0.95238095238095222</v>
      </c>
    </row>
    <row r="421" spans="1:29" x14ac:dyDescent="0.25">
      <c r="A421" s="1">
        <v>418</v>
      </c>
      <c r="B421" s="25">
        <v>44007</v>
      </c>
      <c r="C421" s="10" t="s">
        <v>50</v>
      </c>
      <c r="D421" s="1">
        <v>343.5</v>
      </c>
      <c r="E421" s="30">
        <v>2500</v>
      </c>
      <c r="F421" s="1">
        <v>315</v>
      </c>
      <c r="G421" s="1">
        <v>3.45</v>
      </c>
      <c r="H421" s="1">
        <v>300</v>
      </c>
      <c r="I421" s="1">
        <v>1.9</v>
      </c>
      <c r="J421" s="1">
        <v>317500</v>
      </c>
      <c r="K421" s="1">
        <v>5000</v>
      </c>
      <c r="L421" s="1">
        <v>1.8</v>
      </c>
      <c r="M421" s="1">
        <v>1.9</v>
      </c>
      <c r="N421" s="1">
        <v>2500</v>
      </c>
      <c r="O421" s="9"/>
      <c r="P421" s="7">
        <f t="shared" ca="1" si="96"/>
        <v>0.10333333333333335</v>
      </c>
      <c r="Q421" s="7">
        <f t="shared" ca="1" si="102"/>
        <v>5.1666666666666675E-3</v>
      </c>
      <c r="R421" s="33">
        <f t="shared" ca="1" si="97"/>
        <v>3875.0000000000005</v>
      </c>
      <c r="S421" s="33">
        <f t="shared" ca="1" si="98"/>
        <v>-33625</v>
      </c>
      <c r="T421" s="33">
        <f t="shared" ca="1" si="103"/>
        <v>3875.0000000000005</v>
      </c>
      <c r="U421" s="7">
        <f t="shared" ca="1" si="99"/>
        <v>0.11524163568773235</v>
      </c>
      <c r="V421" s="7">
        <f t="shared" ca="1" si="100"/>
        <v>-0.5804342825179073</v>
      </c>
      <c r="W421" s="33">
        <f t="shared" ca="1" si="104"/>
        <v>-33625</v>
      </c>
      <c r="X421" s="7">
        <f t="shared" ca="1" si="105"/>
        <v>-1</v>
      </c>
      <c r="Y421" s="7">
        <f t="shared" ca="1" si="106"/>
        <v>-0.88475836431226762</v>
      </c>
      <c r="Z421" s="7">
        <f t="shared" ca="1" si="101"/>
        <v>-0.10506428226541671</v>
      </c>
      <c r="AA421" s="33">
        <f t="shared" ca="1" si="107"/>
        <v>-15098.952395426608</v>
      </c>
      <c r="AB421" s="7">
        <f t="shared" ca="1" si="108"/>
        <v>-3.8965038439810598</v>
      </c>
      <c r="AC421" s="7">
        <f t="shared" ca="1" si="109"/>
        <v>-1.8906311041466637</v>
      </c>
    </row>
    <row r="422" spans="1:29" x14ac:dyDescent="0.25">
      <c r="A422" s="1">
        <v>419</v>
      </c>
      <c r="B422" s="25">
        <v>44007</v>
      </c>
      <c r="C422" s="10" t="s">
        <v>453</v>
      </c>
      <c r="D422" s="1">
        <v>47.7</v>
      </c>
      <c r="E422" s="30">
        <v>4900</v>
      </c>
      <c r="F422" s="1">
        <v>43</v>
      </c>
      <c r="G422" s="1">
        <v>1.75</v>
      </c>
      <c r="H422" s="1">
        <v>35</v>
      </c>
      <c r="I422" s="1">
        <v>0.4</v>
      </c>
      <c r="J422" s="1">
        <v>181300</v>
      </c>
      <c r="K422" s="1">
        <v>9800</v>
      </c>
      <c r="L422" s="1">
        <v>0.35</v>
      </c>
      <c r="M422" s="1">
        <v>0.4</v>
      </c>
      <c r="N422" s="1">
        <v>4900</v>
      </c>
      <c r="O422" s="9"/>
      <c r="P422" s="7">
        <f t="shared" ca="1" si="96"/>
        <v>0.16875000000000001</v>
      </c>
      <c r="Q422" s="7">
        <f t="shared" ca="1" si="102"/>
        <v>8.4375000000000006E-3</v>
      </c>
      <c r="R422" s="33">
        <f t="shared" ca="1" si="97"/>
        <v>6615</v>
      </c>
      <c r="S422" s="33">
        <f t="shared" ca="1" si="98"/>
        <v>-32585</v>
      </c>
      <c r="T422" s="33">
        <f t="shared" ca="1" si="103"/>
        <v>6615</v>
      </c>
      <c r="U422" s="7">
        <f t="shared" ca="1" si="99"/>
        <v>0.20300751879699247</v>
      </c>
      <c r="V422" s="7">
        <f t="shared" ca="1" si="100"/>
        <v>-1.1493983082632562</v>
      </c>
      <c r="W422" s="33">
        <f t="shared" ca="1" si="104"/>
        <v>-32585</v>
      </c>
      <c r="X422" s="7">
        <f t="shared" ca="1" si="105"/>
        <v>-1</v>
      </c>
      <c r="Y422" s="7">
        <f t="shared" ca="1" si="106"/>
        <v>-0.79699248120300759</v>
      </c>
      <c r="Z422" s="7">
        <f t="shared" ca="1" si="101"/>
        <v>-0.30002848634584478</v>
      </c>
      <c r="AA422" s="33">
        <f t="shared" ca="1" si="107"/>
        <v>-32585</v>
      </c>
      <c r="AB422" s="7">
        <f t="shared" ca="1" si="108"/>
        <v>-4.9259259259259256</v>
      </c>
      <c r="AC422" s="7">
        <f t="shared" ca="1" si="109"/>
        <v>-2.3614592035644666</v>
      </c>
    </row>
    <row r="423" spans="1:29" x14ac:dyDescent="0.25">
      <c r="A423" s="1">
        <v>420</v>
      </c>
      <c r="B423" s="25">
        <v>44007</v>
      </c>
      <c r="C423" s="10" t="s">
        <v>453</v>
      </c>
      <c r="D423" s="1">
        <v>47.7</v>
      </c>
      <c r="E423" s="30">
        <v>4900</v>
      </c>
      <c r="F423" s="1">
        <v>43</v>
      </c>
      <c r="G423" s="1">
        <v>1.75</v>
      </c>
      <c r="H423" s="1">
        <v>40</v>
      </c>
      <c r="I423" s="1">
        <v>1.05</v>
      </c>
      <c r="J423" s="1">
        <v>357700</v>
      </c>
      <c r="K423" s="1">
        <v>9800</v>
      </c>
      <c r="L423" s="1">
        <v>0.95</v>
      </c>
      <c r="M423" s="1">
        <v>1.1499999999999999</v>
      </c>
      <c r="N423" s="1">
        <v>4900</v>
      </c>
      <c r="O423" s="9"/>
      <c r="P423" s="7">
        <f t="shared" ca="1" si="96"/>
        <v>0.23333333333333331</v>
      </c>
      <c r="Q423" s="7">
        <f t="shared" ca="1" si="102"/>
        <v>1.1666666666666665E-2</v>
      </c>
      <c r="R423" s="33">
        <f t="shared" ca="1" si="97"/>
        <v>3430</v>
      </c>
      <c r="S423" s="33">
        <f t="shared" ca="1" si="98"/>
        <v>-11270</v>
      </c>
      <c r="T423" s="33">
        <f t="shared" ca="1" si="103"/>
        <v>3430</v>
      </c>
      <c r="U423" s="7">
        <f t="shared" ca="1" si="99"/>
        <v>0.30434782608695654</v>
      </c>
      <c r="V423" s="7">
        <f t="shared" ca="1" si="100"/>
        <v>-1.1493983082632562</v>
      </c>
      <c r="W423" s="33">
        <f t="shared" ca="1" si="104"/>
        <v>-11270</v>
      </c>
      <c r="X423" s="7">
        <f t="shared" ca="1" si="105"/>
        <v>-1</v>
      </c>
      <c r="Y423" s="7">
        <f t="shared" ca="1" si="106"/>
        <v>-0.69565217391304346</v>
      </c>
      <c r="Z423" s="7">
        <f t="shared" ca="1" si="101"/>
        <v>-0.30002848634584478</v>
      </c>
      <c r="AA423" s="33">
        <f t="shared" ca="1" si="107"/>
        <v>-11270</v>
      </c>
      <c r="AB423" s="7">
        <f t="shared" ca="1" si="108"/>
        <v>-3.2857142857142856</v>
      </c>
      <c r="AC423" s="7">
        <f t="shared" ca="1" si="109"/>
        <v>-1.4906832298136645</v>
      </c>
    </row>
    <row r="424" spans="1:29" x14ac:dyDescent="0.25">
      <c r="A424" s="1">
        <v>421</v>
      </c>
      <c r="B424" s="25">
        <v>44007</v>
      </c>
      <c r="C424" s="10" t="s">
        <v>1532</v>
      </c>
      <c r="D424" s="1">
        <v>402</v>
      </c>
      <c r="E424" s="30">
        <v>1200</v>
      </c>
      <c r="F424" s="1">
        <v>360</v>
      </c>
      <c r="G424" s="1">
        <v>5.6</v>
      </c>
      <c r="H424" s="1">
        <v>350</v>
      </c>
      <c r="I424" s="1">
        <v>4.45</v>
      </c>
      <c r="J424" s="1">
        <v>44400</v>
      </c>
      <c r="K424" s="1">
        <v>1200</v>
      </c>
      <c r="L424" s="1">
        <v>4.3499999999999996</v>
      </c>
      <c r="M424" s="1">
        <v>4.6500000000000004</v>
      </c>
      <c r="N424" s="1">
        <v>2400</v>
      </c>
      <c r="O424" s="9"/>
      <c r="P424" s="7">
        <f t="shared" ca="1" si="96"/>
        <v>0.11499999999999995</v>
      </c>
      <c r="Q424" s="7">
        <f t="shared" ca="1" si="102"/>
        <v>5.7499999999999973E-3</v>
      </c>
      <c r="R424" s="33">
        <f t="shared" ca="1" si="97"/>
        <v>1379.9999999999993</v>
      </c>
      <c r="S424" s="33">
        <f t="shared" ca="1" si="98"/>
        <v>-10620</v>
      </c>
      <c r="T424" s="33">
        <f t="shared" ca="1" si="103"/>
        <v>1379.9999999999993</v>
      </c>
      <c r="U424" s="7">
        <f t="shared" ca="1" si="99"/>
        <v>0.1299435028248587</v>
      </c>
      <c r="V424" s="7">
        <f t="shared" ca="1" si="100"/>
        <v>-0.5577240215970648</v>
      </c>
      <c r="W424" s="33">
        <f t="shared" ca="1" si="104"/>
        <v>-10620</v>
      </c>
      <c r="X424" s="7">
        <f t="shared" ca="1" si="105"/>
        <v>-1</v>
      </c>
      <c r="Y424" s="7">
        <f t="shared" ca="1" si="106"/>
        <v>-0.87005649717514133</v>
      </c>
      <c r="Z424" s="7">
        <f t="shared" ca="1" si="101"/>
        <v>-0.11524857145856024</v>
      </c>
      <c r="AA424" s="33">
        <f t="shared" ca="1" si="107"/>
        <v>-3815.910871609477</v>
      </c>
      <c r="AB424" s="7">
        <f t="shared" ca="1" si="108"/>
        <v>-2.765152805514115</v>
      </c>
      <c r="AC424" s="7">
        <f t="shared" ca="1" si="109"/>
        <v>-1.3176046513446282</v>
      </c>
    </row>
    <row r="425" spans="1:29" x14ac:dyDescent="0.25">
      <c r="A425" s="1">
        <v>422</v>
      </c>
      <c r="B425" s="25">
        <v>44007</v>
      </c>
      <c r="C425" s="10" t="s">
        <v>623</v>
      </c>
      <c r="D425" s="1">
        <v>2334.4499999999998</v>
      </c>
      <c r="E425" s="30">
        <v>200</v>
      </c>
      <c r="F425" s="1">
        <v>2150</v>
      </c>
      <c r="G425" s="1">
        <v>38.450000000000003</v>
      </c>
      <c r="H425" s="1">
        <v>1900</v>
      </c>
      <c r="I425" s="1">
        <v>7.6</v>
      </c>
      <c r="J425" s="1">
        <v>21000</v>
      </c>
      <c r="K425" s="1">
        <v>200</v>
      </c>
      <c r="L425" s="1">
        <v>5</v>
      </c>
      <c r="M425" s="1">
        <v>13.2</v>
      </c>
      <c r="N425" s="1">
        <v>3800</v>
      </c>
      <c r="O425" s="9"/>
      <c r="P425" s="7">
        <f t="shared" ca="1" si="96"/>
        <v>0.12340000000000001</v>
      </c>
      <c r="Q425" s="7">
        <f t="shared" ca="1" si="102"/>
        <v>6.1700000000000001E-3</v>
      </c>
      <c r="R425" s="33">
        <f t="shared" ca="1" si="97"/>
        <v>6170</v>
      </c>
      <c r="S425" s="33">
        <f t="shared" ca="1" si="98"/>
        <v>-43830</v>
      </c>
      <c r="T425" s="33">
        <f t="shared" ca="1" si="103"/>
        <v>6170</v>
      </c>
      <c r="U425" s="7">
        <f t="shared" ca="1" si="99"/>
        <v>0.14077116130504222</v>
      </c>
      <c r="V425" s="7">
        <f t="shared" ca="1" si="100"/>
        <v>-0.33769938433651853</v>
      </c>
      <c r="W425" s="33">
        <f t="shared" ca="1" si="104"/>
        <v>-43830</v>
      </c>
      <c r="X425" s="7">
        <f t="shared" ca="1" si="105"/>
        <v>-1</v>
      </c>
      <c r="Y425" s="7">
        <f t="shared" ca="1" si="106"/>
        <v>-0.85922883869495781</v>
      </c>
      <c r="Z425" s="7">
        <f t="shared" ca="1" si="101"/>
        <v>-0.12188030959634034</v>
      </c>
      <c r="AA425" s="33">
        <f t="shared" ca="1" si="107"/>
        <v>-13844.697747435366</v>
      </c>
      <c r="AB425" s="7">
        <f t="shared" ca="1" si="108"/>
        <v>-2.243873216764241</v>
      </c>
      <c r="AC425" s="7">
        <f t="shared" ca="1" si="109"/>
        <v>-1.0515510277295994</v>
      </c>
    </row>
    <row r="426" spans="1:29" x14ac:dyDescent="0.25">
      <c r="A426" s="1">
        <v>423</v>
      </c>
      <c r="B426" s="25">
        <v>44007</v>
      </c>
      <c r="C426" s="10" t="s">
        <v>623</v>
      </c>
      <c r="D426" s="1">
        <v>2334.4499999999998</v>
      </c>
      <c r="E426" s="30">
        <v>200</v>
      </c>
      <c r="F426" s="1">
        <v>2150</v>
      </c>
      <c r="G426" s="1">
        <v>38.450000000000003</v>
      </c>
      <c r="H426" s="1">
        <v>2000</v>
      </c>
      <c r="I426" s="1">
        <v>14</v>
      </c>
      <c r="J426" s="1">
        <v>54800</v>
      </c>
      <c r="K426" s="1">
        <v>200</v>
      </c>
      <c r="L426" s="1">
        <v>13.75</v>
      </c>
      <c r="M426" s="1">
        <v>14.6</v>
      </c>
      <c r="N426" s="1">
        <v>400</v>
      </c>
      <c r="O426" s="9"/>
      <c r="P426" s="7">
        <f t="shared" ca="1" si="96"/>
        <v>0.16300000000000001</v>
      </c>
      <c r="Q426" s="7">
        <f t="shared" ca="1" si="102"/>
        <v>8.150000000000001E-3</v>
      </c>
      <c r="R426" s="33">
        <f t="shared" ca="1" si="97"/>
        <v>4890.0000000000009</v>
      </c>
      <c r="S426" s="33">
        <f t="shared" ca="1" si="98"/>
        <v>-25110</v>
      </c>
      <c r="T426" s="33">
        <f t="shared" ca="1" si="103"/>
        <v>4890.0000000000009</v>
      </c>
      <c r="U426" s="7">
        <f t="shared" ca="1" si="99"/>
        <v>0.19474313022700124</v>
      </c>
      <c r="V426" s="7">
        <f t="shared" ca="1" si="100"/>
        <v>-0.33769938433651853</v>
      </c>
      <c r="W426" s="33">
        <f t="shared" ca="1" si="104"/>
        <v>-25110</v>
      </c>
      <c r="X426" s="7">
        <f t="shared" ca="1" si="105"/>
        <v>-1</v>
      </c>
      <c r="Y426" s="7">
        <f t="shared" ca="1" si="106"/>
        <v>-0.80525686977299871</v>
      </c>
      <c r="Z426" s="7">
        <f t="shared" ca="1" si="101"/>
        <v>-0.12188030959634034</v>
      </c>
      <c r="AA426" s="33">
        <f t="shared" ca="1" si="107"/>
        <v>-15124.697747435366</v>
      </c>
      <c r="AB426" s="7">
        <f t="shared" ca="1" si="108"/>
        <v>-3.0929852244244098</v>
      </c>
      <c r="AC426" s="7">
        <f t="shared" ca="1" si="109"/>
        <v>-1.4491210470987044</v>
      </c>
    </row>
    <row r="427" spans="1:29" x14ac:dyDescent="0.25">
      <c r="A427" s="1">
        <v>424</v>
      </c>
      <c r="B427" s="25">
        <v>44007</v>
      </c>
      <c r="C427" s="10" t="s">
        <v>623</v>
      </c>
      <c r="D427" s="1">
        <v>2334.4499999999998</v>
      </c>
      <c r="E427" s="30">
        <v>200</v>
      </c>
      <c r="F427" s="1">
        <v>2150</v>
      </c>
      <c r="G427" s="1">
        <v>38.450000000000003</v>
      </c>
      <c r="H427" s="1">
        <v>2100</v>
      </c>
      <c r="I427" s="1">
        <v>29.3</v>
      </c>
      <c r="J427" s="1">
        <v>48000</v>
      </c>
      <c r="K427" s="1">
        <v>200</v>
      </c>
      <c r="L427" s="1">
        <v>27.45</v>
      </c>
      <c r="M427" s="1">
        <v>28.25</v>
      </c>
      <c r="N427" s="1">
        <v>200</v>
      </c>
      <c r="O427" s="9"/>
      <c r="P427" s="7">
        <f t="shared" ca="1" si="96"/>
        <v>0.18300000000000005</v>
      </c>
      <c r="Q427" s="7">
        <f t="shared" ca="1" si="102"/>
        <v>9.1500000000000019E-3</v>
      </c>
      <c r="R427" s="33">
        <f t="shared" ca="1" si="97"/>
        <v>1830.0000000000005</v>
      </c>
      <c r="S427" s="33">
        <f t="shared" ca="1" si="98"/>
        <v>-8170</v>
      </c>
      <c r="T427" s="33">
        <f t="shared" ca="1" si="103"/>
        <v>1830.0000000000005</v>
      </c>
      <c r="U427" s="7">
        <f t="shared" ca="1" si="99"/>
        <v>0.22399020807833542</v>
      </c>
      <c r="V427" s="7">
        <f t="shared" ca="1" si="100"/>
        <v>-0.33769938433651853</v>
      </c>
      <c r="W427" s="33">
        <f t="shared" ca="1" si="104"/>
        <v>-8170</v>
      </c>
      <c r="X427" s="7">
        <f t="shared" ca="1" si="105"/>
        <v>-1</v>
      </c>
      <c r="Y427" s="7">
        <f t="shared" ca="1" si="106"/>
        <v>-0.77600979192166464</v>
      </c>
      <c r="Z427" s="7">
        <f t="shared" ca="1" si="101"/>
        <v>-0.12188030959634034</v>
      </c>
      <c r="AA427" s="33">
        <f t="shared" ca="1" si="107"/>
        <v>-8170</v>
      </c>
      <c r="AB427" s="7">
        <f t="shared" ca="1" si="108"/>
        <v>-4.4644808743169389</v>
      </c>
      <c r="AC427" s="7">
        <f t="shared" ca="1" si="109"/>
        <v>-2.1202453331193016</v>
      </c>
    </row>
    <row r="428" spans="1:29" x14ac:dyDescent="0.25">
      <c r="A428" s="1">
        <v>425</v>
      </c>
      <c r="B428" s="25">
        <v>44007</v>
      </c>
      <c r="C428" s="10" t="s">
        <v>933</v>
      </c>
      <c r="D428" s="1">
        <v>911.9</v>
      </c>
      <c r="E428" s="30">
        <v>700</v>
      </c>
      <c r="F428" s="1">
        <v>830</v>
      </c>
      <c r="G428" s="1">
        <v>9.8000000000000007</v>
      </c>
      <c r="H428" s="1">
        <v>800</v>
      </c>
      <c r="I428" s="1">
        <v>5.6</v>
      </c>
      <c r="J428" s="1">
        <v>175000</v>
      </c>
      <c r="K428" s="1">
        <v>2100</v>
      </c>
      <c r="L428" s="1">
        <v>5.3</v>
      </c>
      <c r="M428" s="1">
        <v>5.45</v>
      </c>
      <c r="N428" s="1">
        <v>700</v>
      </c>
      <c r="O428" s="9"/>
      <c r="P428" s="7">
        <f t="shared" ca="1" si="96"/>
        <v>0.14000000000000004</v>
      </c>
      <c r="Q428" s="7">
        <f t="shared" ca="1" si="102"/>
        <v>7.0000000000000019E-3</v>
      </c>
      <c r="R428" s="33">
        <f t="shared" ca="1" si="97"/>
        <v>2940.0000000000009</v>
      </c>
      <c r="S428" s="33">
        <f t="shared" ca="1" si="98"/>
        <v>-18060</v>
      </c>
      <c r="T428" s="33">
        <f t="shared" ca="1" si="103"/>
        <v>2940.0000000000009</v>
      </c>
      <c r="U428" s="7">
        <f t="shared" ca="1" si="99"/>
        <v>0.16279069767441864</v>
      </c>
      <c r="V428" s="7">
        <f t="shared" ca="1" si="100"/>
        <v>-0.20052140830803344</v>
      </c>
      <c r="W428" s="33">
        <f t="shared" ca="1" si="104"/>
        <v>-18060</v>
      </c>
      <c r="X428" s="7">
        <f t="shared" ca="1" si="105"/>
        <v>-1</v>
      </c>
      <c r="Y428" s="7">
        <f t="shared" ca="1" si="106"/>
        <v>-0.83720930232558133</v>
      </c>
      <c r="Z428" s="7">
        <f t="shared" ca="1" si="101"/>
        <v>-5.5894735017685514E-2</v>
      </c>
      <c r="AA428" s="33">
        <f t="shared" ca="1" si="107"/>
        <v>2940.0000000000009</v>
      </c>
      <c r="AB428" s="7">
        <f t="shared" ca="1" si="108"/>
        <v>1</v>
      </c>
      <c r="AC428" s="7">
        <f t="shared" ca="1" si="109"/>
        <v>0.58139534883720934</v>
      </c>
    </row>
    <row r="429" spans="1:29" x14ac:dyDescent="0.25">
      <c r="B429" s="39"/>
    </row>
    <row r="430" spans="1:29" x14ac:dyDescent="0.25">
      <c r="B430" s="39"/>
    </row>
    <row r="431" spans="1:29" x14ac:dyDescent="0.25">
      <c r="B431" s="39"/>
    </row>
    <row r="432" spans="1:29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428"/>
  <sortState ref="B4:L180">
    <sortCondition ref="C4:C180"/>
    <sortCondition descending="1" ref="F4:F180"/>
    <sortCondition ref="B4:B180"/>
  </sortState>
  <mergeCells count="4">
    <mergeCell ref="B1:C2"/>
    <mergeCell ref="T2:U2"/>
    <mergeCell ref="V2:Y2"/>
    <mergeCell ref="Z2:AC2"/>
  </mergeCells>
  <dataValidations disablePrompts="1" count="1">
    <dataValidation type="list" allowBlank="1" showInputMessage="1" showErrorMessage="1" sqref="A2 G2:H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llput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N200"/>
  <sheetViews>
    <sheetView zoomScale="80" zoomScaleNormal="80" workbookViewId="0">
      <selection activeCell="E13" sqref="E13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8"/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1819</v>
      </c>
      <c r="H3" s="19" t="s">
        <v>1822</v>
      </c>
      <c r="I3" s="19" t="s">
        <v>1815</v>
      </c>
      <c r="J3" s="19" t="s">
        <v>1816</v>
      </c>
      <c r="K3" s="19" t="s">
        <v>1817</v>
      </c>
      <c r="L3" s="19" t="s">
        <v>1818</v>
      </c>
      <c r="M3" s="19"/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44</v>
      </c>
      <c r="D4" s="1">
        <v>1490</v>
      </c>
      <c r="E4" s="30">
        <v>400</v>
      </c>
      <c r="F4" s="1">
        <v>1300</v>
      </c>
      <c r="G4" s="1">
        <v>4.9000000000000004</v>
      </c>
      <c r="H4" s="1">
        <v>800</v>
      </c>
      <c r="I4" s="1">
        <v>3200</v>
      </c>
      <c r="J4" s="1">
        <v>2.65</v>
      </c>
      <c r="K4" s="1">
        <v>8.85</v>
      </c>
      <c r="L4" s="1">
        <v>2400</v>
      </c>
      <c r="M4" s="36"/>
      <c r="N4" s="1"/>
      <c r="O4" s="7">
        <f t="shared" ref="O4:O67" si="0">G4/D4</f>
        <v>3.288590604026846E-3</v>
      </c>
      <c r="P4" s="7">
        <f t="shared" ref="P4:P67" ca="1" si="1">O4/(B4-TODAY())</f>
        <v>-6.6977405377328836E-6</v>
      </c>
      <c r="Q4" s="7" t="e">
        <f t="shared" ref="Q4:Q67" ca="1" si="2">R4/D4-1</f>
        <v>#NAME?</v>
      </c>
      <c r="R4" s="33" t="e">
        <f t="shared" ref="R4:R67" ca="1" si="3">mrigxl_stockquote(C4)</f>
        <v>#NAME?</v>
      </c>
      <c r="S4" s="33" t="e">
        <f t="shared" ref="S4:S67" ca="1" si="4">(MIN(F4,R4)-D4+G4)*E4</f>
        <v>#NAME?</v>
      </c>
      <c r="T4" s="7" t="e">
        <f t="shared" ref="T4:T67" ca="1" si="5">S4/U4</f>
        <v>#NAME?</v>
      </c>
      <c r="U4" s="33">
        <f t="shared" ref="U4:U67" si="6">E4*D4</f>
        <v>596000</v>
      </c>
    </row>
    <row r="5" spans="1:118" x14ac:dyDescent="0.25">
      <c r="A5" s="1"/>
      <c r="B5" s="25">
        <v>43496</v>
      </c>
      <c r="C5" s="10" t="s">
        <v>86</v>
      </c>
      <c r="D5" s="1">
        <v>46.55</v>
      </c>
      <c r="E5" s="30">
        <v>11000</v>
      </c>
      <c r="F5" s="1">
        <v>39</v>
      </c>
      <c r="G5" s="1">
        <v>0.55000000000000004</v>
      </c>
      <c r="H5" s="1">
        <v>13000</v>
      </c>
      <c r="I5" s="1">
        <v>52000</v>
      </c>
      <c r="J5" s="1">
        <v>0.45</v>
      </c>
      <c r="K5" s="1">
        <v>0.65</v>
      </c>
      <c r="L5" s="1">
        <v>26000</v>
      </c>
      <c r="M5" s="36"/>
      <c r="N5" s="1"/>
      <c r="O5" s="7">
        <f t="shared" si="0"/>
        <v>1.1815252416756178E-2</v>
      </c>
      <c r="P5" s="7">
        <f t="shared" ca="1" si="1"/>
        <v>-2.4063650543291606E-5</v>
      </c>
      <c r="Q5" s="7" t="e">
        <f t="shared" ca="1" si="2"/>
        <v>#NAME?</v>
      </c>
      <c r="R5" s="33" t="e">
        <f t="shared" ca="1" si="3"/>
        <v>#NAME?</v>
      </c>
      <c r="S5" s="33" t="e">
        <f t="shared" ca="1" si="4"/>
        <v>#NAME?</v>
      </c>
      <c r="T5" s="7" t="e">
        <f t="shared" ca="1" si="5"/>
        <v>#NAME?</v>
      </c>
      <c r="U5" s="33">
        <f t="shared" si="6"/>
        <v>512049.99999999994</v>
      </c>
    </row>
    <row r="6" spans="1:118" x14ac:dyDescent="0.25">
      <c r="A6" s="1"/>
      <c r="B6" s="25">
        <v>43496</v>
      </c>
      <c r="C6" s="10" t="s">
        <v>86</v>
      </c>
      <c r="D6" s="1">
        <v>46.55</v>
      </c>
      <c r="E6" s="30">
        <v>11000</v>
      </c>
      <c r="F6" s="1">
        <v>40</v>
      </c>
      <c r="G6" s="1">
        <v>0.7</v>
      </c>
      <c r="H6" s="1">
        <v>299000</v>
      </c>
      <c r="I6" s="1">
        <v>117000</v>
      </c>
      <c r="J6" s="1">
        <v>0.6</v>
      </c>
      <c r="K6" s="1">
        <v>0.8</v>
      </c>
      <c r="L6" s="1">
        <v>26000</v>
      </c>
      <c r="M6" s="36"/>
      <c r="N6" s="1"/>
      <c r="O6" s="7">
        <f t="shared" si="0"/>
        <v>1.5037593984962405E-2</v>
      </c>
      <c r="P6" s="7">
        <f t="shared" ca="1" si="1"/>
        <v>-3.0626464327825675E-5</v>
      </c>
      <c r="Q6" s="7" t="e">
        <f t="shared" ca="1" si="2"/>
        <v>#NAME?</v>
      </c>
      <c r="R6" s="33" t="e">
        <f t="shared" ca="1" si="3"/>
        <v>#NAME?</v>
      </c>
      <c r="S6" s="33" t="e">
        <f t="shared" ca="1" si="4"/>
        <v>#NAME?</v>
      </c>
      <c r="T6" s="7" t="e">
        <f t="shared" ca="1" si="5"/>
        <v>#NAME?</v>
      </c>
      <c r="U6" s="33">
        <f t="shared" si="6"/>
        <v>512049.99999999994</v>
      </c>
    </row>
    <row r="7" spans="1:118" x14ac:dyDescent="0.25">
      <c r="A7" s="1"/>
      <c r="B7" s="25">
        <v>43496</v>
      </c>
      <c r="C7" s="10" t="s">
        <v>103</v>
      </c>
      <c r="D7" s="1">
        <v>220.35</v>
      </c>
      <c r="E7" s="30">
        <v>2500</v>
      </c>
      <c r="F7" s="1">
        <v>200</v>
      </c>
      <c r="G7" s="1">
        <v>2.5</v>
      </c>
      <c r="H7" s="1">
        <v>5000</v>
      </c>
      <c r="I7" s="1">
        <v>42500</v>
      </c>
      <c r="J7" s="1">
        <v>1.6</v>
      </c>
      <c r="K7" s="1">
        <v>3.1</v>
      </c>
      <c r="L7" s="1">
        <v>40000</v>
      </c>
      <c r="M7" s="36"/>
      <c r="N7" s="1"/>
      <c r="O7" s="7">
        <f t="shared" si="0"/>
        <v>1.1345586566825504E-2</v>
      </c>
      <c r="P7" s="7">
        <f t="shared" ca="1" si="1"/>
        <v>-2.3107100950764774E-5</v>
      </c>
      <c r="Q7" s="7" t="e">
        <f t="shared" ca="1" si="2"/>
        <v>#NAME?</v>
      </c>
      <c r="R7" s="33">
        <f t="shared" ca="1" si="3"/>
        <v>194.95</v>
      </c>
      <c r="S7" s="33" t="e">
        <f t="shared" ca="1" si="4"/>
        <v>#NAME?</v>
      </c>
      <c r="T7" s="7" t="e">
        <f t="shared" ca="1" si="5"/>
        <v>#NAME?</v>
      </c>
      <c r="U7" s="33">
        <f t="shared" si="6"/>
        <v>550875</v>
      </c>
    </row>
    <row r="8" spans="1:118" x14ac:dyDescent="0.25">
      <c r="A8" s="1"/>
      <c r="B8" s="25">
        <v>43496</v>
      </c>
      <c r="C8" s="10" t="s">
        <v>103</v>
      </c>
      <c r="D8" s="1">
        <v>220.35</v>
      </c>
      <c r="E8" s="30">
        <v>2500</v>
      </c>
      <c r="F8" s="1">
        <v>205</v>
      </c>
      <c r="G8" s="1">
        <v>2.8</v>
      </c>
      <c r="H8" s="1">
        <v>10000</v>
      </c>
      <c r="I8" s="1">
        <v>30000</v>
      </c>
      <c r="J8" s="1">
        <v>2.7</v>
      </c>
      <c r="K8" s="1">
        <v>4.05</v>
      </c>
      <c r="L8" s="1">
        <v>40000</v>
      </c>
      <c r="M8" s="36"/>
      <c r="N8" s="1"/>
      <c r="O8" s="7">
        <f t="shared" si="0"/>
        <v>1.2707056954844566E-2</v>
      </c>
      <c r="P8" s="7">
        <f t="shared" ca="1" si="1"/>
        <v>-2.5879953064856548E-5</v>
      </c>
      <c r="Q8" s="7" t="e">
        <f t="shared" ca="1" si="2"/>
        <v>#NAME?</v>
      </c>
      <c r="R8" s="33">
        <f t="shared" ca="1" si="3"/>
        <v>194.95</v>
      </c>
      <c r="S8" s="33" t="e">
        <f t="shared" ca="1" si="4"/>
        <v>#NAME?</v>
      </c>
      <c r="T8" s="7" t="e">
        <f t="shared" ca="1" si="5"/>
        <v>#NAME?</v>
      </c>
      <c r="U8" s="33">
        <f t="shared" si="6"/>
        <v>550875</v>
      </c>
    </row>
    <row r="9" spans="1:118" x14ac:dyDescent="0.25">
      <c r="A9" s="1"/>
      <c r="B9" s="25">
        <v>43496</v>
      </c>
      <c r="C9" s="10" t="s">
        <v>154</v>
      </c>
      <c r="D9" s="1">
        <v>1389.7</v>
      </c>
      <c r="E9" s="30">
        <v>600</v>
      </c>
      <c r="F9" s="1">
        <v>1260</v>
      </c>
      <c r="G9" s="1">
        <v>5</v>
      </c>
      <c r="H9" s="1">
        <v>1200</v>
      </c>
      <c r="I9" s="1">
        <v>6000</v>
      </c>
      <c r="J9" s="1">
        <v>3.25</v>
      </c>
      <c r="K9" s="1">
        <v>11.4</v>
      </c>
      <c r="L9" s="1">
        <v>6000</v>
      </c>
      <c r="M9" s="36"/>
      <c r="N9" s="1"/>
      <c r="O9" s="7">
        <f t="shared" si="0"/>
        <v>3.5978988270849821E-3</v>
      </c>
      <c r="P9" s="7">
        <f t="shared" ca="1" si="1"/>
        <v>-7.3276961855091288E-6</v>
      </c>
      <c r="Q9" s="7" t="e">
        <f t="shared" ca="1" si="2"/>
        <v>#NAME?</v>
      </c>
      <c r="R9" s="33" t="e">
        <f t="shared" ca="1" si="3"/>
        <v>#NAME?</v>
      </c>
      <c r="S9" s="33" t="e">
        <f t="shared" ca="1" si="4"/>
        <v>#NAME?</v>
      </c>
      <c r="T9" s="7" t="e">
        <f t="shared" ca="1" si="5"/>
        <v>#NAME?</v>
      </c>
      <c r="U9" s="33">
        <f t="shared" si="6"/>
        <v>833820</v>
      </c>
    </row>
    <row r="10" spans="1:118" x14ac:dyDescent="0.25">
      <c r="A10" s="1"/>
      <c r="B10" s="25">
        <v>43496</v>
      </c>
      <c r="C10" s="10" t="s">
        <v>154</v>
      </c>
      <c r="D10" s="1">
        <v>1389.7</v>
      </c>
      <c r="E10" s="30">
        <v>600</v>
      </c>
      <c r="F10" s="1">
        <v>1280</v>
      </c>
      <c r="G10" s="1">
        <v>7</v>
      </c>
      <c r="H10" s="1">
        <v>1200</v>
      </c>
      <c r="I10" s="1">
        <v>6000</v>
      </c>
      <c r="J10" s="1">
        <v>5.0999999999999996</v>
      </c>
      <c r="K10" s="1">
        <v>11</v>
      </c>
      <c r="L10" s="1">
        <v>600</v>
      </c>
      <c r="M10" s="36"/>
      <c r="N10" s="1"/>
      <c r="O10" s="7">
        <f t="shared" si="0"/>
        <v>5.0370583579189753E-3</v>
      </c>
      <c r="P10" s="7">
        <f t="shared" ca="1" si="1"/>
        <v>-1.0258774659712781E-5</v>
      </c>
      <c r="Q10" s="7" t="e">
        <f t="shared" ca="1" si="2"/>
        <v>#NAME?</v>
      </c>
      <c r="R10" s="33">
        <f t="shared" ca="1" si="3"/>
        <v>1637.45</v>
      </c>
      <c r="S10" s="33" t="e">
        <f t="shared" ca="1" si="4"/>
        <v>#NAME?</v>
      </c>
      <c r="T10" s="7" t="e">
        <f t="shared" ca="1" si="5"/>
        <v>#NAME?</v>
      </c>
      <c r="U10" s="33">
        <f t="shared" si="6"/>
        <v>833820</v>
      </c>
    </row>
    <row r="11" spans="1:118" x14ac:dyDescent="0.25">
      <c r="A11" s="1"/>
      <c r="B11" s="25">
        <v>43496</v>
      </c>
      <c r="C11" s="10" t="s">
        <v>16</v>
      </c>
      <c r="D11" s="1">
        <v>719</v>
      </c>
      <c r="E11" s="30">
        <v>1000</v>
      </c>
      <c r="F11" s="1">
        <v>620</v>
      </c>
      <c r="G11" s="1">
        <v>5.05</v>
      </c>
      <c r="H11" s="1">
        <v>1000</v>
      </c>
      <c r="I11" s="1">
        <v>9000</v>
      </c>
      <c r="J11" s="1">
        <v>2.4500000000000002</v>
      </c>
      <c r="K11" s="1">
        <v>6.65</v>
      </c>
      <c r="L11" s="1">
        <v>10000</v>
      </c>
      <c r="M11" s="36"/>
      <c r="N11" s="1"/>
      <c r="O11" s="7">
        <f t="shared" si="0"/>
        <v>7.0236439499304585E-3</v>
      </c>
      <c r="P11" s="7">
        <f t="shared" ca="1" si="1"/>
        <v>-1.4304773828778938E-5</v>
      </c>
      <c r="Q11" s="7" t="e">
        <f t="shared" ca="1" si="2"/>
        <v>#NAME?</v>
      </c>
      <c r="R11" s="33">
        <f t="shared" ca="1" si="3"/>
        <v>745.5</v>
      </c>
      <c r="S11" s="33" t="e">
        <f t="shared" ca="1" si="4"/>
        <v>#NAME?</v>
      </c>
      <c r="T11" s="7" t="e">
        <f t="shared" ca="1" si="5"/>
        <v>#NAME?</v>
      </c>
      <c r="U11" s="33">
        <f t="shared" si="6"/>
        <v>719000</v>
      </c>
    </row>
    <row r="12" spans="1:118" x14ac:dyDescent="0.25">
      <c r="A12" s="1"/>
      <c r="B12" s="25">
        <v>43496</v>
      </c>
      <c r="C12" s="10" t="s">
        <v>16</v>
      </c>
      <c r="D12" s="1">
        <v>719</v>
      </c>
      <c r="E12" s="30">
        <v>1000</v>
      </c>
      <c r="F12" s="1">
        <v>640</v>
      </c>
      <c r="G12" s="1">
        <v>6</v>
      </c>
      <c r="H12" s="1">
        <v>12000</v>
      </c>
      <c r="I12" s="1">
        <v>22000</v>
      </c>
      <c r="J12" s="1">
        <v>5.25</v>
      </c>
      <c r="K12" s="1">
        <v>7.7</v>
      </c>
      <c r="L12" s="1">
        <v>8000</v>
      </c>
      <c r="M12" s="36"/>
      <c r="N12" s="1"/>
      <c r="O12" s="7">
        <f t="shared" si="0"/>
        <v>8.3449235048678721E-3</v>
      </c>
      <c r="P12" s="7">
        <f t="shared" ca="1" si="1"/>
        <v>-1.6995770885677947E-5</v>
      </c>
      <c r="Q12" s="7" t="e">
        <f t="shared" ca="1" si="2"/>
        <v>#NAME?</v>
      </c>
      <c r="R12" s="33" t="e">
        <f t="shared" ca="1" si="3"/>
        <v>#NAME?</v>
      </c>
      <c r="S12" s="33" t="e">
        <f t="shared" ca="1" si="4"/>
        <v>#NAME?</v>
      </c>
      <c r="T12" s="7" t="e">
        <f t="shared" ca="1" si="5"/>
        <v>#NAME?</v>
      </c>
      <c r="U12" s="33">
        <f t="shared" si="6"/>
        <v>719000</v>
      </c>
    </row>
    <row r="13" spans="1:118" x14ac:dyDescent="0.25">
      <c r="A13" s="1"/>
      <c r="B13" s="25">
        <v>43496</v>
      </c>
      <c r="C13" s="10" t="s">
        <v>16</v>
      </c>
      <c r="D13" s="1">
        <v>719</v>
      </c>
      <c r="E13" s="30">
        <v>1000</v>
      </c>
      <c r="F13" s="1">
        <v>660</v>
      </c>
      <c r="G13" s="1">
        <v>9.25</v>
      </c>
      <c r="H13" s="1">
        <v>40000</v>
      </c>
      <c r="I13" s="1">
        <v>6000</v>
      </c>
      <c r="J13" s="1">
        <v>9.4499999999999993</v>
      </c>
      <c r="K13" s="1">
        <v>9.5</v>
      </c>
      <c r="L13" s="1">
        <v>1000</v>
      </c>
      <c r="M13" s="36"/>
      <c r="N13" s="1"/>
      <c r="O13" s="7">
        <f t="shared" si="0"/>
        <v>1.286509040333797E-2</v>
      </c>
      <c r="P13" s="7">
        <f t="shared" ca="1" si="1"/>
        <v>-2.6201813448753501E-5</v>
      </c>
      <c r="Q13" s="7" t="e">
        <f t="shared" ca="1" si="2"/>
        <v>#NAME?</v>
      </c>
      <c r="R13" s="33" t="e">
        <f t="shared" ca="1" si="3"/>
        <v>#NAME?</v>
      </c>
      <c r="S13" s="33" t="e">
        <f t="shared" ca="1" si="4"/>
        <v>#NAME?</v>
      </c>
      <c r="T13" s="7" t="e">
        <f t="shared" ca="1" si="5"/>
        <v>#NAME?</v>
      </c>
      <c r="U13" s="33">
        <f t="shared" si="6"/>
        <v>719000</v>
      </c>
    </row>
    <row r="14" spans="1:118" x14ac:dyDescent="0.25">
      <c r="A14" s="1"/>
      <c r="B14" s="25">
        <v>43496</v>
      </c>
      <c r="C14" s="10" t="s">
        <v>180</v>
      </c>
      <c r="D14" s="1">
        <v>621.65</v>
      </c>
      <c r="E14" s="30">
        <v>1200</v>
      </c>
      <c r="F14" s="1">
        <v>540</v>
      </c>
      <c r="G14" s="1">
        <v>4</v>
      </c>
      <c r="H14" s="1">
        <v>19200</v>
      </c>
      <c r="I14" s="1">
        <v>1200</v>
      </c>
      <c r="J14" s="1">
        <v>2</v>
      </c>
      <c r="K14" s="1">
        <v>4.25</v>
      </c>
      <c r="L14" s="1">
        <v>1200</v>
      </c>
      <c r="M14" s="36"/>
      <c r="N14" s="1"/>
      <c r="O14" s="7">
        <f t="shared" si="0"/>
        <v>6.4344888602911607E-3</v>
      </c>
      <c r="P14" s="7">
        <f t="shared" ca="1" si="1"/>
        <v>-1.3104865295908678E-5</v>
      </c>
      <c r="Q14" s="7" t="e">
        <f t="shared" ca="1" si="2"/>
        <v>#NAME?</v>
      </c>
      <c r="R14" s="33" t="e">
        <f t="shared" ca="1" si="3"/>
        <v>#NAME?</v>
      </c>
      <c r="S14" s="33" t="e">
        <f t="shared" ca="1" si="4"/>
        <v>#NAME?</v>
      </c>
      <c r="T14" s="7" t="e">
        <f t="shared" ca="1" si="5"/>
        <v>#NAME?</v>
      </c>
      <c r="U14" s="33">
        <f t="shared" si="6"/>
        <v>745980</v>
      </c>
    </row>
    <row r="15" spans="1:118" x14ac:dyDescent="0.25">
      <c r="A15" s="1"/>
      <c r="B15" s="25">
        <v>43496</v>
      </c>
      <c r="C15" s="10" t="s">
        <v>180</v>
      </c>
      <c r="D15" s="1">
        <v>621.65</v>
      </c>
      <c r="E15" s="30">
        <v>1200</v>
      </c>
      <c r="F15" s="1">
        <v>550</v>
      </c>
      <c r="G15" s="1">
        <v>5</v>
      </c>
      <c r="H15" s="1">
        <v>31200</v>
      </c>
      <c r="I15" s="1">
        <v>7200</v>
      </c>
      <c r="J15" s="1">
        <v>2.5499999999999998</v>
      </c>
      <c r="K15" s="1">
        <v>6.35</v>
      </c>
      <c r="L15" s="1">
        <v>12000</v>
      </c>
      <c r="M15" s="36"/>
      <c r="N15" s="1"/>
      <c r="O15" s="7">
        <f t="shared" si="0"/>
        <v>8.0431110753639515E-3</v>
      </c>
      <c r="P15" s="7">
        <f t="shared" ca="1" si="1"/>
        <v>-1.6381081619885849E-5</v>
      </c>
      <c r="Q15" s="7" t="e">
        <f t="shared" ca="1" si="2"/>
        <v>#NAME?</v>
      </c>
      <c r="R15" s="33" t="e">
        <f t="shared" ca="1" si="3"/>
        <v>#NAME?</v>
      </c>
      <c r="S15" s="33" t="e">
        <f t="shared" ca="1" si="4"/>
        <v>#NAME?</v>
      </c>
      <c r="T15" s="7" t="e">
        <f t="shared" ca="1" si="5"/>
        <v>#NAME?</v>
      </c>
      <c r="U15" s="33">
        <f t="shared" si="6"/>
        <v>745980</v>
      </c>
    </row>
    <row r="16" spans="1:118" x14ac:dyDescent="0.25">
      <c r="A16" s="1"/>
      <c r="B16" s="25">
        <v>43496</v>
      </c>
      <c r="C16" s="10" t="s">
        <v>180</v>
      </c>
      <c r="D16" s="1">
        <v>621.65</v>
      </c>
      <c r="E16" s="30">
        <v>1200</v>
      </c>
      <c r="F16" s="1">
        <v>560</v>
      </c>
      <c r="G16" s="1">
        <v>6.5</v>
      </c>
      <c r="H16" s="1">
        <v>39600</v>
      </c>
      <c r="I16" s="1">
        <v>9600</v>
      </c>
      <c r="J16" s="1">
        <v>4.95</v>
      </c>
      <c r="K16" s="1">
        <v>6.25</v>
      </c>
      <c r="L16" s="1">
        <v>1200</v>
      </c>
      <c r="M16" s="36"/>
      <c r="N16" s="1"/>
      <c r="O16" s="7">
        <f t="shared" si="0"/>
        <v>1.0456044397973136E-2</v>
      </c>
      <c r="P16" s="7">
        <f t="shared" ca="1" si="1"/>
        <v>-2.1295406105851603E-5</v>
      </c>
      <c r="Q16" s="7" t="e">
        <f t="shared" ca="1" si="2"/>
        <v>#NAME?</v>
      </c>
      <c r="R16" s="33" t="e">
        <f t="shared" ca="1" si="3"/>
        <v>#NAME?</v>
      </c>
      <c r="S16" s="33" t="e">
        <f t="shared" ca="1" si="4"/>
        <v>#NAME?</v>
      </c>
      <c r="T16" s="7" t="e">
        <f t="shared" ca="1" si="5"/>
        <v>#NAME?</v>
      </c>
      <c r="U16" s="33">
        <f t="shared" si="6"/>
        <v>745980</v>
      </c>
    </row>
    <row r="17" spans="1:21" x14ac:dyDescent="0.25">
      <c r="A17" s="1"/>
      <c r="B17" s="25">
        <v>43496</v>
      </c>
      <c r="C17" s="10" t="s">
        <v>204</v>
      </c>
      <c r="D17" s="1">
        <v>115.05</v>
      </c>
      <c r="E17" s="30">
        <v>4000</v>
      </c>
      <c r="F17" s="1">
        <v>95</v>
      </c>
      <c r="G17" s="1">
        <v>2.6</v>
      </c>
      <c r="H17" s="1">
        <v>4000</v>
      </c>
      <c r="I17" s="1">
        <v>40000</v>
      </c>
      <c r="J17" s="1">
        <v>0.55000000000000004</v>
      </c>
      <c r="K17" s="1">
        <v>1.1000000000000001</v>
      </c>
      <c r="L17" s="1">
        <v>20000</v>
      </c>
      <c r="M17" s="36"/>
      <c r="N17" s="1"/>
      <c r="O17" s="7">
        <f t="shared" si="0"/>
        <v>2.2598870056497175E-2</v>
      </c>
      <c r="P17" s="7">
        <f t="shared" ca="1" si="1"/>
        <v>-4.6026211927692818E-5</v>
      </c>
      <c r="Q17" s="7" t="e">
        <f t="shared" ca="1" si="2"/>
        <v>#NAME?</v>
      </c>
      <c r="R17" s="33">
        <f t="shared" ca="1" si="3"/>
        <v>46.35</v>
      </c>
      <c r="S17" s="33" t="e">
        <f t="shared" ca="1" si="4"/>
        <v>#NAME?</v>
      </c>
      <c r="T17" s="7" t="e">
        <f t="shared" ca="1" si="5"/>
        <v>#NAME?</v>
      </c>
      <c r="U17" s="33">
        <f t="shared" si="6"/>
        <v>460200</v>
      </c>
    </row>
    <row r="18" spans="1:21" x14ac:dyDescent="0.25">
      <c r="A18" s="1"/>
      <c r="B18" s="25">
        <v>43496</v>
      </c>
      <c r="C18" s="10" t="s">
        <v>204</v>
      </c>
      <c r="D18" s="1">
        <v>115.05</v>
      </c>
      <c r="E18" s="30">
        <v>4000</v>
      </c>
      <c r="F18" s="1">
        <v>100</v>
      </c>
      <c r="G18" s="1">
        <v>1.4</v>
      </c>
      <c r="H18" s="1">
        <v>108000</v>
      </c>
      <c r="I18" s="1">
        <v>12000</v>
      </c>
      <c r="J18" s="1">
        <v>1.2</v>
      </c>
      <c r="K18" s="1">
        <v>1.5</v>
      </c>
      <c r="L18" s="1">
        <v>4000</v>
      </c>
      <c r="M18" s="36"/>
      <c r="N18" s="1"/>
      <c r="O18" s="7">
        <f t="shared" si="0"/>
        <v>1.2168622338113864E-2</v>
      </c>
      <c r="P18" s="7">
        <f t="shared" ca="1" si="1"/>
        <v>-2.4783344884142288E-5</v>
      </c>
      <c r="Q18" s="7" t="e">
        <f t="shared" ca="1" si="2"/>
        <v>#NAME?</v>
      </c>
      <c r="R18" s="33" t="e">
        <f t="shared" ca="1" si="3"/>
        <v>#NAME?</v>
      </c>
      <c r="S18" s="33" t="e">
        <f t="shared" ca="1" si="4"/>
        <v>#NAME?</v>
      </c>
      <c r="T18" s="7" t="e">
        <f t="shared" ca="1" si="5"/>
        <v>#NAME?</v>
      </c>
      <c r="U18" s="33">
        <f t="shared" si="6"/>
        <v>460200</v>
      </c>
    </row>
    <row r="19" spans="1:21" x14ac:dyDescent="0.25">
      <c r="A19" s="1"/>
      <c r="B19" s="25">
        <v>43496</v>
      </c>
      <c r="C19" s="10" t="s">
        <v>204</v>
      </c>
      <c r="D19" s="1">
        <v>115.05</v>
      </c>
      <c r="E19" s="30">
        <v>4000</v>
      </c>
      <c r="F19" s="1">
        <v>105</v>
      </c>
      <c r="G19" s="1">
        <v>2.4500000000000002</v>
      </c>
      <c r="H19" s="1">
        <v>52000</v>
      </c>
      <c r="I19" s="1">
        <v>32000</v>
      </c>
      <c r="J19" s="1">
        <v>2.1</v>
      </c>
      <c r="K19" s="1">
        <v>2.7</v>
      </c>
      <c r="L19" s="1">
        <v>16000</v>
      </c>
      <c r="M19" s="36"/>
      <c r="N19" s="1"/>
      <c r="O19" s="7">
        <f t="shared" si="0"/>
        <v>2.1295089091699262E-2</v>
      </c>
      <c r="P19" s="7">
        <f t="shared" ca="1" si="1"/>
        <v>-4.3370853547249007E-5</v>
      </c>
      <c r="Q19" s="7" t="e">
        <f t="shared" ca="1" si="2"/>
        <v>#NAME?</v>
      </c>
      <c r="R19" s="33" t="e">
        <f t="shared" ca="1" si="3"/>
        <v>#NAME?</v>
      </c>
      <c r="S19" s="33" t="e">
        <f t="shared" ca="1" si="4"/>
        <v>#NAME?</v>
      </c>
      <c r="T19" s="7" t="e">
        <f t="shared" ca="1" si="5"/>
        <v>#NAME?</v>
      </c>
      <c r="U19" s="33">
        <f t="shared" si="6"/>
        <v>460200</v>
      </c>
    </row>
    <row r="20" spans="1:21" x14ac:dyDescent="0.25">
      <c r="A20" s="1"/>
      <c r="B20" s="25">
        <v>43496</v>
      </c>
      <c r="C20" s="10" t="s">
        <v>206</v>
      </c>
      <c r="D20" s="1">
        <v>98.45</v>
      </c>
      <c r="E20" s="30">
        <v>6000</v>
      </c>
      <c r="F20" s="1">
        <v>75</v>
      </c>
      <c r="G20" s="1">
        <v>1.85</v>
      </c>
      <c r="H20" s="1">
        <v>6000</v>
      </c>
      <c r="I20" s="1">
        <v>6000</v>
      </c>
      <c r="J20" s="1">
        <v>0.3</v>
      </c>
      <c r="K20" s="1">
        <v>0.65</v>
      </c>
      <c r="L20" s="1">
        <v>36000</v>
      </c>
      <c r="M20" s="36"/>
      <c r="N20" s="1"/>
      <c r="O20" s="7">
        <f t="shared" si="0"/>
        <v>1.8791264601320468E-2</v>
      </c>
      <c r="P20" s="7">
        <f t="shared" ca="1" si="1"/>
        <v>-3.8271414666640462E-5</v>
      </c>
      <c r="Q20" s="7" t="e">
        <f t="shared" ca="1" si="2"/>
        <v>#NAME?</v>
      </c>
      <c r="R20" s="33">
        <f t="shared" ca="1" si="3"/>
        <v>42.05</v>
      </c>
      <c r="S20" s="33" t="e">
        <f t="shared" ca="1" si="4"/>
        <v>#NAME?</v>
      </c>
      <c r="T20" s="7" t="e">
        <f t="shared" ca="1" si="5"/>
        <v>#NAME?</v>
      </c>
      <c r="U20" s="33">
        <f t="shared" si="6"/>
        <v>590700</v>
      </c>
    </row>
    <row r="21" spans="1:21" x14ac:dyDescent="0.25">
      <c r="A21" s="1"/>
      <c r="B21" s="25">
        <v>43496</v>
      </c>
      <c r="C21" s="10" t="s">
        <v>206</v>
      </c>
      <c r="D21" s="1">
        <v>98.45</v>
      </c>
      <c r="E21" s="30">
        <v>6000</v>
      </c>
      <c r="F21" s="1">
        <v>82.5</v>
      </c>
      <c r="G21" s="1">
        <v>2.5</v>
      </c>
      <c r="H21" s="1">
        <v>30000</v>
      </c>
      <c r="I21" s="1">
        <v>24000</v>
      </c>
      <c r="J21" s="1">
        <v>0.85</v>
      </c>
      <c r="K21" s="1">
        <v>1.45</v>
      </c>
      <c r="L21" s="1">
        <v>36000</v>
      </c>
      <c r="M21" s="36"/>
      <c r="N21" s="1"/>
      <c r="O21" s="7">
        <f t="shared" si="0"/>
        <v>2.5393600812595226E-2</v>
      </c>
      <c r="P21" s="7">
        <f t="shared" ca="1" si="1"/>
        <v>-5.1718127927892518E-5</v>
      </c>
      <c r="Q21" s="7" t="e">
        <f t="shared" ca="1" si="2"/>
        <v>#NAME?</v>
      </c>
      <c r="R21" s="33" t="e">
        <f t="shared" ca="1" si="3"/>
        <v>#NAME?</v>
      </c>
      <c r="S21" s="33" t="e">
        <f t="shared" ca="1" si="4"/>
        <v>#NAME?</v>
      </c>
      <c r="T21" s="7" t="e">
        <f t="shared" ca="1" si="5"/>
        <v>#NAME?</v>
      </c>
      <c r="U21" s="33">
        <f t="shared" si="6"/>
        <v>590700</v>
      </c>
    </row>
    <row r="22" spans="1:21" x14ac:dyDescent="0.25">
      <c r="A22" s="1"/>
      <c r="B22" s="25">
        <v>43496</v>
      </c>
      <c r="C22" s="10" t="s">
        <v>206</v>
      </c>
      <c r="D22" s="1">
        <v>98.45</v>
      </c>
      <c r="E22" s="30">
        <v>6000</v>
      </c>
      <c r="F22" s="1">
        <v>85</v>
      </c>
      <c r="G22" s="1">
        <v>1.7</v>
      </c>
      <c r="H22" s="1">
        <v>120000</v>
      </c>
      <c r="I22" s="1">
        <v>6000</v>
      </c>
      <c r="J22" s="1">
        <v>1.4</v>
      </c>
      <c r="K22" s="1">
        <v>1.7</v>
      </c>
      <c r="L22" s="1">
        <v>42000</v>
      </c>
      <c r="M22" s="36"/>
      <c r="N22" s="1"/>
      <c r="O22" s="7">
        <f t="shared" si="0"/>
        <v>1.7267648552564754E-2</v>
      </c>
      <c r="P22" s="7">
        <f t="shared" ca="1" si="1"/>
        <v>-3.5168326990966916E-5</v>
      </c>
      <c r="Q22" s="7" t="e">
        <f t="shared" ca="1" si="2"/>
        <v>#NAME?</v>
      </c>
      <c r="R22" s="33" t="e">
        <f t="shared" ca="1" si="3"/>
        <v>#NAME?</v>
      </c>
      <c r="S22" s="33" t="e">
        <f t="shared" ca="1" si="4"/>
        <v>#NAME?</v>
      </c>
      <c r="T22" s="7" t="e">
        <f t="shared" ca="1" si="5"/>
        <v>#NAME?</v>
      </c>
      <c r="U22" s="33">
        <f t="shared" si="6"/>
        <v>590700</v>
      </c>
    </row>
    <row r="23" spans="1:21" x14ac:dyDescent="0.25">
      <c r="A23" s="1"/>
      <c r="B23" s="25">
        <v>43496</v>
      </c>
      <c r="C23" s="10" t="s">
        <v>206</v>
      </c>
      <c r="D23" s="1">
        <v>98.45</v>
      </c>
      <c r="E23" s="30">
        <v>6000</v>
      </c>
      <c r="F23" s="1">
        <v>87.5</v>
      </c>
      <c r="G23" s="1">
        <v>2.2000000000000002</v>
      </c>
      <c r="H23" s="1">
        <v>12000</v>
      </c>
      <c r="I23" s="1">
        <v>24000</v>
      </c>
      <c r="J23" s="1">
        <v>1.75</v>
      </c>
      <c r="K23" s="1">
        <v>2.2999999999999998</v>
      </c>
      <c r="L23" s="1">
        <v>24000</v>
      </c>
      <c r="M23" s="36"/>
      <c r="N23" s="1"/>
      <c r="O23" s="7">
        <f t="shared" si="0"/>
        <v>2.23463687150838E-2</v>
      </c>
      <c r="P23" s="7">
        <f t="shared" ca="1" si="1"/>
        <v>-4.5511952576545419E-5</v>
      </c>
      <c r="Q23" s="7" t="e">
        <f t="shared" ca="1" si="2"/>
        <v>#NAME?</v>
      </c>
      <c r="R23" s="33">
        <f t="shared" ca="1" si="3"/>
        <v>42.05</v>
      </c>
      <c r="S23" s="33" t="e">
        <f t="shared" ca="1" si="4"/>
        <v>#NAME?</v>
      </c>
      <c r="T23" s="7" t="e">
        <f t="shared" ca="1" si="5"/>
        <v>#NAME?</v>
      </c>
      <c r="U23" s="33">
        <f t="shared" si="6"/>
        <v>590700</v>
      </c>
    </row>
    <row r="24" spans="1:21" x14ac:dyDescent="0.25">
      <c r="A24" s="1"/>
      <c r="B24" s="25">
        <v>43496</v>
      </c>
      <c r="C24" s="10" t="s">
        <v>206</v>
      </c>
      <c r="D24" s="1">
        <v>98.45</v>
      </c>
      <c r="E24" s="30">
        <v>6000</v>
      </c>
      <c r="F24" s="1">
        <v>90</v>
      </c>
      <c r="G24" s="1">
        <v>2.75</v>
      </c>
      <c r="H24" s="1">
        <v>174000</v>
      </c>
      <c r="I24" s="1">
        <v>18000</v>
      </c>
      <c r="J24" s="1">
        <v>2.5</v>
      </c>
      <c r="K24" s="1">
        <v>2.9</v>
      </c>
      <c r="L24" s="1">
        <v>24000</v>
      </c>
      <c r="M24" s="36"/>
      <c r="N24" s="1"/>
      <c r="O24" s="7">
        <f t="shared" si="0"/>
        <v>2.7932960893854747E-2</v>
      </c>
      <c r="P24" s="7">
        <f t="shared" ca="1" si="1"/>
        <v>-5.6889940720681762E-5</v>
      </c>
      <c r="Q24" s="7" t="e">
        <f t="shared" ca="1" si="2"/>
        <v>#NAME?</v>
      </c>
      <c r="R24" s="33" t="e">
        <f t="shared" ca="1" si="3"/>
        <v>#NAME?</v>
      </c>
      <c r="S24" s="33" t="e">
        <f t="shared" ca="1" si="4"/>
        <v>#NAME?</v>
      </c>
      <c r="T24" s="7" t="e">
        <f t="shared" ca="1" si="5"/>
        <v>#NAME?</v>
      </c>
      <c r="U24" s="33">
        <f t="shared" si="6"/>
        <v>590700</v>
      </c>
    </row>
    <row r="25" spans="1:21" x14ac:dyDescent="0.25">
      <c r="A25" s="1"/>
      <c r="B25" s="25">
        <v>43496</v>
      </c>
      <c r="C25" s="10" t="s">
        <v>212</v>
      </c>
      <c r="D25" s="1">
        <v>1111.3</v>
      </c>
      <c r="E25" s="30">
        <v>550</v>
      </c>
      <c r="F25" s="1">
        <v>960</v>
      </c>
      <c r="G25" s="1">
        <v>9.6999999999999993</v>
      </c>
      <c r="H25" s="1">
        <v>1100</v>
      </c>
      <c r="I25" s="1">
        <v>5500</v>
      </c>
      <c r="J25" s="1">
        <v>4.8499999999999996</v>
      </c>
      <c r="K25" s="1">
        <v>9.8000000000000007</v>
      </c>
      <c r="L25" s="1">
        <v>2200</v>
      </c>
      <c r="M25" s="36"/>
      <c r="N25" s="1"/>
      <c r="O25" s="7">
        <f t="shared" si="0"/>
        <v>8.728516152254116E-3</v>
      </c>
      <c r="P25" s="7">
        <f t="shared" ca="1" si="1"/>
        <v>-1.7777018640028749E-5</v>
      </c>
      <c r="Q25" s="7" t="e">
        <f t="shared" ca="1" si="2"/>
        <v>#NAME?</v>
      </c>
      <c r="R25" s="33" t="e">
        <f t="shared" ca="1" si="3"/>
        <v>#NAME?</v>
      </c>
      <c r="S25" s="33" t="e">
        <f t="shared" ca="1" si="4"/>
        <v>#NAME?</v>
      </c>
      <c r="T25" s="7" t="e">
        <f t="shared" ca="1" si="5"/>
        <v>#NAME?</v>
      </c>
      <c r="U25" s="33">
        <f t="shared" si="6"/>
        <v>611215</v>
      </c>
    </row>
    <row r="26" spans="1:21" x14ac:dyDescent="0.25">
      <c r="A26" s="1"/>
      <c r="B26" s="25">
        <v>43496</v>
      </c>
      <c r="C26" s="10" t="s">
        <v>212</v>
      </c>
      <c r="D26" s="1">
        <v>1111.3</v>
      </c>
      <c r="E26" s="30">
        <v>550</v>
      </c>
      <c r="F26" s="1">
        <v>1000</v>
      </c>
      <c r="G26" s="1">
        <v>12</v>
      </c>
      <c r="H26" s="1">
        <v>2200</v>
      </c>
      <c r="I26" s="1">
        <v>3300</v>
      </c>
      <c r="J26" s="1">
        <v>11.35</v>
      </c>
      <c r="K26" s="1">
        <v>14</v>
      </c>
      <c r="L26" s="1">
        <v>550</v>
      </c>
      <c r="M26" s="36"/>
      <c r="N26" s="1"/>
      <c r="O26" s="7">
        <f t="shared" si="0"/>
        <v>1.0798164312066949E-2</v>
      </c>
      <c r="P26" s="7">
        <f t="shared" ca="1" si="1"/>
        <v>-2.1992188008282993E-5</v>
      </c>
      <c r="Q26" s="7" t="e">
        <f t="shared" ca="1" si="2"/>
        <v>#NAME?</v>
      </c>
      <c r="R26" s="33" t="e">
        <f t="shared" ca="1" si="3"/>
        <v>#NAME?</v>
      </c>
      <c r="S26" s="33" t="e">
        <f t="shared" ca="1" si="4"/>
        <v>#NAME?</v>
      </c>
      <c r="T26" s="7" t="e">
        <f t="shared" ca="1" si="5"/>
        <v>#NAME?</v>
      </c>
      <c r="U26" s="33">
        <f t="shared" si="6"/>
        <v>611215</v>
      </c>
    </row>
    <row r="27" spans="1:21" x14ac:dyDescent="0.25">
      <c r="A27" s="1"/>
      <c r="B27" s="25">
        <v>43496</v>
      </c>
      <c r="C27" s="10" t="s">
        <v>220</v>
      </c>
      <c r="D27" s="1">
        <v>88.1</v>
      </c>
      <c r="E27" s="30">
        <v>6000</v>
      </c>
      <c r="F27" s="1">
        <v>75</v>
      </c>
      <c r="G27" s="1">
        <v>0.9</v>
      </c>
      <c r="H27" s="1">
        <v>18000</v>
      </c>
      <c r="I27" s="1">
        <v>48000</v>
      </c>
      <c r="J27" s="1">
        <v>0.65</v>
      </c>
      <c r="K27" s="1">
        <v>1.35</v>
      </c>
      <c r="L27" s="1">
        <v>24000</v>
      </c>
      <c r="M27" s="36"/>
      <c r="N27" s="1"/>
      <c r="O27" s="7">
        <f t="shared" si="0"/>
        <v>1.0215664018161182E-2</v>
      </c>
      <c r="P27" s="7">
        <f t="shared" ca="1" si="1"/>
        <v>-2.080583303087817E-5</v>
      </c>
      <c r="Q27" s="7" t="e">
        <f t="shared" ca="1" si="2"/>
        <v>#NAME?</v>
      </c>
      <c r="R27" s="33" t="e">
        <f t="shared" ca="1" si="3"/>
        <v>#NAME?</v>
      </c>
      <c r="S27" s="33" t="e">
        <f t="shared" ca="1" si="4"/>
        <v>#NAME?</v>
      </c>
      <c r="T27" s="7" t="e">
        <f t="shared" ca="1" si="5"/>
        <v>#NAME?</v>
      </c>
      <c r="U27" s="33">
        <f t="shared" si="6"/>
        <v>528600</v>
      </c>
    </row>
    <row r="28" spans="1:21" x14ac:dyDescent="0.25">
      <c r="A28" s="1"/>
      <c r="B28" s="25">
        <v>43496</v>
      </c>
      <c r="C28" s="10" t="s">
        <v>220</v>
      </c>
      <c r="D28" s="1">
        <v>88.1</v>
      </c>
      <c r="E28" s="30">
        <v>6000</v>
      </c>
      <c r="F28" s="1">
        <v>80</v>
      </c>
      <c r="G28" s="1">
        <v>1.7</v>
      </c>
      <c r="H28" s="1">
        <v>18000</v>
      </c>
      <c r="I28" s="1">
        <v>12000</v>
      </c>
      <c r="J28" s="1">
        <v>1.95</v>
      </c>
      <c r="K28" s="1">
        <v>2.6</v>
      </c>
      <c r="L28" s="1">
        <v>6000</v>
      </c>
      <c r="M28" s="36"/>
      <c r="N28" s="1"/>
      <c r="O28" s="7">
        <f t="shared" si="0"/>
        <v>1.9296254256526674E-2</v>
      </c>
      <c r="P28" s="7">
        <f t="shared" ca="1" si="1"/>
        <v>-3.9299906836103203E-5</v>
      </c>
      <c r="Q28" s="7" t="e">
        <f t="shared" ca="1" si="2"/>
        <v>#NAME?</v>
      </c>
      <c r="R28" s="33" t="e">
        <f t="shared" ca="1" si="3"/>
        <v>#NAME?</v>
      </c>
      <c r="S28" s="33" t="e">
        <f t="shared" ca="1" si="4"/>
        <v>#NAME?</v>
      </c>
      <c r="T28" s="7" t="e">
        <f t="shared" ca="1" si="5"/>
        <v>#NAME?</v>
      </c>
      <c r="U28" s="33">
        <f t="shared" si="6"/>
        <v>528600</v>
      </c>
    </row>
    <row r="29" spans="1:21" x14ac:dyDescent="0.25">
      <c r="A29" s="1"/>
      <c r="B29" s="25">
        <v>43496</v>
      </c>
      <c r="C29" s="10" t="s">
        <v>221</v>
      </c>
      <c r="D29" s="1">
        <v>886.95</v>
      </c>
      <c r="E29" s="30">
        <v>700</v>
      </c>
      <c r="F29" s="1">
        <v>740</v>
      </c>
      <c r="G29" s="1">
        <v>8</v>
      </c>
      <c r="H29" s="1">
        <v>4900</v>
      </c>
      <c r="I29" s="1">
        <v>2800</v>
      </c>
      <c r="J29" s="1">
        <v>8.6999999999999993</v>
      </c>
      <c r="K29" s="1">
        <v>12.55</v>
      </c>
      <c r="L29" s="1">
        <v>1400</v>
      </c>
      <c r="M29" s="36"/>
      <c r="N29" s="1"/>
      <c r="O29" s="7">
        <f t="shared" si="0"/>
        <v>9.0196741642708158E-3</v>
      </c>
      <c r="P29" s="7">
        <f t="shared" ca="1" si="1"/>
        <v>-1.837000848120329E-5</v>
      </c>
      <c r="Q29" s="7" t="e">
        <f t="shared" ca="1" si="2"/>
        <v>#NAME?</v>
      </c>
      <c r="R29" s="33" t="e">
        <f t="shared" ca="1" si="3"/>
        <v>#NAME?</v>
      </c>
      <c r="S29" s="33" t="e">
        <f t="shared" ca="1" si="4"/>
        <v>#NAME?</v>
      </c>
      <c r="T29" s="7" t="e">
        <f t="shared" ca="1" si="5"/>
        <v>#NAME?</v>
      </c>
      <c r="U29" s="33">
        <f t="shared" si="6"/>
        <v>620865</v>
      </c>
    </row>
    <row r="30" spans="1:21" x14ac:dyDescent="0.25">
      <c r="A30" s="1"/>
      <c r="B30" s="25">
        <v>43496</v>
      </c>
      <c r="C30" s="10" t="s">
        <v>221</v>
      </c>
      <c r="D30" s="1">
        <v>886.95</v>
      </c>
      <c r="E30" s="30">
        <v>700</v>
      </c>
      <c r="F30" s="1">
        <v>800</v>
      </c>
      <c r="G30" s="1">
        <v>22</v>
      </c>
      <c r="H30" s="1">
        <v>9100</v>
      </c>
      <c r="I30" s="1">
        <v>2800</v>
      </c>
      <c r="J30" s="1">
        <v>19.600000000000001</v>
      </c>
      <c r="K30" s="1">
        <v>23.6</v>
      </c>
      <c r="L30" s="1">
        <v>700</v>
      </c>
      <c r="M30" s="36"/>
      <c r="N30" s="1"/>
      <c r="O30" s="7">
        <f t="shared" si="0"/>
        <v>2.4804103951744743E-2</v>
      </c>
      <c r="P30" s="7">
        <f t="shared" ca="1" si="1"/>
        <v>-5.0517523323309049E-5</v>
      </c>
      <c r="Q30" s="7" t="e">
        <f t="shared" ca="1" si="2"/>
        <v>#NAME?</v>
      </c>
      <c r="R30" s="33" t="e">
        <f t="shared" ca="1" si="3"/>
        <v>#NAME?</v>
      </c>
      <c r="S30" s="33" t="e">
        <f t="shared" ca="1" si="4"/>
        <v>#NAME?</v>
      </c>
      <c r="T30" s="7" t="e">
        <f t="shared" ca="1" si="5"/>
        <v>#NAME?</v>
      </c>
      <c r="U30" s="33">
        <f t="shared" si="6"/>
        <v>620865</v>
      </c>
    </row>
    <row r="31" spans="1:21" x14ac:dyDescent="0.25">
      <c r="A31" s="1"/>
      <c r="B31" s="25">
        <v>43496</v>
      </c>
      <c r="C31" s="10" t="s">
        <v>223</v>
      </c>
      <c r="D31" s="1">
        <v>332.15</v>
      </c>
      <c r="E31" s="30">
        <v>2200</v>
      </c>
      <c r="F31" s="1">
        <v>290</v>
      </c>
      <c r="G31" s="1">
        <v>1.9</v>
      </c>
      <c r="H31" s="1">
        <v>4400</v>
      </c>
      <c r="I31" s="1">
        <v>13200</v>
      </c>
      <c r="J31" s="1">
        <v>1.35</v>
      </c>
      <c r="K31" s="1">
        <v>2.9</v>
      </c>
      <c r="L31" s="1">
        <v>17600</v>
      </c>
      <c r="M31" s="36"/>
      <c r="N31" s="1"/>
      <c r="O31" s="7">
        <f t="shared" si="0"/>
        <v>5.720307090170104E-3</v>
      </c>
      <c r="P31" s="7">
        <f t="shared" ca="1" si="1"/>
        <v>-1.1650319939246647E-5</v>
      </c>
      <c r="Q31" s="7" t="e">
        <f t="shared" ca="1" si="2"/>
        <v>#NAME?</v>
      </c>
      <c r="R31" s="33">
        <f t="shared" ca="1" si="3"/>
        <v>511.55</v>
      </c>
      <c r="S31" s="33" t="e">
        <f t="shared" ca="1" si="4"/>
        <v>#NAME?</v>
      </c>
      <c r="T31" s="7" t="e">
        <f t="shared" ca="1" si="5"/>
        <v>#NAME?</v>
      </c>
      <c r="U31" s="33">
        <f t="shared" si="6"/>
        <v>730730</v>
      </c>
    </row>
    <row r="32" spans="1:21" x14ac:dyDescent="0.25">
      <c r="A32" s="1"/>
      <c r="B32" s="25">
        <v>43496</v>
      </c>
      <c r="C32" s="10" t="s">
        <v>223</v>
      </c>
      <c r="D32" s="1">
        <v>332.15</v>
      </c>
      <c r="E32" s="30">
        <v>2200</v>
      </c>
      <c r="F32" s="1">
        <v>300</v>
      </c>
      <c r="G32" s="1">
        <v>2.9</v>
      </c>
      <c r="H32" s="1">
        <v>6600</v>
      </c>
      <c r="I32" s="1">
        <v>11000</v>
      </c>
      <c r="J32" s="1">
        <v>2.9</v>
      </c>
      <c r="K32" s="1">
        <v>4.5999999999999996</v>
      </c>
      <c r="L32" s="1">
        <v>22000</v>
      </c>
      <c r="M32" s="36"/>
      <c r="N32" s="1"/>
      <c r="O32" s="7">
        <f t="shared" si="0"/>
        <v>8.7309950323648956E-3</v>
      </c>
      <c r="P32" s="7">
        <f t="shared" ca="1" si="1"/>
        <v>-1.7782067275692253E-5</v>
      </c>
      <c r="Q32" s="7" t="e">
        <f t="shared" ca="1" si="2"/>
        <v>#NAME?</v>
      </c>
      <c r="R32" s="33">
        <f t="shared" ca="1" si="3"/>
        <v>511.55</v>
      </c>
      <c r="S32" s="33" t="e">
        <f t="shared" ca="1" si="4"/>
        <v>#NAME?</v>
      </c>
      <c r="T32" s="7" t="e">
        <f t="shared" ca="1" si="5"/>
        <v>#NAME?</v>
      </c>
      <c r="U32" s="33">
        <f t="shared" si="6"/>
        <v>730730</v>
      </c>
    </row>
    <row r="33" spans="1:21" x14ac:dyDescent="0.25">
      <c r="A33" s="1"/>
      <c r="B33" s="25">
        <v>43496</v>
      </c>
      <c r="C33" s="10" t="s">
        <v>238</v>
      </c>
      <c r="D33" s="1">
        <v>307.5</v>
      </c>
      <c r="E33" s="30">
        <v>1700</v>
      </c>
      <c r="F33" s="1">
        <v>260</v>
      </c>
      <c r="G33" s="1">
        <v>6</v>
      </c>
      <c r="H33" s="1">
        <v>1700</v>
      </c>
      <c r="I33" s="1">
        <v>13600</v>
      </c>
      <c r="J33" s="1">
        <v>1.25</v>
      </c>
      <c r="K33" s="1">
        <v>3.45</v>
      </c>
      <c r="L33" s="1">
        <v>13600</v>
      </c>
      <c r="M33" s="36"/>
      <c r="N33" s="1"/>
      <c r="O33" s="7">
        <f t="shared" si="0"/>
        <v>1.9512195121951219E-2</v>
      </c>
      <c r="P33" s="7">
        <f t="shared" ca="1" si="1"/>
        <v>-3.9739704932690875E-5</v>
      </c>
      <c r="Q33" s="7" t="e">
        <f t="shared" ca="1" si="2"/>
        <v>#NAME?</v>
      </c>
      <c r="R33" s="33" t="e">
        <f t="shared" ca="1" si="3"/>
        <v>#NAME?</v>
      </c>
      <c r="S33" s="33" t="e">
        <f t="shared" ca="1" si="4"/>
        <v>#NAME?</v>
      </c>
      <c r="T33" s="7" t="e">
        <f t="shared" ca="1" si="5"/>
        <v>#NAME?</v>
      </c>
      <c r="U33" s="33">
        <f t="shared" si="6"/>
        <v>522750</v>
      </c>
    </row>
    <row r="34" spans="1:21" x14ac:dyDescent="0.25">
      <c r="A34" s="1"/>
      <c r="B34" s="25">
        <v>43496</v>
      </c>
      <c r="C34" s="10" t="s">
        <v>238</v>
      </c>
      <c r="D34" s="1">
        <v>307.5</v>
      </c>
      <c r="E34" s="30">
        <v>1700</v>
      </c>
      <c r="F34" s="1">
        <v>270</v>
      </c>
      <c r="G34" s="1">
        <v>3.5</v>
      </c>
      <c r="H34" s="1">
        <v>5100</v>
      </c>
      <c r="I34" s="1">
        <v>20400</v>
      </c>
      <c r="J34" s="1">
        <v>2.75</v>
      </c>
      <c r="K34" s="1">
        <v>4.25</v>
      </c>
      <c r="L34" s="1">
        <v>3400</v>
      </c>
      <c r="M34" s="36"/>
      <c r="N34" s="1"/>
      <c r="O34" s="7">
        <f t="shared" si="0"/>
        <v>1.1382113821138212E-2</v>
      </c>
      <c r="P34" s="7">
        <f t="shared" ca="1" si="1"/>
        <v>-2.3181494544069677E-5</v>
      </c>
      <c r="Q34" s="7" t="e">
        <f t="shared" ca="1" si="2"/>
        <v>#NAME?</v>
      </c>
      <c r="R34" s="33" t="e">
        <f t="shared" ca="1" si="3"/>
        <v>#NAME?</v>
      </c>
      <c r="S34" s="33" t="e">
        <f t="shared" ca="1" si="4"/>
        <v>#NAME?</v>
      </c>
      <c r="T34" s="7" t="e">
        <f t="shared" ca="1" si="5"/>
        <v>#NAME?</v>
      </c>
      <c r="U34" s="33">
        <f t="shared" si="6"/>
        <v>522750</v>
      </c>
    </row>
    <row r="35" spans="1:21" x14ac:dyDescent="0.25">
      <c r="A35" s="1"/>
      <c r="B35" s="25">
        <v>43496</v>
      </c>
      <c r="C35" s="10" t="s">
        <v>239</v>
      </c>
      <c r="D35" s="1">
        <v>69.75</v>
      </c>
      <c r="E35" s="30">
        <v>7500</v>
      </c>
      <c r="F35" s="1">
        <v>60</v>
      </c>
      <c r="G35" s="1">
        <v>0.5</v>
      </c>
      <c r="H35" s="1">
        <v>82500</v>
      </c>
      <c r="I35" s="1">
        <v>7500</v>
      </c>
      <c r="J35" s="1">
        <v>0.35</v>
      </c>
      <c r="K35" s="1">
        <v>0.5</v>
      </c>
      <c r="L35" s="1">
        <v>7500</v>
      </c>
      <c r="M35" s="36"/>
      <c r="N35" s="1"/>
      <c r="O35" s="7">
        <f t="shared" si="0"/>
        <v>7.1684587813620072E-3</v>
      </c>
      <c r="P35" s="7">
        <f t="shared" ca="1" si="1"/>
        <v>-1.4599712385666003E-5</v>
      </c>
      <c r="Q35" s="7" t="e">
        <f t="shared" ca="1" si="2"/>
        <v>#NAME?</v>
      </c>
      <c r="R35" s="33" t="e">
        <f t="shared" ca="1" si="3"/>
        <v>#NAME?</v>
      </c>
      <c r="S35" s="33" t="e">
        <f t="shared" ca="1" si="4"/>
        <v>#NAME?</v>
      </c>
      <c r="T35" s="7" t="e">
        <f t="shared" ca="1" si="5"/>
        <v>#NAME?</v>
      </c>
      <c r="U35" s="33">
        <f t="shared" si="6"/>
        <v>523125</v>
      </c>
    </row>
    <row r="36" spans="1:21" x14ac:dyDescent="0.25">
      <c r="A36" s="1"/>
      <c r="B36" s="25">
        <v>43496</v>
      </c>
      <c r="C36" s="10" t="s">
        <v>239</v>
      </c>
      <c r="D36" s="1">
        <v>69.75</v>
      </c>
      <c r="E36" s="30">
        <v>7500</v>
      </c>
      <c r="F36" s="1">
        <v>62.5</v>
      </c>
      <c r="G36" s="1">
        <v>0.85</v>
      </c>
      <c r="H36" s="1">
        <v>37500</v>
      </c>
      <c r="I36" s="1">
        <v>7500</v>
      </c>
      <c r="J36" s="1">
        <v>0.75</v>
      </c>
      <c r="K36" s="1">
        <v>0.85</v>
      </c>
      <c r="L36" s="1">
        <v>7500</v>
      </c>
      <c r="M36" s="36"/>
      <c r="N36" s="1"/>
      <c r="O36" s="7">
        <f t="shared" si="0"/>
        <v>1.2186379928315411E-2</v>
      </c>
      <c r="P36" s="7">
        <f t="shared" ca="1" si="1"/>
        <v>-2.4819511055632201E-5</v>
      </c>
      <c r="Q36" s="7" t="e">
        <f t="shared" ca="1" si="2"/>
        <v>#NAME?</v>
      </c>
      <c r="R36" s="33" t="e">
        <f t="shared" ca="1" si="3"/>
        <v>#NAME?</v>
      </c>
      <c r="S36" s="33" t="e">
        <f t="shared" ca="1" si="4"/>
        <v>#NAME?</v>
      </c>
      <c r="T36" s="7" t="e">
        <f t="shared" ca="1" si="5"/>
        <v>#NAME?</v>
      </c>
      <c r="U36" s="33">
        <f t="shared" si="6"/>
        <v>523125</v>
      </c>
    </row>
    <row r="37" spans="1:21" x14ac:dyDescent="0.25">
      <c r="A37" s="1"/>
      <c r="B37" s="25">
        <v>43496</v>
      </c>
      <c r="C37" s="10" t="s">
        <v>239</v>
      </c>
      <c r="D37" s="1">
        <v>69.75</v>
      </c>
      <c r="E37" s="30">
        <v>7500</v>
      </c>
      <c r="F37" s="1">
        <v>65</v>
      </c>
      <c r="G37" s="1">
        <v>1.35</v>
      </c>
      <c r="H37" s="1">
        <v>150000</v>
      </c>
      <c r="I37" s="1">
        <v>7500</v>
      </c>
      <c r="J37" s="1">
        <v>1.4</v>
      </c>
      <c r="K37" s="1">
        <v>1.5</v>
      </c>
      <c r="L37" s="1">
        <v>7500</v>
      </c>
      <c r="M37" s="36"/>
      <c r="N37" s="1"/>
      <c r="O37" s="7">
        <f t="shared" si="0"/>
        <v>1.935483870967742E-2</v>
      </c>
      <c r="P37" s="7">
        <f t="shared" ca="1" si="1"/>
        <v>-3.9419223441298209E-5</v>
      </c>
      <c r="Q37" s="7" t="e">
        <f t="shared" ca="1" si="2"/>
        <v>#NAME?</v>
      </c>
      <c r="R37" s="33" t="e">
        <f t="shared" ca="1" si="3"/>
        <v>#NAME?</v>
      </c>
      <c r="S37" s="33" t="e">
        <f t="shared" ca="1" si="4"/>
        <v>#NAME?</v>
      </c>
      <c r="T37" s="7" t="e">
        <f t="shared" ca="1" si="5"/>
        <v>#NAME?</v>
      </c>
      <c r="U37" s="33">
        <f t="shared" si="6"/>
        <v>523125</v>
      </c>
    </row>
    <row r="38" spans="1:21" x14ac:dyDescent="0.25">
      <c r="A38" s="1"/>
      <c r="B38" s="25">
        <v>43496</v>
      </c>
      <c r="C38" s="10" t="s">
        <v>266</v>
      </c>
      <c r="D38" s="1">
        <v>374.35</v>
      </c>
      <c r="E38" s="30">
        <v>1800</v>
      </c>
      <c r="F38" s="1">
        <v>320</v>
      </c>
      <c r="G38" s="1">
        <v>3.1</v>
      </c>
      <c r="H38" s="1">
        <v>12600</v>
      </c>
      <c r="I38" s="1">
        <v>25200</v>
      </c>
      <c r="J38" s="1">
        <v>2.6</v>
      </c>
      <c r="K38" s="1">
        <v>3.9</v>
      </c>
      <c r="L38" s="1">
        <v>1800</v>
      </c>
      <c r="M38" s="36"/>
      <c r="N38" s="1"/>
      <c r="O38" s="7">
        <f t="shared" si="0"/>
        <v>8.2810204354213969E-3</v>
      </c>
      <c r="P38" s="7">
        <f t="shared" ca="1" si="1"/>
        <v>-1.6865622068068018E-5</v>
      </c>
      <c r="Q38" s="7" t="e">
        <f t="shared" ca="1" si="2"/>
        <v>#NAME?</v>
      </c>
      <c r="R38" s="33" t="e">
        <f t="shared" ca="1" si="3"/>
        <v>#NAME?</v>
      </c>
      <c r="S38" s="33" t="e">
        <f t="shared" ca="1" si="4"/>
        <v>#NAME?</v>
      </c>
      <c r="T38" s="7" t="e">
        <f t="shared" ca="1" si="5"/>
        <v>#NAME?</v>
      </c>
      <c r="U38" s="33">
        <f t="shared" si="6"/>
        <v>673830</v>
      </c>
    </row>
    <row r="39" spans="1:21" x14ac:dyDescent="0.25">
      <c r="A39" s="1"/>
      <c r="B39" s="25">
        <v>43496</v>
      </c>
      <c r="C39" s="10" t="s">
        <v>266</v>
      </c>
      <c r="D39" s="1">
        <v>374.35</v>
      </c>
      <c r="E39" s="30">
        <v>1800</v>
      </c>
      <c r="F39" s="1">
        <v>330</v>
      </c>
      <c r="G39" s="1">
        <v>5.4</v>
      </c>
      <c r="H39" s="1">
        <v>10800</v>
      </c>
      <c r="I39" s="1">
        <v>3600</v>
      </c>
      <c r="J39" s="1">
        <v>5</v>
      </c>
      <c r="K39" s="1">
        <v>5.55</v>
      </c>
      <c r="L39" s="1">
        <v>1800</v>
      </c>
      <c r="M39" s="36"/>
      <c r="N39" s="1"/>
      <c r="O39" s="7">
        <f t="shared" si="0"/>
        <v>1.4425003339121143E-2</v>
      </c>
      <c r="P39" s="7">
        <f t="shared" ca="1" si="1"/>
        <v>-2.9378825537924935E-5</v>
      </c>
      <c r="Q39" s="7" t="e">
        <f t="shared" ca="1" si="2"/>
        <v>#NAME?</v>
      </c>
      <c r="R39" s="33" t="e">
        <f t="shared" ca="1" si="3"/>
        <v>#NAME?</v>
      </c>
      <c r="S39" s="33" t="e">
        <f t="shared" ca="1" si="4"/>
        <v>#NAME?</v>
      </c>
      <c r="T39" s="7" t="e">
        <f t="shared" ca="1" si="5"/>
        <v>#NAME?</v>
      </c>
      <c r="U39" s="33">
        <f t="shared" si="6"/>
        <v>673830</v>
      </c>
    </row>
    <row r="40" spans="1:21" x14ac:dyDescent="0.25">
      <c r="A40" s="1"/>
      <c r="B40" s="25">
        <v>43496</v>
      </c>
      <c r="C40" s="10" t="s">
        <v>266</v>
      </c>
      <c r="D40" s="1">
        <v>374.35</v>
      </c>
      <c r="E40" s="30">
        <v>1800</v>
      </c>
      <c r="F40" s="1">
        <v>340</v>
      </c>
      <c r="G40" s="1">
        <v>8.1</v>
      </c>
      <c r="H40" s="1">
        <v>14400</v>
      </c>
      <c r="I40" s="1">
        <v>3600</v>
      </c>
      <c r="J40" s="1">
        <v>7.45</v>
      </c>
      <c r="K40" s="1">
        <v>9</v>
      </c>
      <c r="L40" s="1">
        <v>25200</v>
      </c>
      <c r="M40" s="36"/>
      <c r="N40" s="1"/>
      <c r="O40" s="7">
        <f t="shared" si="0"/>
        <v>2.1637505008681713E-2</v>
      </c>
      <c r="P40" s="7">
        <f t="shared" ca="1" si="1"/>
        <v>-4.4068238306887399E-5</v>
      </c>
      <c r="Q40" s="7" t="e">
        <f t="shared" ca="1" si="2"/>
        <v>#NAME?</v>
      </c>
      <c r="R40" s="33">
        <f t="shared" ca="1" si="3"/>
        <v>369.7</v>
      </c>
      <c r="S40" s="33" t="e">
        <f t="shared" ca="1" si="4"/>
        <v>#NAME?</v>
      </c>
      <c r="T40" s="7" t="e">
        <f t="shared" ca="1" si="5"/>
        <v>#NAME?</v>
      </c>
      <c r="U40" s="33">
        <f t="shared" si="6"/>
        <v>673830</v>
      </c>
    </row>
    <row r="41" spans="1:21" x14ac:dyDescent="0.25">
      <c r="A41" s="1"/>
      <c r="B41" s="25">
        <v>43496</v>
      </c>
      <c r="C41" s="10" t="s">
        <v>266</v>
      </c>
      <c r="D41" s="1">
        <v>374.35</v>
      </c>
      <c r="E41" s="30">
        <v>1800</v>
      </c>
      <c r="F41" s="1">
        <v>350</v>
      </c>
      <c r="G41" s="1">
        <v>10</v>
      </c>
      <c r="H41" s="1">
        <v>19800</v>
      </c>
      <c r="I41" s="1">
        <v>3600</v>
      </c>
      <c r="J41" s="1">
        <v>10.4</v>
      </c>
      <c r="K41" s="1">
        <v>11.5</v>
      </c>
      <c r="L41" s="1">
        <v>1800</v>
      </c>
      <c r="M41" s="36"/>
      <c r="N41" s="1"/>
      <c r="O41" s="7">
        <f t="shared" si="0"/>
        <v>2.6712969146520636E-2</v>
      </c>
      <c r="P41" s="7">
        <f t="shared" ca="1" si="1"/>
        <v>-5.4405232477638768E-5</v>
      </c>
      <c r="Q41" s="7" t="e">
        <f t="shared" ca="1" si="2"/>
        <v>#NAME?</v>
      </c>
      <c r="R41" s="33" t="e">
        <f t="shared" ca="1" si="3"/>
        <v>#NAME?</v>
      </c>
      <c r="S41" s="33" t="e">
        <f t="shared" ca="1" si="4"/>
        <v>#NAME?</v>
      </c>
      <c r="T41" s="7" t="e">
        <f t="shared" ca="1" si="5"/>
        <v>#NAME?</v>
      </c>
      <c r="U41" s="33">
        <f t="shared" si="6"/>
        <v>673830</v>
      </c>
    </row>
    <row r="42" spans="1:21" x14ac:dyDescent="0.25">
      <c r="A42" s="1"/>
      <c r="B42" s="25">
        <v>43496</v>
      </c>
      <c r="C42" s="10" t="s">
        <v>283</v>
      </c>
      <c r="D42" s="1">
        <v>341.4</v>
      </c>
      <c r="E42" s="30">
        <v>1600</v>
      </c>
      <c r="F42" s="1">
        <v>310</v>
      </c>
      <c r="G42" s="1">
        <v>3.9</v>
      </c>
      <c r="H42" s="1">
        <v>3200</v>
      </c>
      <c r="I42" s="1">
        <v>19200</v>
      </c>
      <c r="J42" s="1">
        <v>3.2</v>
      </c>
      <c r="K42" s="1">
        <v>5.35</v>
      </c>
      <c r="L42" s="1">
        <v>22400</v>
      </c>
      <c r="M42" s="36"/>
      <c r="N42" s="1"/>
      <c r="O42" s="7">
        <f t="shared" si="0"/>
        <v>1.1423550087873463E-2</v>
      </c>
      <c r="P42" s="7">
        <f t="shared" ca="1" si="1"/>
        <v>-2.3265886126015201E-5</v>
      </c>
      <c r="Q42" s="7" t="e">
        <f t="shared" ca="1" si="2"/>
        <v>#NAME?</v>
      </c>
      <c r="R42" s="33" t="e">
        <f t="shared" ca="1" si="3"/>
        <v>#NAME?</v>
      </c>
      <c r="S42" s="33" t="e">
        <f t="shared" ca="1" si="4"/>
        <v>#NAME?</v>
      </c>
      <c r="T42" s="7" t="e">
        <f t="shared" ca="1" si="5"/>
        <v>#NAME?</v>
      </c>
      <c r="U42" s="33">
        <f t="shared" si="6"/>
        <v>546240</v>
      </c>
    </row>
    <row r="43" spans="1:21" x14ac:dyDescent="0.25">
      <c r="A43" s="1"/>
      <c r="B43" s="25">
        <v>43496</v>
      </c>
      <c r="C43" s="10" t="s">
        <v>283</v>
      </c>
      <c r="D43" s="1">
        <v>341.4</v>
      </c>
      <c r="E43" s="30">
        <v>1600</v>
      </c>
      <c r="F43" s="1">
        <v>320</v>
      </c>
      <c r="G43" s="1">
        <v>5.15</v>
      </c>
      <c r="H43" s="1">
        <v>1600</v>
      </c>
      <c r="I43" s="1">
        <v>22400</v>
      </c>
      <c r="J43" s="1">
        <v>5</v>
      </c>
      <c r="K43" s="1">
        <v>7.65</v>
      </c>
      <c r="L43" s="1">
        <v>22400</v>
      </c>
      <c r="M43" s="36"/>
      <c r="N43" s="1"/>
      <c r="O43" s="7">
        <f t="shared" si="0"/>
        <v>1.5084944346807266E-2</v>
      </c>
      <c r="P43" s="7">
        <f t="shared" ca="1" si="1"/>
        <v>-3.0722900909994434E-5</v>
      </c>
      <c r="Q43" s="7" t="e">
        <f t="shared" ca="1" si="2"/>
        <v>#NAME?</v>
      </c>
      <c r="R43" s="33" t="e">
        <f t="shared" ca="1" si="3"/>
        <v>#NAME?</v>
      </c>
      <c r="S43" s="33" t="e">
        <f t="shared" ca="1" si="4"/>
        <v>#NAME?</v>
      </c>
      <c r="T43" s="7" t="e">
        <f t="shared" ca="1" si="5"/>
        <v>#NAME?</v>
      </c>
      <c r="U43" s="33">
        <f t="shared" si="6"/>
        <v>546240</v>
      </c>
    </row>
    <row r="44" spans="1:21" x14ac:dyDescent="0.25">
      <c r="A44" s="1"/>
      <c r="B44" s="25">
        <v>43496</v>
      </c>
      <c r="C44" s="10" t="s">
        <v>286</v>
      </c>
      <c r="D44" s="1">
        <v>266.25</v>
      </c>
      <c r="E44" s="30">
        <v>2000</v>
      </c>
      <c r="F44" s="1">
        <v>210</v>
      </c>
      <c r="G44" s="1">
        <v>7.55</v>
      </c>
      <c r="H44" s="1">
        <v>4000</v>
      </c>
      <c r="I44" s="1">
        <v>10000</v>
      </c>
      <c r="J44" s="1">
        <v>0.45</v>
      </c>
      <c r="K44" s="1">
        <v>1.8</v>
      </c>
      <c r="L44" s="1">
        <v>24000</v>
      </c>
      <c r="M44" s="36"/>
      <c r="N44" s="1"/>
      <c r="O44" s="7">
        <f t="shared" si="0"/>
        <v>2.8356807511737088E-2</v>
      </c>
      <c r="P44" s="7">
        <f t="shared" ca="1" si="1"/>
        <v>-5.7753172121664131E-5</v>
      </c>
      <c r="Q44" s="7" t="e">
        <f t="shared" ca="1" si="2"/>
        <v>#NAME?</v>
      </c>
      <c r="R44" s="33" t="e">
        <f t="shared" ca="1" si="3"/>
        <v>#NAME?</v>
      </c>
      <c r="S44" s="33" t="e">
        <f t="shared" ca="1" si="4"/>
        <v>#NAME?</v>
      </c>
      <c r="T44" s="7" t="e">
        <f t="shared" ca="1" si="5"/>
        <v>#NAME?</v>
      </c>
      <c r="U44" s="33">
        <f t="shared" si="6"/>
        <v>532500</v>
      </c>
    </row>
    <row r="45" spans="1:21" x14ac:dyDescent="0.25">
      <c r="A45" s="1"/>
      <c r="B45" s="25">
        <v>43496</v>
      </c>
      <c r="C45" s="10" t="s">
        <v>286</v>
      </c>
      <c r="D45" s="1">
        <v>266.25</v>
      </c>
      <c r="E45" s="30">
        <v>2000</v>
      </c>
      <c r="F45" s="1">
        <v>215</v>
      </c>
      <c r="G45" s="1">
        <v>8.9</v>
      </c>
      <c r="H45" s="1">
        <v>4000</v>
      </c>
      <c r="I45" s="1">
        <v>8000</v>
      </c>
      <c r="J45" s="1">
        <v>0.85</v>
      </c>
      <c r="K45" s="1">
        <v>2.15</v>
      </c>
      <c r="L45" s="1">
        <v>24000</v>
      </c>
      <c r="M45" s="36"/>
      <c r="N45" s="1"/>
      <c r="O45" s="7">
        <f t="shared" si="0"/>
        <v>3.3427230046948357E-2</v>
      </c>
      <c r="P45" s="7">
        <f t="shared" ca="1" si="1"/>
        <v>-6.8079898262623947E-5</v>
      </c>
      <c r="Q45" s="7" t="e">
        <f t="shared" ca="1" si="2"/>
        <v>#NAME?</v>
      </c>
      <c r="R45" s="33" t="e">
        <f t="shared" ca="1" si="3"/>
        <v>#NAME?</v>
      </c>
      <c r="S45" s="33" t="e">
        <f t="shared" ca="1" si="4"/>
        <v>#NAME?</v>
      </c>
      <c r="T45" s="7" t="e">
        <f t="shared" ca="1" si="5"/>
        <v>#NAME?</v>
      </c>
      <c r="U45" s="33">
        <f t="shared" si="6"/>
        <v>532500</v>
      </c>
    </row>
    <row r="46" spans="1:21" x14ac:dyDescent="0.25">
      <c r="A46" s="1"/>
      <c r="B46" s="25">
        <v>43496</v>
      </c>
      <c r="C46" s="10" t="s">
        <v>286</v>
      </c>
      <c r="D46" s="1">
        <v>266.25</v>
      </c>
      <c r="E46" s="30">
        <v>2000</v>
      </c>
      <c r="F46" s="1">
        <v>220</v>
      </c>
      <c r="G46" s="1">
        <v>10.4</v>
      </c>
      <c r="H46" s="1">
        <v>4000</v>
      </c>
      <c r="I46" s="1">
        <v>10000</v>
      </c>
      <c r="J46" s="1">
        <v>1.25</v>
      </c>
      <c r="K46" s="1">
        <v>2.5499999999999998</v>
      </c>
      <c r="L46" s="1">
        <v>24000</v>
      </c>
      <c r="M46" s="36"/>
      <c r="N46" s="1"/>
      <c r="O46" s="7">
        <f t="shared" si="0"/>
        <v>3.9061032863849765E-2</v>
      </c>
      <c r="P46" s="7">
        <f t="shared" ca="1" si="1"/>
        <v>-7.9554038419245952E-5</v>
      </c>
      <c r="Q46" s="7" t="e">
        <f t="shared" ca="1" si="2"/>
        <v>#NAME?</v>
      </c>
      <c r="R46" s="33" t="e">
        <f t="shared" ca="1" si="3"/>
        <v>#NAME?</v>
      </c>
      <c r="S46" s="33" t="e">
        <f t="shared" ca="1" si="4"/>
        <v>#NAME?</v>
      </c>
      <c r="T46" s="7" t="e">
        <f t="shared" ca="1" si="5"/>
        <v>#NAME?</v>
      </c>
      <c r="U46" s="33">
        <f t="shared" si="6"/>
        <v>532500</v>
      </c>
    </row>
    <row r="47" spans="1:21" x14ac:dyDescent="0.25">
      <c r="A47" s="1"/>
      <c r="B47" s="25">
        <v>43496</v>
      </c>
      <c r="C47" s="10" t="s">
        <v>286</v>
      </c>
      <c r="D47" s="1">
        <v>266.25</v>
      </c>
      <c r="E47" s="30">
        <v>2000</v>
      </c>
      <c r="F47" s="1">
        <v>225</v>
      </c>
      <c r="G47" s="1">
        <v>2.25</v>
      </c>
      <c r="H47" s="1">
        <v>6000</v>
      </c>
      <c r="I47" s="1">
        <v>4000</v>
      </c>
      <c r="J47" s="1">
        <v>1.85</v>
      </c>
      <c r="K47" s="1">
        <v>3.3</v>
      </c>
      <c r="L47" s="1">
        <v>28000</v>
      </c>
      <c r="M47" s="36"/>
      <c r="N47" s="1"/>
      <c r="O47" s="7">
        <f t="shared" si="0"/>
        <v>8.4507042253521118E-3</v>
      </c>
      <c r="P47" s="7">
        <f t="shared" ca="1" si="1"/>
        <v>-1.7211210234933017E-5</v>
      </c>
      <c r="Q47" s="7" t="e">
        <f t="shared" ca="1" si="2"/>
        <v>#NAME?</v>
      </c>
      <c r="R47" s="33">
        <f t="shared" ca="1" si="3"/>
        <v>104.6</v>
      </c>
      <c r="S47" s="33" t="e">
        <f t="shared" ca="1" si="4"/>
        <v>#NAME?</v>
      </c>
      <c r="T47" s="7" t="e">
        <f t="shared" ca="1" si="5"/>
        <v>#NAME?</v>
      </c>
      <c r="U47" s="33">
        <f t="shared" si="6"/>
        <v>532500</v>
      </c>
    </row>
    <row r="48" spans="1:21" x14ac:dyDescent="0.25">
      <c r="A48" s="1"/>
      <c r="B48" s="25">
        <v>43496</v>
      </c>
      <c r="C48" s="10" t="s">
        <v>286</v>
      </c>
      <c r="D48" s="1">
        <v>266.25</v>
      </c>
      <c r="E48" s="30">
        <v>2000</v>
      </c>
      <c r="F48" s="1">
        <v>230</v>
      </c>
      <c r="G48" s="1">
        <v>3</v>
      </c>
      <c r="H48" s="1">
        <v>12000</v>
      </c>
      <c r="I48" s="1">
        <v>6000</v>
      </c>
      <c r="J48" s="1">
        <v>2.5</v>
      </c>
      <c r="K48" s="1">
        <v>3.85</v>
      </c>
      <c r="L48" s="1">
        <v>28000</v>
      </c>
      <c r="M48" s="36"/>
      <c r="N48" s="1"/>
      <c r="O48" s="7">
        <f t="shared" si="0"/>
        <v>1.1267605633802818E-2</v>
      </c>
      <c r="P48" s="7">
        <f t="shared" ca="1" si="1"/>
        <v>-2.2948280313244026E-5</v>
      </c>
      <c r="Q48" s="7" t="e">
        <f t="shared" ca="1" si="2"/>
        <v>#NAME?</v>
      </c>
      <c r="R48" s="33" t="e">
        <f t="shared" ca="1" si="3"/>
        <v>#NAME?</v>
      </c>
      <c r="S48" s="33" t="e">
        <f t="shared" ca="1" si="4"/>
        <v>#NAME?</v>
      </c>
      <c r="T48" s="7" t="e">
        <f t="shared" ca="1" si="5"/>
        <v>#NAME?</v>
      </c>
      <c r="U48" s="33">
        <f t="shared" si="6"/>
        <v>532500</v>
      </c>
    </row>
    <row r="49" spans="1:21" x14ac:dyDescent="0.25">
      <c r="A49" s="1"/>
      <c r="B49" s="25">
        <v>43496</v>
      </c>
      <c r="C49" s="10" t="s">
        <v>286</v>
      </c>
      <c r="D49" s="1">
        <v>266.25</v>
      </c>
      <c r="E49" s="30">
        <v>2000</v>
      </c>
      <c r="F49" s="1">
        <v>235</v>
      </c>
      <c r="G49" s="1">
        <v>16.3</v>
      </c>
      <c r="H49" s="1">
        <v>4000</v>
      </c>
      <c r="I49" s="1">
        <v>8000</v>
      </c>
      <c r="J49" s="1">
        <v>3.1</v>
      </c>
      <c r="K49" s="1">
        <v>4.75</v>
      </c>
      <c r="L49" s="1">
        <v>28000</v>
      </c>
      <c r="M49" s="36"/>
      <c r="N49" s="1"/>
      <c r="O49" s="7">
        <f t="shared" si="0"/>
        <v>6.1220657276995306E-2</v>
      </c>
      <c r="P49" s="7">
        <f t="shared" ca="1" si="1"/>
        <v>-1.2468565636862588E-4</v>
      </c>
      <c r="Q49" s="7" t="e">
        <f t="shared" ca="1" si="2"/>
        <v>#NAME?</v>
      </c>
      <c r="R49" s="33" t="e">
        <f t="shared" ca="1" si="3"/>
        <v>#NAME?</v>
      </c>
      <c r="S49" s="33" t="e">
        <f t="shared" ca="1" si="4"/>
        <v>#NAME?</v>
      </c>
      <c r="T49" s="7" t="e">
        <f t="shared" ca="1" si="5"/>
        <v>#NAME?</v>
      </c>
      <c r="U49" s="33">
        <f t="shared" si="6"/>
        <v>532500</v>
      </c>
    </row>
    <row r="50" spans="1:21" x14ac:dyDescent="0.25">
      <c r="A50" s="1"/>
      <c r="B50" s="25">
        <v>43496</v>
      </c>
      <c r="C50" s="10" t="s">
        <v>286</v>
      </c>
      <c r="D50" s="1">
        <v>266.25</v>
      </c>
      <c r="E50" s="30">
        <v>2000</v>
      </c>
      <c r="F50" s="1">
        <v>240</v>
      </c>
      <c r="G50" s="1">
        <v>5.0999999999999996</v>
      </c>
      <c r="H50" s="1">
        <v>22000</v>
      </c>
      <c r="I50" s="1">
        <v>2000</v>
      </c>
      <c r="J50" s="1">
        <v>4.3499999999999996</v>
      </c>
      <c r="K50" s="1">
        <v>5.0999999999999996</v>
      </c>
      <c r="L50" s="1">
        <v>6000</v>
      </c>
      <c r="M50" s="36"/>
      <c r="N50" s="1"/>
      <c r="O50" s="7">
        <f t="shared" si="0"/>
        <v>1.9154929577464789E-2</v>
      </c>
      <c r="P50" s="7">
        <f t="shared" ca="1" si="1"/>
        <v>-3.9012076532514848E-5</v>
      </c>
      <c r="Q50" s="7" t="e">
        <f t="shared" ca="1" si="2"/>
        <v>#NAME?</v>
      </c>
      <c r="R50" s="33">
        <f t="shared" ca="1" si="3"/>
        <v>104.6</v>
      </c>
      <c r="S50" s="33" t="e">
        <f t="shared" ca="1" si="4"/>
        <v>#NAME?</v>
      </c>
      <c r="T50" s="7" t="e">
        <f t="shared" ca="1" si="5"/>
        <v>#NAME?</v>
      </c>
      <c r="U50" s="33">
        <f t="shared" si="6"/>
        <v>532500</v>
      </c>
    </row>
    <row r="51" spans="1:21" x14ac:dyDescent="0.25">
      <c r="A51" s="1"/>
      <c r="B51" s="25">
        <v>43496</v>
      </c>
      <c r="C51" s="10" t="s">
        <v>286</v>
      </c>
      <c r="D51" s="1">
        <v>266.25</v>
      </c>
      <c r="E51" s="30">
        <v>2000</v>
      </c>
      <c r="F51" s="1">
        <v>245</v>
      </c>
      <c r="G51" s="1">
        <v>20.8</v>
      </c>
      <c r="H51" s="1">
        <v>4000</v>
      </c>
      <c r="I51" s="1">
        <v>12000</v>
      </c>
      <c r="J51" s="1">
        <v>5.2</v>
      </c>
      <c r="K51" s="1">
        <v>6.75</v>
      </c>
      <c r="L51" s="1">
        <v>28000</v>
      </c>
      <c r="M51" s="36"/>
      <c r="N51" s="1"/>
      <c r="O51" s="7">
        <f t="shared" si="0"/>
        <v>7.812206572769953E-2</v>
      </c>
      <c r="P51" s="7">
        <f t="shared" ca="1" si="1"/>
        <v>-1.591080768384919E-4</v>
      </c>
      <c r="Q51" s="7" t="e">
        <f t="shared" ca="1" si="2"/>
        <v>#NAME?</v>
      </c>
      <c r="R51" s="33" t="e">
        <f t="shared" ca="1" si="3"/>
        <v>#NAME?</v>
      </c>
      <c r="S51" s="33" t="e">
        <f t="shared" ca="1" si="4"/>
        <v>#NAME?</v>
      </c>
      <c r="T51" s="7" t="e">
        <f t="shared" ca="1" si="5"/>
        <v>#NAME?</v>
      </c>
      <c r="U51" s="33">
        <f t="shared" si="6"/>
        <v>532500</v>
      </c>
    </row>
    <row r="52" spans="1:21" x14ac:dyDescent="0.25">
      <c r="A52" s="1"/>
      <c r="B52" s="25">
        <v>43496</v>
      </c>
      <c r="C52" s="10" t="s">
        <v>288</v>
      </c>
      <c r="D52" s="1">
        <v>281</v>
      </c>
      <c r="E52" s="30">
        <v>1250</v>
      </c>
      <c r="F52" s="1">
        <v>250</v>
      </c>
      <c r="G52" s="1">
        <v>3.5</v>
      </c>
      <c r="H52" s="1">
        <v>3600</v>
      </c>
      <c r="I52" s="1">
        <v>7200</v>
      </c>
      <c r="J52" s="1">
        <v>4.2</v>
      </c>
      <c r="K52" s="1">
        <v>6.05</v>
      </c>
      <c r="L52" s="1">
        <v>18000</v>
      </c>
      <c r="M52" s="36"/>
      <c r="N52" s="1"/>
      <c r="O52" s="7">
        <f t="shared" si="0"/>
        <v>1.2455516014234875E-2</v>
      </c>
      <c r="P52" s="7">
        <f t="shared" ca="1" si="1"/>
        <v>-2.5367649723492617E-5</v>
      </c>
      <c r="Q52" s="7" t="e">
        <f t="shared" ca="1" si="2"/>
        <v>#NAME?</v>
      </c>
      <c r="R52" s="33">
        <f t="shared" ca="1" si="3"/>
        <v>312.60000000000002</v>
      </c>
      <c r="S52" s="33" t="e">
        <f t="shared" ca="1" si="4"/>
        <v>#NAME?</v>
      </c>
      <c r="T52" s="7" t="e">
        <f t="shared" ca="1" si="5"/>
        <v>#NAME?</v>
      </c>
      <c r="U52" s="33">
        <f t="shared" si="6"/>
        <v>351250</v>
      </c>
    </row>
    <row r="53" spans="1:21" x14ac:dyDescent="0.25">
      <c r="A53" s="1"/>
      <c r="B53" s="25">
        <v>43496</v>
      </c>
      <c r="C53" s="10" t="s">
        <v>313</v>
      </c>
      <c r="D53" s="1">
        <v>912.75</v>
      </c>
      <c r="E53" s="30">
        <v>600</v>
      </c>
      <c r="F53" s="1">
        <v>840</v>
      </c>
      <c r="G53" s="1">
        <v>12.5</v>
      </c>
      <c r="H53" s="1">
        <v>600</v>
      </c>
      <c r="I53" s="1">
        <v>3600</v>
      </c>
      <c r="J53" s="1">
        <v>11.25</v>
      </c>
      <c r="K53" s="1">
        <v>14.4</v>
      </c>
      <c r="L53" s="1">
        <v>4800</v>
      </c>
      <c r="M53" s="36"/>
      <c r="N53" s="1"/>
      <c r="O53" s="7">
        <f t="shared" si="0"/>
        <v>1.3694878115584772E-2</v>
      </c>
      <c r="P53" s="7">
        <f t="shared" ca="1" si="1"/>
        <v>-2.7891808789378353E-5</v>
      </c>
      <c r="Q53" s="7" t="e">
        <f t="shared" ca="1" si="2"/>
        <v>#NAME?</v>
      </c>
      <c r="R53" s="33">
        <f t="shared" ca="1" si="3"/>
        <v>316.8</v>
      </c>
      <c r="S53" s="33" t="e">
        <f t="shared" ca="1" si="4"/>
        <v>#NAME?</v>
      </c>
      <c r="T53" s="7" t="e">
        <f t="shared" ca="1" si="5"/>
        <v>#NAME?</v>
      </c>
      <c r="U53" s="33">
        <f t="shared" si="6"/>
        <v>547650</v>
      </c>
    </row>
    <row r="54" spans="1:21" x14ac:dyDescent="0.25">
      <c r="A54" s="1"/>
      <c r="B54" s="25">
        <v>43496</v>
      </c>
      <c r="C54" s="10" t="s">
        <v>336</v>
      </c>
      <c r="D54" s="1">
        <v>1327</v>
      </c>
      <c r="E54" s="30">
        <v>700</v>
      </c>
      <c r="F54" s="1">
        <v>1220</v>
      </c>
      <c r="G54" s="1">
        <v>18</v>
      </c>
      <c r="H54" s="1">
        <v>1400</v>
      </c>
      <c r="I54" s="1">
        <v>7000</v>
      </c>
      <c r="J54" s="1">
        <v>3.7</v>
      </c>
      <c r="K54" s="1">
        <v>10</v>
      </c>
      <c r="L54" s="1">
        <v>700</v>
      </c>
      <c r="M54" s="36"/>
      <c r="N54" s="1"/>
      <c r="O54" s="7">
        <f t="shared" si="0"/>
        <v>1.3564431047475508E-2</v>
      </c>
      <c r="P54" s="7">
        <f t="shared" ca="1" si="1"/>
        <v>-2.762613247958352E-5</v>
      </c>
      <c r="Q54" s="7" t="e">
        <f t="shared" ca="1" si="2"/>
        <v>#NAME?</v>
      </c>
      <c r="R54" s="33" t="e">
        <f t="shared" ca="1" si="3"/>
        <v>#NAME?</v>
      </c>
      <c r="S54" s="33" t="e">
        <f t="shared" ca="1" si="4"/>
        <v>#NAME?</v>
      </c>
      <c r="T54" s="7" t="e">
        <f t="shared" ca="1" si="5"/>
        <v>#NAME?</v>
      </c>
      <c r="U54" s="33">
        <f t="shared" si="6"/>
        <v>928900</v>
      </c>
    </row>
    <row r="55" spans="1:21" x14ac:dyDescent="0.25">
      <c r="A55" s="1"/>
      <c r="B55" s="25">
        <v>43496</v>
      </c>
      <c r="C55" s="10" t="s">
        <v>362</v>
      </c>
      <c r="D55" s="1">
        <v>438.8</v>
      </c>
      <c r="E55" s="30">
        <v>1250</v>
      </c>
      <c r="F55" s="1">
        <v>400</v>
      </c>
      <c r="G55" s="1">
        <v>3.9</v>
      </c>
      <c r="H55" s="1">
        <v>7500</v>
      </c>
      <c r="I55" s="1">
        <v>12500</v>
      </c>
      <c r="J55" s="1">
        <v>2.5</v>
      </c>
      <c r="K55" s="1">
        <v>5</v>
      </c>
      <c r="L55" s="1">
        <v>17500</v>
      </c>
      <c r="M55" s="36"/>
      <c r="N55" s="1"/>
      <c r="O55" s="7">
        <f t="shared" si="0"/>
        <v>8.8878760255241569E-3</v>
      </c>
      <c r="P55" s="7">
        <f t="shared" ca="1" si="1"/>
        <v>-1.8101580500049199E-5</v>
      </c>
      <c r="Q55" s="7" t="e">
        <f t="shared" ca="1" si="2"/>
        <v>#NAME?</v>
      </c>
      <c r="R55" s="33" t="e">
        <f t="shared" ca="1" si="3"/>
        <v>#NAME?</v>
      </c>
      <c r="S55" s="33" t="e">
        <f t="shared" ca="1" si="4"/>
        <v>#NAME?</v>
      </c>
      <c r="T55" s="7" t="e">
        <f t="shared" ca="1" si="5"/>
        <v>#NAME?</v>
      </c>
      <c r="U55" s="33">
        <f t="shared" si="6"/>
        <v>548500</v>
      </c>
    </row>
    <row r="56" spans="1:21" x14ac:dyDescent="0.25">
      <c r="A56" s="1"/>
      <c r="B56" s="25">
        <v>43496</v>
      </c>
      <c r="C56" s="10" t="s">
        <v>371</v>
      </c>
      <c r="D56" s="1">
        <v>165</v>
      </c>
      <c r="E56" s="30">
        <v>4500</v>
      </c>
      <c r="F56" s="1">
        <v>150</v>
      </c>
      <c r="G56" s="1">
        <v>2.7</v>
      </c>
      <c r="H56" s="1">
        <v>9000</v>
      </c>
      <c r="I56" s="1">
        <v>27000</v>
      </c>
      <c r="J56" s="1">
        <v>2.1</v>
      </c>
      <c r="K56" s="1">
        <v>3.05</v>
      </c>
      <c r="L56" s="1">
        <v>9000</v>
      </c>
      <c r="M56" s="36"/>
      <c r="N56" s="1"/>
      <c r="O56" s="7">
        <f t="shared" si="0"/>
        <v>1.6363636363636365E-2</v>
      </c>
      <c r="P56" s="7">
        <f t="shared" ca="1" si="1"/>
        <v>-3.332716163673394E-5</v>
      </c>
      <c r="Q56" s="7" t="e">
        <f t="shared" ca="1" si="2"/>
        <v>#NAME?</v>
      </c>
      <c r="R56" s="33" t="e">
        <f t="shared" ca="1" si="3"/>
        <v>#NAME?</v>
      </c>
      <c r="S56" s="33" t="e">
        <f t="shared" ca="1" si="4"/>
        <v>#NAME?</v>
      </c>
      <c r="T56" s="7" t="e">
        <f t="shared" ca="1" si="5"/>
        <v>#NAME?</v>
      </c>
      <c r="U56" s="33">
        <f t="shared" si="6"/>
        <v>742500</v>
      </c>
    </row>
    <row r="57" spans="1:21" x14ac:dyDescent="0.25">
      <c r="A57" s="1"/>
      <c r="B57" s="25">
        <v>43496</v>
      </c>
      <c r="C57" s="10" t="s">
        <v>18</v>
      </c>
      <c r="D57" s="1">
        <v>1480.8</v>
      </c>
      <c r="E57" s="30">
        <v>400</v>
      </c>
      <c r="F57" s="1">
        <v>1360</v>
      </c>
      <c r="G57" s="1">
        <v>15</v>
      </c>
      <c r="H57" s="1">
        <v>3200</v>
      </c>
      <c r="I57" s="1">
        <v>1600</v>
      </c>
      <c r="J57" s="1">
        <v>14.4</v>
      </c>
      <c r="K57" s="1">
        <v>22.9</v>
      </c>
      <c r="L57" s="1">
        <v>5200</v>
      </c>
      <c r="M57" s="36"/>
      <c r="N57" s="1"/>
      <c r="O57" s="7">
        <f t="shared" si="0"/>
        <v>1.0129659643435981E-2</v>
      </c>
      <c r="P57" s="7">
        <f t="shared" ca="1" si="1"/>
        <v>-2.0630671371560041E-5</v>
      </c>
      <c r="Q57" s="7" t="e">
        <f t="shared" ca="1" si="2"/>
        <v>#NAME?</v>
      </c>
      <c r="R57" s="33" t="e">
        <f t="shared" ca="1" si="3"/>
        <v>#NAME?</v>
      </c>
      <c r="S57" s="33" t="e">
        <f t="shared" ca="1" si="4"/>
        <v>#NAME?</v>
      </c>
      <c r="T57" s="7" t="e">
        <f t="shared" ca="1" si="5"/>
        <v>#NAME?</v>
      </c>
      <c r="U57" s="33">
        <f t="shared" si="6"/>
        <v>592320</v>
      </c>
    </row>
    <row r="58" spans="1:21" x14ac:dyDescent="0.25">
      <c r="A58" s="1"/>
      <c r="B58" s="25">
        <v>43496</v>
      </c>
      <c r="C58" s="10" t="s">
        <v>396</v>
      </c>
      <c r="D58" s="1">
        <v>187.1</v>
      </c>
      <c r="E58" s="30">
        <v>2600</v>
      </c>
      <c r="F58" s="1">
        <v>160</v>
      </c>
      <c r="G58" s="1">
        <v>1.75</v>
      </c>
      <c r="H58" s="1">
        <v>36400</v>
      </c>
      <c r="I58" s="1">
        <v>7800</v>
      </c>
      <c r="J58" s="1">
        <v>1.8</v>
      </c>
      <c r="K58" s="1">
        <v>2.25</v>
      </c>
      <c r="L58" s="1">
        <v>2600</v>
      </c>
      <c r="M58" s="36"/>
      <c r="N58" s="1"/>
      <c r="O58" s="7">
        <f t="shared" si="0"/>
        <v>9.3532870122928925E-3</v>
      </c>
      <c r="P58" s="7">
        <f t="shared" ca="1" si="1"/>
        <v>-1.9049464383488579E-5</v>
      </c>
      <c r="Q58" s="7" t="e">
        <f t="shared" ca="1" si="2"/>
        <v>#NAME?</v>
      </c>
      <c r="R58" s="33" t="e">
        <f t="shared" ca="1" si="3"/>
        <v>#NAME?</v>
      </c>
      <c r="S58" s="33" t="e">
        <f t="shared" ca="1" si="4"/>
        <v>#NAME?</v>
      </c>
      <c r="T58" s="7" t="e">
        <f t="shared" ca="1" si="5"/>
        <v>#NAME?</v>
      </c>
      <c r="U58" s="33">
        <f t="shared" si="6"/>
        <v>486460</v>
      </c>
    </row>
    <row r="59" spans="1:21" x14ac:dyDescent="0.25">
      <c r="A59" s="1"/>
      <c r="B59" s="25">
        <v>43496</v>
      </c>
      <c r="C59" s="10" t="s">
        <v>396</v>
      </c>
      <c r="D59" s="1">
        <v>187.1</v>
      </c>
      <c r="E59" s="30">
        <v>2600</v>
      </c>
      <c r="F59" s="1">
        <v>165</v>
      </c>
      <c r="G59" s="1">
        <v>2.65</v>
      </c>
      <c r="H59" s="1">
        <v>2600</v>
      </c>
      <c r="I59" s="1">
        <v>2600</v>
      </c>
      <c r="J59" s="1">
        <v>2.65</v>
      </c>
      <c r="K59" s="1">
        <v>3.65</v>
      </c>
      <c r="L59" s="1">
        <v>10400</v>
      </c>
      <c r="M59" s="36"/>
      <c r="N59" s="1"/>
      <c r="O59" s="7">
        <f t="shared" si="0"/>
        <v>1.4163548904329236E-2</v>
      </c>
      <c r="P59" s="7">
        <f t="shared" ca="1" si="1"/>
        <v>-2.8846331780711274E-5</v>
      </c>
      <c r="Q59" s="7" t="e">
        <f t="shared" ca="1" si="2"/>
        <v>#NAME?</v>
      </c>
      <c r="R59" s="33" t="e">
        <f t="shared" ca="1" si="3"/>
        <v>#NAME?</v>
      </c>
      <c r="S59" s="33" t="e">
        <f t="shared" ca="1" si="4"/>
        <v>#NAME?</v>
      </c>
      <c r="T59" s="7" t="e">
        <f t="shared" ca="1" si="5"/>
        <v>#NAME?</v>
      </c>
      <c r="U59" s="33">
        <f t="shared" si="6"/>
        <v>486460</v>
      </c>
    </row>
    <row r="60" spans="1:21" x14ac:dyDescent="0.25">
      <c r="A60" s="1"/>
      <c r="B60" s="25">
        <v>43496</v>
      </c>
      <c r="C60" s="10" t="s">
        <v>396</v>
      </c>
      <c r="D60" s="1">
        <v>187.1</v>
      </c>
      <c r="E60" s="30">
        <v>2600</v>
      </c>
      <c r="F60" s="1">
        <v>170</v>
      </c>
      <c r="G60" s="1">
        <v>4.25</v>
      </c>
      <c r="H60" s="1">
        <v>28600</v>
      </c>
      <c r="I60" s="1">
        <v>2600</v>
      </c>
      <c r="J60" s="1">
        <v>3.95</v>
      </c>
      <c r="K60" s="1">
        <v>4.5999999999999996</v>
      </c>
      <c r="L60" s="1">
        <v>2600</v>
      </c>
      <c r="M60" s="36"/>
      <c r="N60" s="1"/>
      <c r="O60" s="7">
        <f t="shared" si="0"/>
        <v>2.2715125601282738E-2</v>
      </c>
      <c r="P60" s="7">
        <f t="shared" ca="1" si="1"/>
        <v>-4.6262984931329406E-5</v>
      </c>
      <c r="Q60" s="7" t="e">
        <f t="shared" ca="1" si="2"/>
        <v>#NAME?</v>
      </c>
      <c r="R60" s="33" t="e">
        <f t="shared" ca="1" si="3"/>
        <v>#NAME?</v>
      </c>
      <c r="S60" s="33" t="e">
        <f t="shared" ca="1" si="4"/>
        <v>#NAME?</v>
      </c>
      <c r="T60" s="7" t="e">
        <f t="shared" ca="1" si="5"/>
        <v>#NAME?</v>
      </c>
      <c r="U60" s="33">
        <f t="shared" si="6"/>
        <v>486460</v>
      </c>
    </row>
    <row r="61" spans="1:21" x14ac:dyDescent="0.25">
      <c r="A61" s="1"/>
      <c r="B61" s="25">
        <v>43496</v>
      </c>
      <c r="C61" s="10" t="s">
        <v>409</v>
      </c>
      <c r="D61" s="1">
        <v>2602.9499999999998</v>
      </c>
      <c r="E61" s="30">
        <v>250</v>
      </c>
      <c r="F61" s="1">
        <v>2250</v>
      </c>
      <c r="G61" s="1">
        <v>39.25</v>
      </c>
      <c r="H61" s="1">
        <v>500</v>
      </c>
      <c r="I61" s="1">
        <v>3000</v>
      </c>
      <c r="J61" s="1">
        <v>6.7</v>
      </c>
      <c r="K61" s="1">
        <v>22.15</v>
      </c>
      <c r="L61" s="1">
        <v>3750</v>
      </c>
      <c r="M61" s="36"/>
      <c r="N61" s="1"/>
      <c r="O61" s="7">
        <f t="shared" si="0"/>
        <v>1.5079044929791199E-2</v>
      </c>
      <c r="P61" s="7">
        <f t="shared" ca="1" si="1"/>
        <v>-3.0710885804055393E-5</v>
      </c>
      <c r="Q61" s="7" t="e">
        <f t="shared" ca="1" si="2"/>
        <v>#NAME?</v>
      </c>
      <c r="R61" s="33" t="e">
        <f t="shared" ca="1" si="3"/>
        <v>#NAME?</v>
      </c>
      <c r="S61" s="33" t="e">
        <f t="shared" ca="1" si="4"/>
        <v>#NAME?</v>
      </c>
      <c r="T61" s="7" t="e">
        <f t="shared" ca="1" si="5"/>
        <v>#NAME?</v>
      </c>
      <c r="U61" s="33">
        <f t="shared" si="6"/>
        <v>650737.5</v>
      </c>
    </row>
    <row r="62" spans="1:21" x14ac:dyDescent="0.25">
      <c r="A62" s="1"/>
      <c r="B62" s="25">
        <v>43496</v>
      </c>
      <c r="C62" s="10" t="s">
        <v>409</v>
      </c>
      <c r="D62" s="1">
        <v>2602.9499999999998</v>
      </c>
      <c r="E62" s="30">
        <v>250</v>
      </c>
      <c r="F62" s="1">
        <v>2300</v>
      </c>
      <c r="G62" s="1">
        <v>18.350000000000001</v>
      </c>
      <c r="H62" s="1">
        <v>2750</v>
      </c>
      <c r="I62" s="1">
        <v>3000</v>
      </c>
      <c r="J62" s="1">
        <v>11.15</v>
      </c>
      <c r="K62" s="1">
        <v>21.95</v>
      </c>
      <c r="L62" s="1">
        <v>2000</v>
      </c>
      <c r="M62" s="36"/>
      <c r="N62" s="1"/>
      <c r="O62" s="7">
        <f t="shared" si="0"/>
        <v>7.0496936168577967E-3</v>
      </c>
      <c r="P62" s="7">
        <f t="shared" ca="1" si="1"/>
        <v>-1.4357828140239911E-5</v>
      </c>
      <c r="Q62" s="7" t="e">
        <f t="shared" ca="1" si="2"/>
        <v>#NAME?</v>
      </c>
      <c r="R62" s="33" t="e">
        <f t="shared" ca="1" si="3"/>
        <v>#NAME?</v>
      </c>
      <c r="S62" s="33" t="e">
        <f t="shared" ca="1" si="4"/>
        <v>#NAME?</v>
      </c>
      <c r="T62" s="7" t="e">
        <f t="shared" ca="1" si="5"/>
        <v>#NAME?</v>
      </c>
      <c r="U62" s="33">
        <f t="shared" si="6"/>
        <v>650737.5</v>
      </c>
    </row>
    <row r="63" spans="1:21" x14ac:dyDescent="0.25">
      <c r="A63" s="1"/>
      <c r="B63" s="25">
        <v>43496</v>
      </c>
      <c r="C63" s="10" t="s">
        <v>409</v>
      </c>
      <c r="D63" s="1">
        <v>2602.9499999999998</v>
      </c>
      <c r="E63" s="30">
        <v>250</v>
      </c>
      <c r="F63" s="1">
        <v>2350</v>
      </c>
      <c r="G63" s="1">
        <v>50</v>
      </c>
      <c r="H63" s="1">
        <v>1750</v>
      </c>
      <c r="I63" s="1">
        <v>3500</v>
      </c>
      <c r="J63" s="1">
        <v>16.05</v>
      </c>
      <c r="K63" s="1">
        <v>24</v>
      </c>
      <c r="L63" s="1">
        <v>250</v>
      </c>
      <c r="M63" s="36"/>
      <c r="N63" s="1"/>
      <c r="O63" s="7">
        <f t="shared" si="0"/>
        <v>1.920897443285503E-2</v>
      </c>
      <c r="P63" s="7">
        <f t="shared" ca="1" si="1"/>
        <v>-3.9122147521089673E-5</v>
      </c>
      <c r="Q63" s="7" t="e">
        <f t="shared" ca="1" si="2"/>
        <v>#NAME?</v>
      </c>
      <c r="R63" s="33">
        <f t="shared" ca="1" si="3"/>
        <v>4020.5</v>
      </c>
      <c r="S63" s="33" t="e">
        <f t="shared" ca="1" si="4"/>
        <v>#NAME?</v>
      </c>
      <c r="T63" s="7" t="e">
        <f t="shared" ca="1" si="5"/>
        <v>#NAME?</v>
      </c>
      <c r="U63" s="33">
        <f t="shared" si="6"/>
        <v>650737.5</v>
      </c>
    </row>
    <row r="64" spans="1:21" x14ac:dyDescent="0.25">
      <c r="A64" s="1"/>
      <c r="B64" s="25">
        <v>43496</v>
      </c>
      <c r="C64" s="10" t="s">
        <v>409</v>
      </c>
      <c r="D64" s="1">
        <v>2602.9499999999998</v>
      </c>
      <c r="E64" s="30">
        <v>250</v>
      </c>
      <c r="F64" s="1">
        <v>2400</v>
      </c>
      <c r="G64" s="1">
        <v>38</v>
      </c>
      <c r="H64" s="1">
        <v>2500</v>
      </c>
      <c r="I64" s="1">
        <v>3500</v>
      </c>
      <c r="J64" s="1">
        <v>24.35</v>
      </c>
      <c r="K64" s="1">
        <v>35</v>
      </c>
      <c r="L64" s="1">
        <v>250</v>
      </c>
      <c r="M64" s="36"/>
      <c r="N64" s="1"/>
      <c r="O64" s="7">
        <f t="shared" si="0"/>
        <v>1.4598820568969825E-2</v>
      </c>
      <c r="P64" s="7">
        <f t="shared" ca="1" si="1"/>
        <v>-2.9732832116028157E-5</v>
      </c>
      <c r="Q64" s="7" t="e">
        <f t="shared" ca="1" si="2"/>
        <v>#NAME?</v>
      </c>
      <c r="R64" s="33" t="e">
        <f t="shared" ca="1" si="3"/>
        <v>#NAME?</v>
      </c>
      <c r="S64" s="33" t="e">
        <f t="shared" ca="1" si="4"/>
        <v>#NAME?</v>
      </c>
      <c r="T64" s="7" t="e">
        <f t="shared" ca="1" si="5"/>
        <v>#NAME?</v>
      </c>
      <c r="U64" s="33">
        <f t="shared" si="6"/>
        <v>650737.5</v>
      </c>
    </row>
    <row r="65" spans="1:21" x14ac:dyDescent="0.25">
      <c r="A65" s="1"/>
      <c r="B65" s="25">
        <v>43496</v>
      </c>
      <c r="C65" s="10" t="s">
        <v>449</v>
      </c>
      <c r="D65" s="1">
        <v>123</v>
      </c>
      <c r="E65" s="30">
        <v>4100</v>
      </c>
      <c r="F65" s="1">
        <v>110</v>
      </c>
      <c r="G65" s="1">
        <v>1.4</v>
      </c>
      <c r="H65" s="1">
        <v>8200</v>
      </c>
      <c r="I65" s="1">
        <v>24600</v>
      </c>
      <c r="J65" s="1">
        <v>1.05</v>
      </c>
      <c r="K65" s="1">
        <v>1.85</v>
      </c>
      <c r="L65" s="1">
        <v>8200</v>
      </c>
      <c r="M65" s="36"/>
      <c r="N65" s="1"/>
      <c r="O65" s="7">
        <f t="shared" si="0"/>
        <v>1.1382113821138211E-2</v>
      </c>
      <c r="P65" s="7">
        <f t="shared" ca="1" si="1"/>
        <v>-2.3181494544069674E-5</v>
      </c>
      <c r="Q65" s="7" t="e">
        <f t="shared" ca="1" si="2"/>
        <v>#NAME?</v>
      </c>
      <c r="R65" s="33" t="e">
        <f t="shared" ca="1" si="3"/>
        <v>#NAME?</v>
      </c>
      <c r="S65" s="33" t="e">
        <f t="shared" ca="1" si="4"/>
        <v>#NAME?</v>
      </c>
      <c r="T65" s="7" t="e">
        <f t="shared" ca="1" si="5"/>
        <v>#NAME?</v>
      </c>
      <c r="U65" s="33">
        <f t="shared" si="6"/>
        <v>504300</v>
      </c>
    </row>
    <row r="66" spans="1:21" x14ac:dyDescent="0.25">
      <c r="A66" s="1"/>
      <c r="B66" s="25">
        <v>43496</v>
      </c>
      <c r="C66" s="10" t="s">
        <v>458</v>
      </c>
      <c r="D66" s="1">
        <v>684.25</v>
      </c>
      <c r="E66" s="30">
        <v>1100</v>
      </c>
      <c r="F66" s="1">
        <v>560</v>
      </c>
      <c r="G66" s="1">
        <v>22.8</v>
      </c>
      <c r="H66" s="1">
        <v>2200</v>
      </c>
      <c r="I66" s="1">
        <v>11000</v>
      </c>
      <c r="J66" s="1">
        <v>0.55000000000000004</v>
      </c>
      <c r="K66" s="1">
        <v>5</v>
      </c>
      <c r="L66" s="1">
        <v>11000</v>
      </c>
      <c r="M66" s="36"/>
      <c r="N66" s="1"/>
      <c r="O66" s="7">
        <f t="shared" si="0"/>
        <v>3.332115454877603E-2</v>
      </c>
      <c r="P66" s="7">
        <f t="shared" ca="1" si="1"/>
        <v>-6.7863858551478674E-5</v>
      </c>
      <c r="Q66" s="7" t="e">
        <f t="shared" ca="1" si="2"/>
        <v>#NAME?</v>
      </c>
      <c r="R66" s="33">
        <f t="shared" ca="1" si="3"/>
        <v>965.4</v>
      </c>
      <c r="S66" s="33" t="e">
        <f t="shared" ca="1" si="4"/>
        <v>#NAME?</v>
      </c>
      <c r="T66" s="7" t="e">
        <f t="shared" ca="1" si="5"/>
        <v>#NAME?</v>
      </c>
      <c r="U66" s="33">
        <f t="shared" si="6"/>
        <v>752675</v>
      </c>
    </row>
    <row r="67" spans="1:21" x14ac:dyDescent="0.25">
      <c r="A67" s="1"/>
      <c r="B67" s="25">
        <v>43496</v>
      </c>
      <c r="C67" s="10" t="s">
        <v>458</v>
      </c>
      <c r="D67" s="1">
        <v>684.25</v>
      </c>
      <c r="E67" s="30">
        <v>1100</v>
      </c>
      <c r="F67" s="1">
        <v>580</v>
      </c>
      <c r="G67" s="1">
        <v>29.5</v>
      </c>
      <c r="H67" s="1">
        <v>2200</v>
      </c>
      <c r="I67" s="1">
        <v>8800</v>
      </c>
      <c r="J67" s="1">
        <v>3.1</v>
      </c>
      <c r="K67" s="1">
        <v>6.6</v>
      </c>
      <c r="L67" s="1">
        <v>11000</v>
      </c>
      <c r="M67" s="36"/>
      <c r="N67" s="1"/>
      <c r="O67" s="7">
        <f t="shared" si="0"/>
        <v>4.3112897332846185E-2</v>
      </c>
      <c r="P67" s="7">
        <f t="shared" ca="1" si="1"/>
        <v>-8.7806308213536025E-5</v>
      </c>
      <c r="Q67" s="7" t="e">
        <f t="shared" ca="1" si="2"/>
        <v>#NAME?</v>
      </c>
      <c r="R67" s="33" t="e">
        <f t="shared" ca="1" si="3"/>
        <v>#NAME?</v>
      </c>
      <c r="S67" s="33" t="e">
        <f t="shared" ca="1" si="4"/>
        <v>#NAME?</v>
      </c>
      <c r="T67" s="7" t="e">
        <f t="shared" ca="1" si="5"/>
        <v>#NAME?</v>
      </c>
      <c r="U67" s="33">
        <f t="shared" si="6"/>
        <v>752675</v>
      </c>
    </row>
    <row r="68" spans="1:21" x14ac:dyDescent="0.25">
      <c r="A68" s="1"/>
      <c r="B68" s="25">
        <v>43496</v>
      </c>
      <c r="C68" s="10" t="s">
        <v>458</v>
      </c>
      <c r="D68" s="1">
        <v>684.25</v>
      </c>
      <c r="E68" s="30">
        <v>1100</v>
      </c>
      <c r="F68" s="1">
        <v>600</v>
      </c>
      <c r="G68" s="1">
        <v>7.9</v>
      </c>
      <c r="H68" s="1">
        <v>3300</v>
      </c>
      <c r="I68" s="1">
        <v>8800</v>
      </c>
      <c r="J68" s="1">
        <v>4.25</v>
      </c>
      <c r="K68" s="1">
        <v>7.9</v>
      </c>
      <c r="L68" s="1">
        <v>7700</v>
      </c>
      <c r="M68" s="36"/>
      <c r="N68" s="1"/>
      <c r="O68" s="7">
        <f t="shared" ref="O68:O121" si="7">G68/D68</f>
        <v>1.1545487760321521E-2</v>
      </c>
      <c r="P68" s="7">
        <f t="shared" ref="P68:P121" ca="1" si="8">O68/(B68-TODAY())</f>
        <v>-2.3514231691082527E-5</v>
      </c>
      <c r="Q68" s="7" t="e">
        <f t="shared" ref="Q68:Q121" ca="1" si="9">R68/D68-1</f>
        <v>#NAME?</v>
      </c>
      <c r="R68" s="33">
        <f t="shared" ref="R68:R121" ca="1" si="10">mrigxl_stockquote(C68)</f>
        <v>965.4</v>
      </c>
      <c r="S68" s="33" t="e">
        <f t="shared" ref="S68:S121" ca="1" si="11">(MIN(F68,R68)-D68+G68)*E68</f>
        <v>#NAME?</v>
      </c>
      <c r="T68" s="7" t="e">
        <f t="shared" ref="T68:T121" ca="1" si="12">S68/U68</f>
        <v>#NAME?</v>
      </c>
      <c r="U68" s="33">
        <f t="shared" ref="U68:U121" si="13">E68*D68</f>
        <v>752675</v>
      </c>
    </row>
    <row r="69" spans="1:21" x14ac:dyDescent="0.25">
      <c r="A69" s="1"/>
      <c r="B69" s="25">
        <v>43496</v>
      </c>
      <c r="C69" s="10" t="s">
        <v>458</v>
      </c>
      <c r="D69" s="1">
        <v>684.25</v>
      </c>
      <c r="E69" s="30">
        <v>1100</v>
      </c>
      <c r="F69" s="1">
        <v>620</v>
      </c>
      <c r="G69" s="1">
        <v>10</v>
      </c>
      <c r="H69" s="1">
        <v>3300</v>
      </c>
      <c r="I69" s="1">
        <v>11000</v>
      </c>
      <c r="J69" s="1">
        <v>7.45</v>
      </c>
      <c r="K69" s="1">
        <v>11.55</v>
      </c>
      <c r="L69" s="1">
        <v>11000</v>
      </c>
      <c r="M69" s="36"/>
      <c r="N69" s="1"/>
      <c r="O69" s="7">
        <f t="shared" si="7"/>
        <v>1.4614541468761417E-2</v>
      </c>
      <c r="P69" s="7">
        <f t="shared" ca="1" si="8"/>
        <v>-2.9764850241876614E-5</v>
      </c>
      <c r="Q69" s="7" t="e">
        <f t="shared" ca="1" si="9"/>
        <v>#NAME?</v>
      </c>
      <c r="R69" s="33" t="e">
        <f t="shared" ca="1" si="10"/>
        <v>#NAME?</v>
      </c>
      <c r="S69" s="33" t="e">
        <f t="shared" ca="1" si="11"/>
        <v>#NAME?</v>
      </c>
      <c r="T69" s="7" t="e">
        <f t="shared" ca="1" si="12"/>
        <v>#NAME?</v>
      </c>
      <c r="U69" s="33">
        <f t="shared" si="13"/>
        <v>752675</v>
      </c>
    </row>
    <row r="70" spans="1:21" x14ac:dyDescent="0.25">
      <c r="A70" s="1"/>
      <c r="B70" s="25">
        <v>43496</v>
      </c>
      <c r="C70" s="10" t="s">
        <v>458</v>
      </c>
      <c r="D70" s="1">
        <v>684.25</v>
      </c>
      <c r="E70" s="30">
        <v>1100</v>
      </c>
      <c r="F70" s="1">
        <v>640</v>
      </c>
      <c r="G70" s="1">
        <v>60.3</v>
      </c>
      <c r="H70" s="1">
        <v>2200</v>
      </c>
      <c r="I70" s="1">
        <v>8800</v>
      </c>
      <c r="J70" s="1">
        <v>12.7</v>
      </c>
      <c r="K70" s="1">
        <v>16.5</v>
      </c>
      <c r="L70" s="1">
        <v>8800</v>
      </c>
      <c r="M70" s="36"/>
      <c r="N70" s="1"/>
      <c r="O70" s="7">
        <f t="shared" si="7"/>
        <v>8.8125685056631348E-2</v>
      </c>
      <c r="P70" s="7">
        <f t="shared" ca="1" si="8"/>
        <v>-1.7948204695851597E-4</v>
      </c>
      <c r="Q70" s="7" t="e">
        <f t="shared" ca="1" si="9"/>
        <v>#NAME?</v>
      </c>
      <c r="R70" s="33" t="e">
        <f t="shared" ca="1" si="10"/>
        <v>#NAME?</v>
      </c>
      <c r="S70" s="33" t="e">
        <f t="shared" ca="1" si="11"/>
        <v>#NAME?</v>
      </c>
      <c r="T70" s="7" t="e">
        <f t="shared" ca="1" si="12"/>
        <v>#NAME?</v>
      </c>
      <c r="U70" s="33">
        <f t="shared" si="13"/>
        <v>752675</v>
      </c>
    </row>
    <row r="71" spans="1:21" x14ac:dyDescent="0.25">
      <c r="A71" s="1"/>
      <c r="B71" s="25">
        <v>43496</v>
      </c>
      <c r="C71" s="10" t="s">
        <v>478</v>
      </c>
      <c r="D71" s="1">
        <v>92.95</v>
      </c>
      <c r="E71" s="30">
        <v>7000</v>
      </c>
      <c r="F71" s="1">
        <v>80</v>
      </c>
      <c r="G71" s="1">
        <v>0.75</v>
      </c>
      <c r="H71" s="1">
        <v>133000</v>
      </c>
      <c r="I71" s="1">
        <v>7000</v>
      </c>
      <c r="J71" s="1">
        <v>0.95</v>
      </c>
      <c r="K71" s="1">
        <v>1.25</v>
      </c>
      <c r="L71" s="1">
        <v>56000</v>
      </c>
      <c r="M71" s="36"/>
      <c r="N71" s="1"/>
      <c r="O71" s="7">
        <f t="shared" si="7"/>
        <v>8.0688542227003758E-3</v>
      </c>
      <c r="P71" s="7">
        <f t="shared" ca="1" si="8"/>
        <v>-1.6433511655194247E-5</v>
      </c>
      <c r="Q71" s="7" t="e">
        <f t="shared" ca="1" si="9"/>
        <v>#NAME?</v>
      </c>
      <c r="R71" s="33" t="e">
        <f t="shared" ca="1" si="10"/>
        <v>#NAME?</v>
      </c>
      <c r="S71" s="33" t="e">
        <f t="shared" ca="1" si="11"/>
        <v>#NAME?</v>
      </c>
      <c r="T71" s="7" t="e">
        <f t="shared" ca="1" si="12"/>
        <v>#NAME?</v>
      </c>
      <c r="U71" s="33">
        <f t="shared" si="13"/>
        <v>650650</v>
      </c>
    </row>
    <row r="72" spans="1:21" x14ac:dyDescent="0.25">
      <c r="A72" s="1"/>
      <c r="B72" s="25">
        <v>43496</v>
      </c>
      <c r="C72" s="10" t="s">
        <v>478</v>
      </c>
      <c r="D72" s="1">
        <v>92.95</v>
      </c>
      <c r="E72" s="30">
        <v>7000</v>
      </c>
      <c r="F72" s="1">
        <v>85</v>
      </c>
      <c r="G72" s="1">
        <v>2.1</v>
      </c>
      <c r="H72" s="1">
        <v>42000</v>
      </c>
      <c r="I72" s="1">
        <v>7000</v>
      </c>
      <c r="J72" s="1">
        <v>1.7</v>
      </c>
      <c r="K72" s="1">
        <v>2.2000000000000002</v>
      </c>
      <c r="L72" s="1">
        <v>63000</v>
      </c>
      <c r="M72" s="36"/>
      <c r="N72" s="1"/>
      <c r="O72" s="7">
        <f t="shared" si="7"/>
        <v>2.2592791823561054E-2</v>
      </c>
      <c r="P72" s="7">
        <f t="shared" ca="1" si="8"/>
        <v>-4.6013832634543894E-5</v>
      </c>
      <c r="Q72" s="7" t="e">
        <f t="shared" ca="1" si="9"/>
        <v>#NAME?</v>
      </c>
      <c r="R72" s="33" t="e">
        <f t="shared" ca="1" si="10"/>
        <v>#NAME?</v>
      </c>
      <c r="S72" s="33" t="e">
        <f t="shared" ca="1" si="11"/>
        <v>#NAME?</v>
      </c>
      <c r="T72" s="7" t="e">
        <f t="shared" ca="1" si="12"/>
        <v>#NAME?</v>
      </c>
      <c r="U72" s="33">
        <f t="shared" si="13"/>
        <v>650650</v>
      </c>
    </row>
    <row r="73" spans="1:21" x14ac:dyDescent="0.25">
      <c r="A73" s="1"/>
      <c r="B73" s="25">
        <v>43496</v>
      </c>
      <c r="C73" s="10" t="s">
        <v>500</v>
      </c>
      <c r="D73" s="1">
        <v>345.5</v>
      </c>
      <c r="E73" s="30">
        <v>2667</v>
      </c>
      <c r="F73" s="1">
        <v>300</v>
      </c>
      <c r="G73" s="1">
        <v>2</v>
      </c>
      <c r="H73" s="1">
        <v>5334</v>
      </c>
      <c r="I73" s="1">
        <v>26670</v>
      </c>
      <c r="J73" s="1">
        <v>0.65</v>
      </c>
      <c r="K73" s="1">
        <v>2</v>
      </c>
      <c r="L73" s="1">
        <v>5334</v>
      </c>
      <c r="M73" s="36"/>
      <c r="N73" s="1"/>
      <c r="O73" s="7">
        <f t="shared" si="7"/>
        <v>5.7887120115774236E-3</v>
      </c>
      <c r="P73" s="7">
        <f t="shared" ca="1" si="8"/>
        <v>-1.1789637498121026E-5</v>
      </c>
      <c r="Q73" s="7" t="e">
        <f t="shared" ca="1" si="9"/>
        <v>#NAME?</v>
      </c>
      <c r="R73" s="33">
        <f t="shared" ca="1" si="10"/>
        <v>97.7</v>
      </c>
      <c r="S73" s="33" t="e">
        <f t="shared" ca="1" si="11"/>
        <v>#NAME?</v>
      </c>
      <c r="T73" s="7" t="e">
        <f t="shared" ca="1" si="12"/>
        <v>#NAME?</v>
      </c>
      <c r="U73" s="33">
        <f t="shared" si="13"/>
        <v>921448.5</v>
      </c>
    </row>
    <row r="74" spans="1:21" x14ac:dyDescent="0.25">
      <c r="A74" s="1"/>
      <c r="B74" s="25">
        <v>43496</v>
      </c>
      <c r="C74" s="10" t="s">
        <v>539</v>
      </c>
      <c r="D74" s="1">
        <v>670.65</v>
      </c>
      <c r="E74" s="30">
        <v>1000</v>
      </c>
      <c r="F74" s="1">
        <v>600</v>
      </c>
      <c r="G74" s="1">
        <v>5.25</v>
      </c>
      <c r="H74" s="1">
        <v>6000</v>
      </c>
      <c r="I74" s="1">
        <v>10000</v>
      </c>
      <c r="J74" s="1">
        <v>3.8</v>
      </c>
      <c r="K74" s="1">
        <v>7.6</v>
      </c>
      <c r="L74" s="1">
        <v>12000</v>
      </c>
      <c r="M74" s="36"/>
      <c r="N74" s="1"/>
      <c r="O74" s="7">
        <f t="shared" si="7"/>
        <v>7.8282263475732503E-3</v>
      </c>
      <c r="P74" s="7">
        <f t="shared" ca="1" si="8"/>
        <v>-1.5943434516442466E-5</v>
      </c>
      <c r="Q74" s="7" t="e">
        <f t="shared" ca="1" si="9"/>
        <v>#NAME?</v>
      </c>
      <c r="R74" s="33" t="e">
        <f t="shared" ca="1" si="10"/>
        <v>#NAME?</v>
      </c>
      <c r="S74" s="33" t="e">
        <f t="shared" ca="1" si="11"/>
        <v>#NAME?</v>
      </c>
      <c r="T74" s="7" t="e">
        <f t="shared" ca="1" si="12"/>
        <v>#NAME?</v>
      </c>
      <c r="U74" s="33">
        <f t="shared" si="13"/>
        <v>670650</v>
      </c>
    </row>
    <row r="75" spans="1:21" x14ac:dyDescent="0.25">
      <c r="A75" s="1"/>
      <c r="B75" s="25">
        <v>43496</v>
      </c>
      <c r="C75" s="10" t="s">
        <v>539</v>
      </c>
      <c r="D75" s="1">
        <v>670.65</v>
      </c>
      <c r="E75" s="30">
        <v>1000</v>
      </c>
      <c r="F75" s="1">
        <v>610</v>
      </c>
      <c r="G75" s="1">
        <v>11.75</v>
      </c>
      <c r="H75" s="1">
        <v>1000</v>
      </c>
      <c r="I75" s="1">
        <v>8000</v>
      </c>
      <c r="J75" s="1">
        <v>6.15</v>
      </c>
      <c r="K75" s="1">
        <v>8.9499999999999993</v>
      </c>
      <c r="L75" s="1">
        <v>6000</v>
      </c>
      <c r="M75" s="36"/>
      <c r="N75" s="1"/>
      <c r="O75" s="7">
        <f t="shared" si="7"/>
        <v>1.7520316111235369E-2</v>
      </c>
      <c r="P75" s="7">
        <f t="shared" ca="1" si="8"/>
        <v>-3.5682924870133137E-5</v>
      </c>
      <c r="Q75" s="7" t="e">
        <f t="shared" ca="1" si="9"/>
        <v>#NAME?</v>
      </c>
      <c r="R75" s="33" t="e">
        <f t="shared" ca="1" si="10"/>
        <v>#NAME?</v>
      </c>
      <c r="S75" s="33" t="e">
        <f t="shared" ca="1" si="11"/>
        <v>#NAME?</v>
      </c>
      <c r="T75" s="7" t="e">
        <f t="shared" ca="1" si="12"/>
        <v>#NAME?</v>
      </c>
      <c r="U75" s="33">
        <f t="shared" si="13"/>
        <v>670650</v>
      </c>
    </row>
    <row r="76" spans="1:21" x14ac:dyDescent="0.25">
      <c r="A76" s="1"/>
      <c r="B76" s="25">
        <v>43496</v>
      </c>
      <c r="C76" s="10" t="s">
        <v>545</v>
      </c>
      <c r="D76" s="1">
        <v>15.85</v>
      </c>
      <c r="E76" s="30">
        <v>45000</v>
      </c>
      <c r="F76" s="1">
        <v>14</v>
      </c>
      <c r="G76" s="1">
        <v>0.2</v>
      </c>
      <c r="H76" s="1">
        <v>45000</v>
      </c>
      <c r="I76" s="1">
        <v>45000</v>
      </c>
      <c r="J76" s="1">
        <v>0.2</v>
      </c>
      <c r="K76" s="1">
        <v>0.35</v>
      </c>
      <c r="L76" s="1">
        <v>45000</v>
      </c>
      <c r="M76" s="36"/>
      <c r="N76" s="1"/>
      <c r="O76" s="7">
        <f t="shared" si="7"/>
        <v>1.2618296529968456E-2</v>
      </c>
      <c r="P76" s="7">
        <f t="shared" ca="1" si="8"/>
        <v>-2.569917826877486E-5</v>
      </c>
      <c r="Q76" s="7" t="e">
        <f t="shared" ca="1" si="9"/>
        <v>#NAME?</v>
      </c>
      <c r="R76" s="33" t="e">
        <f t="shared" ca="1" si="10"/>
        <v>#NAME?</v>
      </c>
      <c r="S76" s="33" t="e">
        <f t="shared" ca="1" si="11"/>
        <v>#NAME?</v>
      </c>
      <c r="T76" s="7" t="e">
        <f t="shared" ca="1" si="12"/>
        <v>#NAME?</v>
      </c>
      <c r="U76" s="33">
        <f t="shared" si="13"/>
        <v>713250</v>
      </c>
    </row>
    <row r="77" spans="1:21" x14ac:dyDescent="0.25">
      <c r="A77" s="1"/>
      <c r="B77" s="25">
        <v>43496</v>
      </c>
      <c r="C77" s="10" t="s">
        <v>571</v>
      </c>
      <c r="D77" s="1">
        <v>816</v>
      </c>
      <c r="E77" s="30">
        <v>750</v>
      </c>
      <c r="F77" s="1">
        <v>700</v>
      </c>
      <c r="G77" s="1">
        <v>3.5</v>
      </c>
      <c r="H77" s="1">
        <v>750</v>
      </c>
      <c r="I77" s="1">
        <v>6750</v>
      </c>
      <c r="J77" s="1">
        <v>1.5</v>
      </c>
      <c r="K77" s="1">
        <v>3.9</v>
      </c>
      <c r="L77" s="1">
        <v>750</v>
      </c>
      <c r="M77" s="36"/>
      <c r="N77" s="1"/>
      <c r="O77" s="7">
        <f t="shared" si="7"/>
        <v>4.2892156862745102E-3</v>
      </c>
      <c r="P77" s="7">
        <f t="shared" ca="1" si="8"/>
        <v>-8.7356734954674344E-6</v>
      </c>
      <c r="Q77" s="7" t="e">
        <f t="shared" ca="1" si="9"/>
        <v>#NAME?</v>
      </c>
      <c r="R77" s="33" t="e">
        <f t="shared" ca="1" si="10"/>
        <v>#NAME?</v>
      </c>
      <c r="S77" s="33" t="e">
        <f t="shared" ca="1" si="11"/>
        <v>#NAME?</v>
      </c>
      <c r="T77" s="7" t="e">
        <f t="shared" ca="1" si="12"/>
        <v>#NAME?</v>
      </c>
      <c r="U77" s="33">
        <f t="shared" si="13"/>
        <v>612000</v>
      </c>
    </row>
    <row r="78" spans="1:21" x14ac:dyDescent="0.25">
      <c r="A78" s="1"/>
      <c r="B78" s="25">
        <v>43496</v>
      </c>
      <c r="C78" s="10" t="s">
        <v>606</v>
      </c>
      <c r="D78" s="1">
        <v>690.7</v>
      </c>
      <c r="E78" s="30">
        <v>1000</v>
      </c>
      <c r="F78" s="1">
        <v>640</v>
      </c>
      <c r="G78" s="1">
        <v>9</v>
      </c>
      <c r="H78" s="1">
        <v>2000</v>
      </c>
      <c r="I78" s="1">
        <v>1000</v>
      </c>
      <c r="J78" s="1">
        <v>9</v>
      </c>
      <c r="K78" s="1">
        <v>10.7</v>
      </c>
      <c r="L78" s="1">
        <v>4000</v>
      </c>
      <c r="M78" s="36"/>
      <c r="N78" s="1"/>
      <c r="O78" s="7">
        <f t="shared" si="7"/>
        <v>1.3030259157376574E-2</v>
      </c>
      <c r="P78" s="7">
        <f t="shared" ca="1" si="8"/>
        <v>-2.6538206023170213E-5</v>
      </c>
      <c r="Q78" s="7" t="e">
        <f t="shared" ca="1" si="9"/>
        <v>#NAME?</v>
      </c>
      <c r="R78" s="33" t="e">
        <f t="shared" ca="1" si="10"/>
        <v>#NAME?</v>
      </c>
      <c r="S78" s="33" t="e">
        <f t="shared" ca="1" si="11"/>
        <v>#NAME?</v>
      </c>
      <c r="T78" s="7" t="e">
        <f t="shared" ca="1" si="12"/>
        <v>#NAME?</v>
      </c>
      <c r="U78" s="33">
        <f t="shared" si="13"/>
        <v>690700</v>
      </c>
    </row>
    <row r="79" spans="1:21" x14ac:dyDescent="0.25">
      <c r="A79" s="1"/>
      <c r="B79" s="25">
        <v>43496</v>
      </c>
      <c r="C79" s="10" t="s">
        <v>636</v>
      </c>
      <c r="D79" s="1">
        <v>223.75</v>
      </c>
      <c r="E79" s="30">
        <v>3500</v>
      </c>
      <c r="F79" s="1">
        <v>190</v>
      </c>
      <c r="G79" s="1">
        <v>1.2</v>
      </c>
      <c r="H79" s="1">
        <v>3500</v>
      </c>
      <c r="I79" s="1">
        <v>28000</v>
      </c>
      <c r="J79" s="1">
        <v>1</v>
      </c>
      <c r="K79" s="1">
        <v>1.9</v>
      </c>
      <c r="L79" s="1">
        <v>38500</v>
      </c>
      <c r="M79" s="36"/>
      <c r="N79" s="1"/>
      <c r="O79" s="7">
        <f t="shared" si="7"/>
        <v>5.3631284916201118E-3</v>
      </c>
      <c r="P79" s="7">
        <f t="shared" ca="1" si="8"/>
        <v>-1.09228686183709E-5</v>
      </c>
      <c r="Q79" s="7" t="e">
        <f t="shared" ca="1" si="9"/>
        <v>#NAME?</v>
      </c>
      <c r="R79" s="33" t="e">
        <f t="shared" ca="1" si="10"/>
        <v>#NAME?</v>
      </c>
      <c r="S79" s="33" t="e">
        <f t="shared" ca="1" si="11"/>
        <v>#NAME?</v>
      </c>
      <c r="T79" s="7" t="e">
        <f t="shared" ca="1" si="12"/>
        <v>#NAME?</v>
      </c>
      <c r="U79" s="33">
        <f t="shared" si="13"/>
        <v>783125</v>
      </c>
    </row>
    <row r="80" spans="1:21" x14ac:dyDescent="0.25">
      <c r="A80" s="1"/>
      <c r="B80" s="25">
        <v>43496</v>
      </c>
      <c r="C80" s="10" t="s">
        <v>636</v>
      </c>
      <c r="D80" s="1">
        <v>223.75</v>
      </c>
      <c r="E80" s="30">
        <v>3500</v>
      </c>
      <c r="F80" s="1">
        <v>195</v>
      </c>
      <c r="G80" s="1">
        <v>1.8</v>
      </c>
      <c r="H80" s="1">
        <v>17500</v>
      </c>
      <c r="I80" s="1">
        <v>49000</v>
      </c>
      <c r="J80" s="1">
        <v>1.05</v>
      </c>
      <c r="K80" s="1">
        <v>2</v>
      </c>
      <c r="L80" s="1">
        <v>3500</v>
      </c>
      <c r="M80" s="36"/>
      <c r="N80" s="1"/>
      <c r="O80" s="7">
        <f t="shared" si="7"/>
        <v>8.0446927374301681E-3</v>
      </c>
      <c r="P80" s="7">
        <f t="shared" ca="1" si="8"/>
        <v>-1.6384302927556352E-5</v>
      </c>
      <c r="Q80" s="7" t="e">
        <f t="shared" ca="1" si="9"/>
        <v>#NAME?</v>
      </c>
      <c r="R80" s="33">
        <f t="shared" ca="1" si="10"/>
        <v>149.25</v>
      </c>
      <c r="S80" s="33" t="e">
        <f t="shared" ca="1" si="11"/>
        <v>#NAME?</v>
      </c>
      <c r="T80" s="7" t="e">
        <f t="shared" ca="1" si="12"/>
        <v>#NAME?</v>
      </c>
      <c r="U80" s="33">
        <f t="shared" si="13"/>
        <v>783125</v>
      </c>
    </row>
    <row r="81" spans="1:21" x14ac:dyDescent="0.25">
      <c r="A81" s="1"/>
      <c r="B81" s="25">
        <v>43496</v>
      </c>
      <c r="C81" s="10" t="s">
        <v>636</v>
      </c>
      <c r="D81" s="1">
        <v>223.75</v>
      </c>
      <c r="E81" s="30">
        <v>3500</v>
      </c>
      <c r="F81" s="1">
        <v>200</v>
      </c>
      <c r="G81" s="1">
        <v>2.5</v>
      </c>
      <c r="H81" s="1">
        <v>112000</v>
      </c>
      <c r="I81" s="1">
        <v>10500</v>
      </c>
      <c r="J81" s="1">
        <v>2.2999999999999998</v>
      </c>
      <c r="K81" s="1">
        <v>2.9</v>
      </c>
      <c r="L81" s="1">
        <v>21000</v>
      </c>
      <c r="M81" s="36"/>
      <c r="N81" s="1"/>
      <c r="O81" s="7">
        <f t="shared" si="7"/>
        <v>1.11731843575419E-2</v>
      </c>
      <c r="P81" s="7">
        <f t="shared" ca="1" si="8"/>
        <v>-2.275597628827271E-5</v>
      </c>
      <c r="Q81" s="7" t="e">
        <f t="shared" ca="1" si="9"/>
        <v>#NAME?</v>
      </c>
      <c r="R81" s="33">
        <f t="shared" ca="1" si="10"/>
        <v>149.25</v>
      </c>
      <c r="S81" s="33" t="e">
        <f t="shared" ca="1" si="11"/>
        <v>#NAME?</v>
      </c>
      <c r="T81" s="7" t="e">
        <f t="shared" ca="1" si="12"/>
        <v>#NAME?</v>
      </c>
      <c r="U81" s="33">
        <f t="shared" si="13"/>
        <v>783125</v>
      </c>
    </row>
    <row r="82" spans="1:21" x14ac:dyDescent="0.25">
      <c r="A82" s="1"/>
      <c r="B82" s="25">
        <v>43496</v>
      </c>
      <c r="C82" s="10" t="s">
        <v>642</v>
      </c>
      <c r="D82" s="1">
        <v>250.1</v>
      </c>
      <c r="E82" s="30">
        <v>2100</v>
      </c>
      <c r="F82" s="1">
        <v>190</v>
      </c>
      <c r="G82" s="1">
        <v>4.4000000000000004</v>
      </c>
      <c r="H82" s="1">
        <v>2100</v>
      </c>
      <c r="I82" s="1">
        <v>12600</v>
      </c>
      <c r="J82" s="1">
        <v>0.2</v>
      </c>
      <c r="K82" s="1">
        <v>1.5</v>
      </c>
      <c r="L82" s="1">
        <v>21000</v>
      </c>
      <c r="M82" s="36"/>
      <c r="N82" s="1"/>
      <c r="O82" s="7">
        <f t="shared" si="7"/>
        <v>1.7592962814874054E-2</v>
      </c>
      <c r="P82" s="7">
        <f t="shared" ca="1" si="8"/>
        <v>-3.5830881496688503E-5</v>
      </c>
      <c r="Q82" s="7" t="e">
        <f t="shared" ca="1" si="9"/>
        <v>#NAME?</v>
      </c>
      <c r="R82" s="33">
        <f t="shared" ca="1" si="10"/>
        <v>204.8</v>
      </c>
      <c r="S82" s="33" t="e">
        <f t="shared" ca="1" si="11"/>
        <v>#NAME?</v>
      </c>
      <c r="T82" s="7" t="e">
        <f t="shared" ca="1" si="12"/>
        <v>#NAME?</v>
      </c>
      <c r="U82" s="33">
        <f t="shared" si="13"/>
        <v>525210</v>
      </c>
    </row>
    <row r="83" spans="1:21" x14ac:dyDescent="0.25">
      <c r="A83" s="1"/>
      <c r="B83" s="25">
        <v>43496</v>
      </c>
      <c r="C83" s="10" t="s">
        <v>642</v>
      </c>
      <c r="D83" s="1">
        <v>250.1</v>
      </c>
      <c r="E83" s="30">
        <v>2100</v>
      </c>
      <c r="F83" s="1">
        <v>210</v>
      </c>
      <c r="G83" s="1">
        <v>2.15</v>
      </c>
      <c r="H83" s="1">
        <v>21000</v>
      </c>
      <c r="I83" s="1">
        <v>8400</v>
      </c>
      <c r="J83" s="1">
        <v>1.7</v>
      </c>
      <c r="K83" s="1">
        <v>2.9</v>
      </c>
      <c r="L83" s="1">
        <v>16800</v>
      </c>
      <c r="M83" s="36"/>
      <c r="N83" s="1"/>
      <c r="O83" s="7">
        <f t="shared" si="7"/>
        <v>8.5965613754498196E-3</v>
      </c>
      <c r="P83" s="7">
        <f t="shared" ca="1" si="8"/>
        <v>-1.7508271640427331E-5</v>
      </c>
      <c r="Q83" s="7" t="e">
        <f t="shared" ca="1" si="9"/>
        <v>#NAME?</v>
      </c>
      <c r="R83" s="33" t="e">
        <f t="shared" ca="1" si="10"/>
        <v>#NAME?</v>
      </c>
      <c r="S83" s="33" t="e">
        <f t="shared" ca="1" si="11"/>
        <v>#NAME?</v>
      </c>
      <c r="T83" s="7" t="e">
        <f t="shared" ca="1" si="12"/>
        <v>#NAME?</v>
      </c>
      <c r="U83" s="33">
        <f t="shared" si="13"/>
        <v>525210</v>
      </c>
    </row>
    <row r="84" spans="1:21" x14ac:dyDescent="0.25">
      <c r="A84" s="1"/>
      <c r="B84" s="25">
        <v>43496</v>
      </c>
      <c r="C84" s="10" t="s">
        <v>642</v>
      </c>
      <c r="D84" s="1">
        <v>250.1</v>
      </c>
      <c r="E84" s="30">
        <v>2100</v>
      </c>
      <c r="F84" s="1">
        <v>215</v>
      </c>
      <c r="G84" s="1">
        <v>12.85</v>
      </c>
      <c r="H84" s="1">
        <v>10500</v>
      </c>
      <c r="I84" s="1">
        <v>12600</v>
      </c>
      <c r="J84" s="1">
        <v>2.4</v>
      </c>
      <c r="K84" s="1">
        <v>3.85</v>
      </c>
      <c r="L84" s="1">
        <v>25200</v>
      </c>
      <c r="M84" s="36"/>
      <c r="N84" s="1"/>
      <c r="O84" s="7">
        <f t="shared" si="7"/>
        <v>5.1379448220711714E-2</v>
      </c>
      <c r="P84" s="7">
        <f t="shared" ca="1" si="8"/>
        <v>-1.0464246073464708E-4</v>
      </c>
      <c r="Q84" s="7" t="e">
        <f t="shared" ca="1" si="9"/>
        <v>#NAME?</v>
      </c>
      <c r="R84" s="33" t="e">
        <f t="shared" ca="1" si="10"/>
        <v>#NAME?</v>
      </c>
      <c r="S84" s="33" t="e">
        <f t="shared" ca="1" si="11"/>
        <v>#NAME?</v>
      </c>
      <c r="T84" s="7" t="e">
        <f t="shared" ca="1" si="12"/>
        <v>#NAME?</v>
      </c>
      <c r="U84" s="33">
        <f t="shared" si="13"/>
        <v>525210</v>
      </c>
    </row>
    <row r="85" spans="1:21" x14ac:dyDescent="0.25">
      <c r="A85" s="1"/>
      <c r="B85" s="25">
        <v>43496</v>
      </c>
      <c r="C85" s="10" t="s">
        <v>642</v>
      </c>
      <c r="D85" s="1">
        <v>250.1</v>
      </c>
      <c r="E85" s="30">
        <v>2100</v>
      </c>
      <c r="F85" s="1">
        <v>220</v>
      </c>
      <c r="G85" s="1">
        <v>3.75</v>
      </c>
      <c r="H85" s="1">
        <v>14700</v>
      </c>
      <c r="I85" s="1">
        <v>25200</v>
      </c>
      <c r="J85" s="1">
        <v>3.15</v>
      </c>
      <c r="K85" s="1">
        <v>4.7</v>
      </c>
      <c r="L85" s="1">
        <v>12600</v>
      </c>
      <c r="M85" s="36"/>
      <c r="N85" s="1"/>
      <c r="O85" s="7">
        <f t="shared" si="7"/>
        <v>1.4994002399040383E-2</v>
      </c>
      <c r="P85" s="7">
        <f t="shared" ca="1" si="8"/>
        <v>-3.0537683093768605E-5</v>
      </c>
      <c r="Q85" s="7" t="e">
        <f t="shared" ca="1" si="9"/>
        <v>#NAME?</v>
      </c>
      <c r="R85" s="33" t="e">
        <f t="shared" ca="1" si="10"/>
        <v>#NAME?</v>
      </c>
      <c r="S85" s="33" t="e">
        <f t="shared" ca="1" si="11"/>
        <v>#NAME?</v>
      </c>
      <c r="T85" s="7" t="e">
        <f t="shared" ca="1" si="12"/>
        <v>#NAME?</v>
      </c>
      <c r="U85" s="33">
        <f t="shared" si="13"/>
        <v>525210</v>
      </c>
    </row>
    <row r="86" spans="1:21" x14ac:dyDescent="0.25">
      <c r="A86" s="1"/>
      <c r="B86" s="25">
        <v>43496</v>
      </c>
      <c r="C86" s="10" t="s">
        <v>642</v>
      </c>
      <c r="D86" s="1">
        <v>250.1</v>
      </c>
      <c r="E86" s="30">
        <v>2100</v>
      </c>
      <c r="F86" s="1">
        <v>225</v>
      </c>
      <c r="G86" s="1">
        <v>5.25</v>
      </c>
      <c r="H86" s="1">
        <v>52500</v>
      </c>
      <c r="I86" s="1">
        <v>8400</v>
      </c>
      <c r="J86" s="1">
        <v>4.5999999999999996</v>
      </c>
      <c r="K86" s="1">
        <v>6</v>
      </c>
      <c r="L86" s="1">
        <v>21000</v>
      </c>
      <c r="M86" s="36"/>
      <c r="N86" s="1"/>
      <c r="O86" s="7">
        <f t="shared" si="7"/>
        <v>2.099160335865654E-2</v>
      </c>
      <c r="P86" s="7">
        <f t="shared" ca="1" si="8"/>
        <v>-4.2752756331276051E-5</v>
      </c>
      <c r="Q86" s="7" t="e">
        <f t="shared" ca="1" si="9"/>
        <v>#NAME?</v>
      </c>
      <c r="R86" s="33" t="e">
        <f t="shared" ca="1" si="10"/>
        <v>#NAME?</v>
      </c>
      <c r="S86" s="33" t="e">
        <f t="shared" ca="1" si="11"/>
        <v>#NAME?</v>
      </c>
      <c r="T86" s="7" t="e">
        <f t="shared" ca="1" si="12"/>
        <v>#NAME?</v>
      </c>
      <c r="U86" s="33">
        <f t="shared" si="13"/>
        <v>525210</v>
      </c>
    </row>
    <row r="87" spans="1:21" x14ac:dyDescent="0.25">
      <c r="A87" s="1"/>
      <c r="B87" s="25">
        <v>43496</v>
      </c>
      <c r="C87" s="10" t="s">
        <v>671</v>
      </c>
      <c r="D87" s="1">
        <v>355.05</v>
      </c>
      <c r="E87" s="30">
        <v>2750</v>
      </c>
      <c r="F87" s="1">
        <v>315</v>
      </c>
      <c r="G87" s="1">
        <v>2</v>
      </c>
      <c r="H87" s="1">
        <v>5500</v>
      </c>
      <c r="I87" s="1">
        <v>22000</v>
      </c>
      <c r="J87" s="1">
        <v>1.1499999999999999</v>
      </c>
      <c r="K87" s="1">
        <v>2.8</v>
      </c>
      <c r="L87" s="1">
        <v>22000</v>
      </c>
      <c r="M87" s="36"/>
      <c r="N87" s="1"/>
      <c r="O87" s="7">
        <f t="shared" si="7"/>
        <v>5.6330094352908039E-3</v>
      </c>
      <c r="P87" s="7">
        <f t="shared" ca="1" si="8"/>
        <v>-1.1472524308127911E-5</v>
      </c>
      <c r="Q87" s="7" t="e">
        <f t="shared" ca="1" si="9"/>
        <v>#NAME?</v>
      </c>
      <c r="R87" s="33" t="e">
        <f t="shared" ca="1" si="10"/>
        <v>#NAME?</v>
      </c>
      <c r="S87" s="33" t="e">
        <f t="shared" ca="1" si="11"/>
        <v>#NAME?</v>
      </c>
      <c r="T87" s="7" t="e">
        <f t="shared" ca="1" si="12"/>
        <v>#NAME?</v>
      </c>
      <c r="U87" s="33">
        <f t="shared" si="13"/>
        <v>976387.5</v>
      </c>
    </row>
    <row r="88" spans="1:21" x14ac:dyDescent="0.25">
      <c r="A88" s="1"/>
      <c r="B88" s="25">
        <v>43496</v>
      </c>
      <c r="C88" s="10" t="s">
        <v>671</v>
      </c>
      <c r="D88" s="1">
        <v>355.05</v>
      </c>
      <c r="E88" s="30">
        <v>2750</v>
      </c>
      <c r="F88" s="1">
        <v>320</v>
      </c>
      <c r="G88" s="1">
        <v>2.75</v>
      </c>
      <c r="H88" s="1">
        <v>101750</v>
      </c>
      <c r="I88" s="1">
        <v>11000</v>
      </c>
      <c r="J88" s="1">
        <v>2.1</v>
      </c>
      <c r="K88" s="1">
        <v>3</v>
      </c>
      <c r="L88" s="1">
        <v>19250</v>
      </c>
      <c r="M88" s="36"/>
      <c r="N88" s="1"/>
      <c r="O88" s="7">
        <f t="shared" si="7"/>
        <v>7.7453879735248556E-3</v>
      </c>
      <c r="P88" s="7">
        <f t="shared" ca="1" si="8"/>
        <v>-1.5774720923675878E-5</v>
      </c>
      <c r="Q88" s="7" t="e">
        <f t="shared" ca="1" si="9"/>
        <v>#NAME?</v>
      </c>
      <c r="R88" s="33" t="e">
        <f t="shared" ca="1" si="10"/>
        <v>#NAME?</v>
      </c>
      <c r="S88" s="33" t="e">
        <f t="shared" ca="1" si="11"/>
        <v>#NAME?</v>
      </c>
      <c r="T88" s="7" t="e">
        <f t="shared" ca="1" si="12"/>
        <v>#NAME?</v>
      </c>
      <c r="U88" s="33">
        <f t="shared" si="13"/>
        <v>976387.5</v>
      </c>
    </row>
    <row r="89" spans="1:21" x14ac:dyDescent="0.25">
      <c r="A89" s="1"/>
      <c r="B89" s="25">
        <v>43496</v>
      </c>
      <c r="C89" s="10" t="s">
        <v>684</v>
      </c>
      <c r="D89" s="1">
        <v>61.65</v>
      </c>
      <c r="E89" s="30">
        <v>10000</v>
      </c>
      <c r="F89" s="1">
        <v>52.5</v>
      </c>
      <c r="G89" s="1">
        <v>0.4</v>
      </c>
      <c r="H89" s="1">
        <v>260000</v>
      </c>
      <c r="I89" s="1">
        <v>40000</v>
      </c>
      <c r="J89" s="1">
        <v>0.1</v>
      </c>
      <c r="K89" s="1">
        <v>0.4</v>
      </c>
      <c r="L89" s="1">
        <v>20000</v>
      </c>
      <c r="M89" s="36"/>
      <c r="N89" s="1"/>
      <c r="O89" s="7">
        <f t="shared" si="7"/>
        <v>6.4882400648824008E-3</v>
      </c>
      <c r="P89" s="7">
        <f t="shared" ca="1" si="8"/>
        <v>-1.3214338217683097E-5</v>
      </c>
      <c r="Q89" s="7" t="e">
        <f t="shared" ca="1" si="9"/>
        <v>#NAME?</v>
      </c>
      <c r="R89" s="33">
        <f t="shared" ca="1" si="10"/>
        <v>38.549999999999997</v>
      </c>
      <c r="S89" s="33" t="e">
        <f t="shared" ca="1" si="11"/>
        <v>#NAME?</v>
      </c>
      <c r="T89" s="7" t="e">
        <f t="shared" ca="1" si="12"/>
        <v>#NAME?</v>
      </c>
      <c r="U89" s="33">
        <f t="shared" si="13"/>
        <v>616500</v>
      </c>
    </row>
    <row r="90" spans="1:21" x14ac:dyDescent="0.25">
      <c r="A90" s="1"/>
      <c r="B90" s="25">
        <v>43496</v>
      </c>
      <c r="C90" s="10" t="s">
        <v>684</v>
      </c>
      <c r="D90" s="1">
        <v>61.65</v>
      </c>
      <c r="E90" s="30">
        <v>10000</v>
      </c>
      <c r="F90" s="1">
        <v>55</v>
      </c>
      <c r="G90" s="1">
        <v>0.4</v>
      </c>
      <c r="H90" s="1">
        <v>80000</v>
      </c>
      <c r="I90" s="1">
        <v>10000</v>
      </c>
      <c r="J90" s="1">
        <v>0.25</v>
      </c>
      <c r="K90" s="1">
        <v>0.45</v>
      </c>
      <c r="L90" s="1">
        <v>10000</v>
      </c>
      <c r="M90" s="36"/>
      <c r="N90" s="1"/>
      <c r="O90" s="7">
        <f t="shared" si="7"/>
        <v>6.4882400648824008E-3</v>
      </c>
      <c r="P90" s="7">
        <f t="shared" ca="1" si="8"/>
        <v>-1.3214338217683097E-5</v>
      </c>
      <c r="Q90" s="7" t="e">
        <f t="shared" ca="1" si="9"/>
        <v>#NAME?</v>
      </c>
      <c r="R90" s="33">
        <f t="shared" ca="1" si="10"/>
        <v>38.549999999999997</v>
      </c>
      <c r="S90" s="33" t="e">
        <f t="shared" ca="1" si="11"/>
        <v>#NAME?</v>
      </c>
      <c r="T90" s="7" t="e">
        <f t="shared" ca="1" si="12"/>
        <v>#NAME?</v>
      </c>
      <c r="U90" s="33">
        <f t="shared" si="13"/>
        <v>616500</v>
      </c>
    </row>
    <row r="91" spans="1:21" x14ac:dyDescent="0.25">
      <c r="A91" s="1"/>
      <c r="B91" s="25">
        <v>43496</v>
      </c>
      <c r="C91" s="10" t="s">
        <v>686</v>
      </c>
      <c r="D91" s="1">
        <v>38.15</v>
      </c>
      <c r="E91" s="30">
        <v>12000</v>
      </c>
      <c r="F91" s="1">
        <v>32</v>
      </c>
      <c r="G91" s="1">
        <v>0.45</v>
      </c>
      <c r="H91" s="1">
        <v>120000</v>
      </c>
      <c r="I91" s="1">
        <v>12000</v>
      </c>
      <c r="J91" s="1">
        <v>0.3</v>
      </c>
      <c r="K91" s="1">
        <v>0.45</v>
      </c>
      <c r="L91" s="1">
        <v>12000</v>
      </c>
      <c r="M91" s="36"/>
      <c r="N91" s="1"/>
      <c r="O91" s="7">
        <f t="shared" si="7"/>
        <v>1.179554390563565E-2</v>
      </c>
      <c r="P91" s="7">
        <f t="shared" ca="1" si="8"/>
        <v>-2.4023511009441244E-5</v>
      </c>
      <c r="Q91" s="7" t="e">
        <f t="shared" ca="1" si="9"/>
        <v>#NAME?</v>
      </c>
      <c r="R91" s="33" t="e">
        <f t="shared" ca="1" si="10"/>
        <v>#NAME?</v>
      </c>
      <c r="S91" s="33" t="e">
        <f t="shared" ca="1" si="11"/>
        <v>#NAME?</v>
      </c>
      <c r="T91" s="7" t="e">
        <f t="shared" ca="1" si="12"/>
        <v>#NAME?</v>
      </c>
      <c r="U91" s="33">
        <f t="shared" si="13"/>
        <v>457800</v>
      </c>
    </row>
    <row r="92" spans="1:21" x14ac:dyDescent="0.25">
      <c r="A92" s="1"/>
      <c r="B92" s="25">
        <v>43496</v>
      </c>
      <c r="C92" s="10" t="s">
        <v>686</v>
      </c>
      <c r="D92" s="1">
        <v>38.15</v>
      </c>
      <c r="E92" s="30">
        <v>12000</v>
      </c>
      <c r="F92" s="1">
        <v>33</v>
      </c>
      <c r="G92" s="1">
        <v>0.55000000000000004</v>
      </c>
      <c r="H92" s="1">
        <v>72000</v>
      </c>
      <c r="I92" s="1">
        <v>60000</v>
      </c>
      <c r="J92" s="1">
        <v>0.4</v>
      </c>
      <c r="K92" s="1">
        <v>0.65</v>
      </c>
      <c r="L92" s="1">
        <v>72000</v>
      </c>
      <c r="M92" s="36"/>
      <c r="N92" s="1"/>
      <c r="O92" s="7">
        <f t="shared" si="7"/>
        <v>1.4416775884665795E-2</v>
      </c>
      <c r="P92" s="7">
        <f t="shared" ca="1" si="8"/>
        <v>-2.9362069011539299E-5</v>
      </c>
      <c r="Q92" s="7" t="e">
        <f t="shared" ca="1" si="9"/>
        <v>#NAME?</v>
      </c>
      <c r="R92" s="33" t="e">
        <f t="shared" ca="1" si="10"/>
        <v>#NAME?</v>
      </c>
      <c r="S92" s="33" t="e">
        <f t="shared" ca="1" si="11"/>
        <v>#NAME?</v>
      </c>
      <c r="T92" s="7" t="e">
        <f t="shared" ca="1" si="12"/>
        <v>#NAME?</v>
      </c>
      <c r="U92" s="33">
        <f t="shared" si="13"/>
        <v>457800</v>
      </c>
    </row>
    <row r="93" spans="1:21" x14ac:dyDescent="0.25">
      <c r="A93" s="1"/>
      <c r="B93" s="25">
        <v>43496</v>
      </c>
      <c r="C93" s="10" t="s">
        <v>686</v>
      </c>
      <c r="D93" s="1">
        <v>38.15</v>
      </c>
      <c r="E93" s="30">
        <v>12000</v>
      </c>
      <c r="F93" s="1">
        <v>34</v>
      </c>
      <c r="G93" s="1">
        <v>0.65</v>
      </c>
      <c r="H93" s="1">
        <v>48000</v>
      </c>
      <c r="I93" s="1">
        <v>12000</v>
      </c>
      <c r="J93" s="1">
        <v>0.65</v>
      </c>
      <c r="K93" s="1">
        <v>0.85</v>
      </c>
      <c r="L93" s="1">
        <v>72000</v>
      </c>
      <c r="M93" s="36"/>
      <c r="N93" s="1"/>
      <c r="O93" s="7">
        <f t="shared" si="7"/>
        <v>1.7038007863695939E-2</v>
      </c>
      <c r="P93" s="7">
        <f t="shared" ca="1" si="8"/>
        <v>-3.4700627013637351E-5</v>
      </c>
      <c r="Q93" s="7" t="e">
        <f t="shared" ca="1" si="9"/>
        <v>#NAME?</v>
      </c>
      <c r="R93" s="33" t="e">
        <f t="shared" ca="1" si="10"/>
        <v>#NAME?</v>
      </c>
      <c r="S93" s="33" t="e">
        <f t="shared" ca="1" si="11"/>
        <v>#NAME?</v>
      </c>
      <c r="T93" s="7" t="e">
        <f t="shared" ca="1" si="12"/>
        <v>#NAME?</v>
      </c>
      <c r="U93" s="33">
        <f t="shared" si="13"/>
        <v>457800</v>
      </c>
    </row>
    <row r="94" spans="1:21" x14ac:dyDescent="0.25">
      <c r="A94" s="1"/>
      <c r="B94" s="25">
        <v>43496</v>
      </c>
      <c r="C94" s="10" t="s">
        <v>686</v>
      </c>
      <c r="D94" s="1">
        <v>38.15</v>
      </c>
      <c r="E94" s="30">
        <v>12000</v>
      </c>
      <c r="F94" s="1">
        <v>35</v>
      </c>
      <c r="G94" s="1">
        <v>0.9</v>
      </c>
      <c r="H94" s="1">
        <v>216000</v>
      </c>
      <c r="I94" s="1">
        <v>12000</v>
      </c>
      <c r="J94" s="1">
        <v>0.85</v>
      </c>
      <c r="K94" s="1">
        <v>1</v>
      </c>
      <c r="L94" s="1">
        <v>36000</v>
      </c>
      <c r="M94" s="36"/>
      <c r="N94" s="1"/>
      <c r="O94" s="7">
        <f t="shared" si="7"/>
        <v>2.35910878112713E-2</v>
      </c>
      <c r="P94" s="7">
        <f t="shared" ca="1" si="8"/>
        <v>-4.8047022018882488E-5</v>
      </c>
      <c r="Q94" s="7" t="e">
        <f t="shared" ca="1" si="9"/>
        <v>#NAME?</v>
      </c>
      <c r="R94" s="33" t="e">
        <f t="shared" ca="1" si="10"/>
        <v>#NAME?</v>
      </c>
      <c r="S94" s="33" t="e">
        <f t="shared" ca="1" si="11"/>
        <v>#NAME?</v>
      </c>
      <c r="T94" s="7" t="e">
        <f t="shared" ca="1" si="12"/>
        <v>#NAME?</v>
      </c>
      <c r="U94" s="33">
        <f t="shared" si="13"/>
        <v>457800</v>
      </c>
    </row>
    <row r="95" spans="1:21" x14ac:dyDescent="0.25">
      <c r="A95" s="1"/>
      <c r="B95" s="25">
        <v>43496</v>
      </c>
      <c r="C95" s="10" t="s">
        <v>686</v>
      </c>
      <c r="D95" s="1">
        <v>38.15</v>
      </c>
      <c r="E95" s="30">
        <v>12000</v>
      </c>
      <c r="F95" s="1">
        <v>36</v>
      </c>
      <c r="G95" s="1">
        <v>1.25</v>
      </c>
      <c r="H95" s="1">
        <v>420000</v>
      </c>
      <c r="I95" s="1">
        <v>12000</v>
      </c>
      <c r="J95" s="1">
        <v>1.1499999999999999</v>
      </c>
      <c r="K95" s="1">
        <v>1.35</v>
      </c>
      <c r="L95" s="1">
        <v>36000</v>
      </c>
      <c r="M95" s="36"/>
      <c r="N95" s="1"/>
      <c r="O95" s="7">
        <f t="shared" si="7"/>
        <v>3.2765399737876802E-2</v>
      </c>
      <c r="P95" s="7">
        <f t="shared" ca="1" si="8"/>
        <v>-6.673197502622566E-5</v>
      </c>
      <c r="Q95" s="7" t="e">
        <f t="shared" ca="1" si="9"/>
        <v>#NAME?</v>
      </c>
      <c r="R95" s="33">
        <f t="shared" ca="1" si="10"/>
        <v>10.3</v>
      </c>
      <c r="S95" s="33" t="e">
        <f t="shared" ca="1" si="11"/>
        <v>#NAME?</v>
      </c>
      <c r="T95" s="7" t="e">
        <f t="shared" ca="1" si="12"/>
        <v>#NAME?</v>
      </c>
      <c r="U95" s="33">
        <f t="shared" si="13"/>
        <v>457800</v>
      </c>
    </row>
    <row r="96" spans="1:21" x14ac:dyDescent="0.25">
      <c r="A96" s="1"/>
      <c r="B96" s="25">
        <v>43496</v>
      </c>
      <c r="C96" s="10" t="s">
        <v>687</v>
      </c>
      <c r="D96" s="1">
        <v>42.85</v>
      </c>
      <c r="E96" s="30">
        <v>13200</v>
      </c>
      <c r="F96" s="1">
        <v>36</v>
      </c>
      <c r="G96" s="1">
        <v>0.6</v>
      </c>
      <c r="H96" s="1">
        <v>13200</v>
      </c>
      <c r="I96" s="1">
        <v>52800</v>
      </c>
      <c r="J96" s="1">
        <v>0.1</v>
      </c>
      <c r="K96" s="1">
        <v>0.35</v>
      </c>
      <c r="L96" s="1">
        <v>52800</v>
      </c>
      <c r="M96" s="36"/>
      <c r="N96" s="1"/>
      <c r="O96" s="7">
        <f t="shared" si="7"/>
        <v>1.4002333722287047E-2</v>
      </c>
      <c r="P96" s="7">
        <f t="shared" ca="1" si="8"/>
        <v>-2.8517991287753659E-5</v>
      </c>
      <c r="Q96" s="7" t="e">
        <f t="shared" ca="1" si="9"/>
        <v>#NAME?</v>
      </c>
      <c r="R96" s="33" t="e">
        <f t="shared" ca="1" si="10"/>
        <v>#NAME?</v>
      </c>
      <c r="S96" s="33" t="e">
        <f t="shared" ca="1" si="11"/>
        <v>#NAME?</v>
      </c>
      <c r="T96" s="7" t="e">
        <f t="shared" ca="1" si="12"/>
        <v>#NAME?</v>
      </c>
      <c r="U96" s="33">
        <f t="shared" si="13"/>
        <v>565620</v>
      </c>
    </row>
    <row r="97" spans="1:21" x14ac:dyDescent="0.25">
      <c r="A97" s="1"/>
      <c r="B97" s="25">
        <v>43496</v>
      </c>
      <c r="C97" s="10" t="s">
        <v>687</v>
      </c>
      <c r="D97" s="1">
        <v>42.85</v>
      </c>
      <c r="E97" s="30">
        <v>13200</v>
      </c>
      <c r="F97" s="1">
        <v>37</v>
      </c>
      <c r="G97" s="1">
        <v>0.65</v>
      </c>
      <c r="H97" s="1">
        <v>13200</v>
      </c>
      <c r="I97" s="1">
        <v>79200</v>
      </c>
      <c r="J97" s="1">
        <v>0.2</v>
      </c>
      <c r="K97" s="1">
        <v>0.45</v>
      </c>
      <c r="L97" s="1">
        <v>26400</v>
      </c>
      <c r="M97" s="36"/>
      <c r="N97" s="1"/>
      <c r="O97" s="7">
        <f t="shared" si="7"/>
        <v>1.5169194865810968E-2</v>
      </c>
      <c r="P97" s="7">
        <f t="shared" ca="1" si="8"/>
        <v>-3.0894490561733134E-5</v>
      </c>
      <c r="Q97" s="7" t="e">
        <f t="shared" ca="1" si="9"/>
        <v>#NAME?</v>
      </c>
      <c r="R97" s="33" t="e">
        <f t="shared" ca="1" si="10"/>
        <v>#NAME?</v>
      </c>
      <c r="S97" s="33" t="e">
        <f t="shared" ca="1" si="11"/>
        <v>#NAME?</v>
      </c>
      <c r="T97" s="7" t="e">
        <f t="shared" ca="1" si="12"/>
        <v>#NAME?</v>
      </c>
      <c r="U97" s="33">
        <f t="shared" si="13"/>
        <v>565620</v>
      </c>
    </row>
    <row r="98" spans="1:21" x14ac:dyDescent="0.25">
      <c r="A98" s="1"/>
      <c r="B98" s="25">
        <v>43496</v>
      </c>
      <c r="C98" s="10" t="s">
        <v>693</v>
      </c>
      <c r="D98" s="1">
        <v>14.55</v>
      </c>
      <c r="E98" s="30">
        <v>35000</v>
      </c>
      <c r="F98" s="1">
        <v>13</v>
      </c>
      <c r="G98" s="1">
        <v>0.3</v>
      </c>
      <c r="H98" s="1">
        <v>70000</v>
      </c>
      <c r="I98" s="1">
        <v>70000</v>
      </c>
      <c r="J98" s="1">
        <v>0.15</v>
      </c>
      <c r="K98" s="1">
        <v>0.35</v>
      </c>
      <c r="L98" s="1">
        <v>35000</v>
      </c>
      <c r="M98" s="36"/>
      <c r="N98" s="1"/>
      <c r="O98" s="7">
        <f t="shared" si="7"/>
        <v>2.0618556701030927E-2</v>
      </c>
      <c r="P98" s="7">
        <f t="shared" ca="1" si="8"/>
        <v>-4.1992987171142418E-5</v>
      </c>
      <c r="Q98" s="7" t="e">
        <f t="shared" ca="1" si="9"/>
        <v>#NAME?</v>
      </c>
      <c r="R98" s="33" t="e">
        <f t="shared" ca="1" si="10"/>
        <v>#NAME?</v>
      </c>
      <c r="S98" s="33" t="e">
        <f t="shared" ca="1" si="11"/>
        <v>#NAME?</v>
      </c>
      <c r="T98" s="7" t="e">
        <f t="shared" ca="1" si="12"/>
        <v>#NAME?</v>
      </c>
      <c r="U98" s="33">
        <f t="shared" si="13"/>
        <v>509250</v>
      </c>
    </row>
    <row r="99" spans="1:21" x14ac:dyDescent="0.25">
      <c r="A99" s="1"/>
      <c r="B99" s="25">
        <v>43496</v>
      </c>
      <c r="C99" s="10" t="s">
        <v>696</v>
      </c>
      <c r="D99" s="1">
        <v>260.5</v>
      </c>
      <c r="E99" s="30">
        <v>2750</v>
      </c>
      <c r="F99" s="1">
        <v>240</v>
      </c>
      <c r="G99" s="1">
        <v>2.75</v>
      </c>
      <c r="H99" s="1">
        <v>33000</v>
      </c>
      <c r="I99" s="1">
        <v>2750</v>
      </c>
      <c r="J99" s="1">
        <v>3</v>
      </c>
      <c r="K99" s="1">
        <v>3.75</v>
      </c>
      <c r="L99" s="1">
        <v>11000</v>
      </c>
      <c r="M99" s="36"/>
      <c r="N99" s="1"/>
      <c r="O99" s="7">
        <f t="shared" si="7"/>
        <v>1.055662188099808E-2</v>
      </c>
      <c r="P99" s="7">
        <f t="shared" ca="1" si="8"/>
        <v>-2.1500248230138658E-5</v>
      </c>
      <c r="Q99" s="7" t="e">
        <f t="shared" ca="1" si="9"/>
        <v>#NAME?</v>
      </c>
      <c r="R99" s="33" t="e">
        <f t="shared" ca="1" si="10"/>
        <v>#NAME?</v>
      </c>
      <c r="S99" s="33" t="e">
        <f t="shared" ca="1" si="11"/>
        <v>#NAME?</v>
      </c>
      <c r="T99" s="7" t="e">
        <f t="shared" ca="1" si="12"/>
        <v>#NAME?</v>
      </c>
      <c r="U99" s="33">
        <f t="shared" si="13"/>
        <v>716375</v>
      </c>
    </row>
    <row r="100" spans="1:21" x14ac:dyDescent="0.25">
      <c r="A100" s="1"/>
      <c r="B100" s="25">
        <v>43496</v>
      </c>
      <c r="C100" s="10" t="s">
        <v>709</v>
      </c>
      <c r="D100" s="1">
        <v>95.7</v>
      </c>
      <c r="E100" s="30">
        <v>4500</v>
      </c>
      <c r="F100" s="1">
        <v>80</v>
      </c>
      <c r="G100" s="1">
        <v>1.1000000000000001</v>
      </c>
      <c r="H100" s="1">
        <v>85500</v>
      </c>
      <c r="I100" s="1">
        <v>9000</v>
      </c>
      <c r="J100" s="1">
        <v>0.95</v>
      </c>
      <c r="K100" s="1">
        <v>1.3</v>
      </c>
      <c r="L100" s="1">
        <v>4500</v>
      </c>
      <c r="M100" s="36"/>
      <c r="N100" s="1"/>
      <c r="O100" s="7">
        <f t="shared" si="7"/>
        <v>1.1494252873563218E-2</v>
      </c>
      <c r="P100" s="7">
        <f t="shared" ca="1" si="8"/>
        <v>-2.3409883652878245E-5</v>
      </c>
      <c r="Q100" s="7" t="e">
        <f t="shared" ca="1" si="9"/>
        <v>#NAME?</v>
      </c>
      <c r="R100" s="33">
        <f t="shared" ca="1" si="10"/>
        <v>130.6</v>
      </c>
      <c r="S100" s="33" t="e">
        <f t="shared" ca="1" si="11"/>
        <v>#NAME?</v>
      </c>
      <c r="T100" s="7" t="e">
        <f t="shared" ca="1" si="12"/>
        <v>#NAME?</v>
      </c>
      <c r="U100" s="33">
        <f t="shared" si="13"/>
        <v>430650</v>
      </c>
    </row>
    <row r="101" spans="1:21" x14ac:dyDescent="0.25">
      <c r="A101" s="1"/>
      <c r="B101" s="25">
        <v>43496</v>
      </c>
      <c r="C101" s="10" t="s">
        <v>709</v>
      </c>
      <c r="D101" s="1">
        <v>95.7</v>
      </c>
      <c r="E101" s="30">
        <v>4500</v>
      </c>
      <c r="F101" s="1">
        <v>85</v>
      </c>
      <c r="G101" s="1">
        <v>1.9</v>
      </c>
      <c r="H101" s="1">
        <v>31500</v>
      </c>
      <c r="I101" s="1">
        <v>13500</v>
      </c>
      <c r="J101" s="1">
        <v>1.7</v>
      </c>
      <c r="K101" s="1">
        <v>2.25</v>
      </c>
      <c r="L101" s="1">
        <v>9000</v>
      </c>
      <c r="M101" s="36"/>
      <c r="N101" s="1"/>
      <c r="O101" s="7">
        <f t="shared" si="7"/>
        <v>1.985370950888192E-2</v>
      </c>
      <c r="P101" s="7">
        <f t="shared" ca="1" si="8"/>
        <v>-4.0435253582244234E-5</v>
      </c>
      <c r="Q101" s="7" t="e">
        <f t="shared" ca="1" si="9"/>
        <v>#NAME?</v>
      </c>
      <c r="R101" s="33" t="e">
        <f t="shared" ca="1" si="10"/>
        <v>#NAME?</v>
      </c>
      <c r="S101" s="33" t="e">
        <f t="shared" ca="1" si="11"/>
        <v>#NAME?</v>
      </c>
      <c r="T101" s="7" t="e">
        <f t="shared" ca="1" si="12"/>
        <v>#NAME?</v>
      </c>
      <c r="U101" s="33">
        <f t="shared" si="13"/>
        <v>430650</v>
      </c>
    </row>
    <row r="102" spans="1:21" x14ac:dyDescent="0.25">
      <c r="A102" s="1"/>
      <c r="B102" s="25">
        <v>43496</v>
      </c>
      <c r="C102" s="10" t="s">
        <v>709</v>
      </c>
      <c r="D102" s="1">
        <v>95.7</v>
      </c>
      <c r="E102" s="30">
        <v>4500</v>
      </c>
      <c r="F102" s="1">
        <v>90</v>
      </c>
      <c r="G102" s="1">
        <v>3.2</v>
      </c>
      <c r="H102" s="1">
        <v>171000</v>
      </c>
      <c r="I102" s="1">
        <v>4500</v>
      </c>
      <c r="J102" s="1">
        <v>3.4</v>
      </c>
      <c r="K102" s="1">
        <v>3.8</v>
      </c>
      <c r="L102" s="1">
        <v>27000</v>
      </c>
      <c r="M102" s="36"/>
      <c r="N102" s="1"/>
      <c r="O102" s="7">
        <f t="shared" si="7"/>
        <v>3.343782654127482E-2</v>
      </c>
      <c r="P102" s="7">
        <f t="shared" ca="1" si="8"/>
        <v>-6.8101479717463999E-5</v>
      </c>
      <c r="Q102" s="7" t="e">
        <f t="shared" ca="1" si="9"/>
        <v>#NAME?</v>
      </c>
      <c r="R102" s="33">
        <f t="shared" ca="1" si="10"/>
        <v>130.6</v>
      </c>
      <c r="S102" s="33" t="e">
        <f t="shared" ca="1" si="11"/>
        <v>#NAME?</v>
      </c>
      <c r="T102" s="7" t="e">
        <f t="shared" ca="1" si="12"/>
        <v>#NAME?</v>
      </c>
      <c r="U102" s="33">
        <f t="shared" si="13"/>
        <v>430650</v>
      </c>
    </row>
    <row r="103" spans="1:21" x14ac:dyDescent="0.25">
      <c r="A103" s="1"/>
      <c r="B103" s="25">
        <v>43496</v>
      </c>
      <c r="C103" s="10" t="s">
        <v>711</v>
      </c>
      <c r="D103" s="1">
        <v>238.6</v>
      </c>
      <c r="E103" s="30">
        <v>2000</v>
      </c>
      <c r="F103" s="1">
        <v>200</v>
      </c>
      <c r="G103" s="1">
        <v>2</v>
      </c>
      <c r="H103" s="1">
        <v>14000</v>
      </c>
      <c r="I103" s="1">
        <v>8000</v>
      </c>
      <c r="J103" s="1">
        <v>1.95</v>
      </c>
      <c r="K103" s="1">
        <v>3</v>
      </c>
      <c r="L103" s="1">
        <v>2000</v>
      </c>
      <c r="M103" s="36"/>
      <c r="N103" s="1"/>
      <c r="O103" s="7">
        <f t="shared" si="7"/>
        <v>8.3822296730930428E-3</v>
      </c>
      <c r="P103" s="7">
        <f t="shared" ca="1" si="8"/>
        <v>-1.7071750861696624E-5</v>
      </c>
      <c r="Q103" s="7" t="e">
        <f t="shared" ca="1" si="9"/>
        <v>#NAME?</v>
      </c>
      <c r="R103" s="33" t="e">
        <f t="shared" ca="1" si="10"/>
        <v>#NAME?</v>
      </c>
      <c r="S103" s="33" t="e">
        <f t="shared" ca="1" si="11"/>
        <v>#NAME?</v>
      </c>
      <c r="T103" s="7" t="e">
        <f t="shared" ca="1" si="12"/>
        <v>#NAME?</v>
      </c>
      <c r="U103" s="33">
        <f t="shared" si="13"/>
        <v>477200</v>
      </c>
    </row>
    <row r="104" spans="1:21" x14ac:dyDescent="0.25">
      <c r="A104" s="1"/>
      <c r="B104" s="25">
        <v>43496</v>
      </c>
      <c r="C104" s="10" t="s">
        <v>711</v>
      </c>
      <c r="D104" s="1">
        <v>238.6</v>
      </c>
      <c r="E104" s="30">
        <v>2000</v>
      </c>
      <c r="F104" s="1">
        <v>210</v>
      </c>
      <c r="G104" s="1">
        <v>3.8</v>
      </c>
      <c r="H104" s="1">
        <v>10000</v>
      </c>
      <c r="I104" s="1">
        <v>8000</v>
      </c>
      <c r="J104" s="1">
        <v>4</v>
      </c>
      <c r="K104" s="1">
        <v>4.4000000000000004</v>
      </c>
      <c r="L104" s="1">
        <v>2000</v>
      </c>
      <c r="M104" s="36"/>
      <c r="N104" s="1"/>
      <c r="O104" s="7">
        <f t="shared" si="7"/>
        <v>1.5926236378876781E-2</v>
      </c>
      <c r="P104" s="7">
        <f t="shared" ca="1" si="8"/>
        <v>-3.2436326637223588E-5</v>
      </c>
      <c r="Q104" s="7" t="e">
        <f t="shared" ca="1" si="9"/>
        <v>#NAME?</v>
      </c>
      <c r="R104" s="33" t="e">
        <f t="shared" ca="1" si="10"/>
        <v>#NAME?</v>
      </c>
      <c r="S104" s="33" t="e">
        <f t="shared" ca="1" si="11"/>
        <v>#NAME?</v>
      </c>
      <c r="T104" s="7" t="e">
        <f t="shared" ca="1" si="12"/>
        <v>#NAME?</v>
      </c>
      <c r="U104" s="33">
        <f t="shared" si="13"/>
        <v>477200</v>
      </c>
    </row>
    <row r="105" spans="1:21" x14ac:dyDescent="0.25">
      <c r="A105" s="1"/>
      <c r="B105" s="25">
        <v>43496</v>
      </c>
      <c r="C105" s="10" t="s">
        <v>14</v>
      </c>
      <c r="D105" s="1">
        <v>139.80000000000001</v>
      </c>
      <c r="E105" s="30">
        <v>3500</v>
      </c>
      <c r="F105" s="1">
        <v>125</v>
      </c>
      <c r="G105" s="1">
        <v>0.9</v>
      </c>
      <c r="H105" s="1">
        <v>17500</v>
      </c>
      <c r="I105" s="1">
        <v>10500</v>
      </c>
      <c r="J105" s="1">
        <v>0.25</v>
      </c>
      <c r="K105" s="1">
        <v>0.75</v>
      </c>
      <c r="L105" s="1">
        <v>3500</v>
      </c>
      <c r="M105" s="36"/>
      <c r="N105" s="1"/>
      <c r="O105" s="7">
        <f t="shared" si="7"/>
        <v>6.4377682403433476E-3</v>
      </c>
      <c r="P105" s="7">
        <f t="shared" ca="1" si="8"/>
        <v>-1.3111544277685025E-5</v>
      </c>
      <c r="Q105" s="7" t="e">
        <f t="shared" ca="1" si="9"/>
        <v>#NAME?</v>
      </c>
      <c r="R105" s="33">
        <f t="shared" ca="1" si="10"/>
        <v>89.35</v>
      </c>
      <c r="S105" s="33" t="e">
        <f t="shared" ca="1" si="11"/>
        <v>#NAME?</v>
      </c>
      <c r="T105" s="7" t="e">
        <f t="shared" ca="1" si="12"/>
        <v>#NAME?</v>
      </c>
      <c r="U105" s="33">
        <f t="shared" si="13"/>
        <v>489300.00000000006</v>
      </c>
    </row>
    <row r="106" spans="1:21" x14ac:dyDescent="0.25">
      <c r="A106" s="1"/>
      <c r="B106" s="25">
        <v>43496</v>
      </c>
      <c r="C106" s="10" t="s">
        <v>749</v>
      </c>
      <c r="D106" s="1">
        <v>167.5</v>
      </c>
      <c r="E106" s="30">
        <v>3200</v>
      </c>
      <c r="F106" s="1">
        <v>140</v>
      </c>
      <c r="G106" s="1">
        <v>2.0499999999999998</v>
      </c>
      <c r="H106" s="1">
        <v>6400</v>
      </c>
      <c r="I106" s="1">
        <v>6400</v>
      </c>
      <c r="J106" s="1">
        <v>1.1000000000000001</v>
      </c>
      <c r="K106" s="1">
        <v>2.0499999999999998</v>
      </c>
      <c r="L106" s="1">
        <v>16000</v>
      </c>
      <c r="M106" s="36"/>
      <c r="N106" s="1"/>
      <c r="O106" s="7">
        <f t="shared" si="7"/>
        <v>1.2238805970149253E-2</v>
      </c>
      <c r="P106" s="7">
        <f t="shared" ca="1" si="8"/>
        <v>-2.4926285071587072E-5</v>
      </c>
      <c r="Q106" s="7" t="e">
        <f t="shared" ca="1" si="9"/>
        <v>#NAME?</v>
      </c>
      <c r="R106" s="33" t="e">
        <f t="shared" ca="1" si="10"/>
        <v>#NAME?</v>
      </c>
      <c r="S106" s="33" t="e">
        <f t="shared" ca="1" si="11"/>
        <v>#NAME?</v>
      </c>
      <c r="T106" s="7" t="e">
        <f t="shared" ca="1" si="12"/>
        <v>#NAME?</v>
      </c>
      <c r="U106" s="33">
        <f t="shared" si="13"/>
        <v>536000</v>
      </c>
    </row>
    <row r="107" spans="1:21" x14ac:dyDescent="0.25">
      <c r="A107" s="1"/>
      <c r="B107" s="25">
        <v>43496</v>
      </c>
      <c r="C107" s="10" t="s">
        <v>749</v>
      </c>
      <c r="D107" s="1">
        <v>167.5</v>
      </c>
      <c r="E107" s="30">
        <v>3200</v>
      </c>
      <c r="F107" s="1">
        <v>145</v>
      </c>
      <c r="G107" s="1">
        <v>3</v>
      </c>
      <c r="H107" s="1">
        <v>3200</v>
      </c>
      <c r="I107" s="1">
        <v>19200</v>
      </c>
      <c r="J107" s="1">
        <v>1.75</v>
      </c>
      <c r="K107" s="1">
        <v>2.8</v>
      </c>
      <c r="L107" s="1">
        <v>19200</v>
      </c>
      <c r="M107" s="36"/>
      <c r="N107" s="1"/>
      <c r="O107" s="7">
        <f t="shared" si="7"/>
        <v>1.7910447761194031E-2</v>
      </c>
      <c r="P107" s="7">
        <f t="shared" ca="1" si="8"/>
        <v>-3.6477490348664013E-5</v>
      </c>
      <c r="Q107" s="7" t="e">
        <f t="shared" ca="1" si="9"/>
        <v>#NAME?</v>
      </c>
      <c r="R107" s="33" t="e">
        <f t="shared" ca="1" si="10"/>
        <v>#NAME?</v>
      </c>
      <c r="S107" s="33" t="e">
        <f t="shared" ca="1" si="11"/>
        <v>#NAME?</v>
      </c>
      <c r="T107" s="7" t="e">
        <f t="shared" ca="1" si="12"/>
        <v>#NAME?</v>
      </c>
      <c r="U107" s="33">
        <f t="shared" si="13"/>
        <v>536000</v>
      </c>
    </row>
    <row r="108" spans="1:21" x14ac:dyDescent="0.25">
      <c r="A108" s="1"/>
      <c r="B108" s="25">
        <v>43496</v>
      </c>
      <c r="C108" s="10" t="s">
        <v>749</v>
      </c>
      <c r="D108" s="1">
        <v>167.5</v>
      </c>
      <c r="E108" s="30">
        <v>3200</v>
      </c>
      <c r="F108" s="1">
        <v>150</v>
      </c>
      <c r="G108" s="1">
        <v>4.05</v>
      </c>
      <c r="H108" s="1">
        <v>6400</v>
      </c>
      <c r="I108" s="1">
        <v>19200</v>
      </c>
      <c r="J108" s="1">
        <v>2.75</v>
      </c>
      <c r="K108" s="1">
        <v>3.65</v>
      </c>
      <c r="L108" s="1">
        <v>6400</v>
      </c>
      <c r="M108" s="36"/>
      <c r="N108" s="1"/>
      <c r="O108" s="7">
        <f t="shared" si="7"/>
        <v>2.4179104477611939E-2</v>
      </c>
      <c r="P108" s="7">
        <f t="shared" ca="1" si="8"/>
        <v>-4.9244611970696413E-5</v>
      </c>
      <c r="Q108" s="7" t="e">
        <f t="shared" ca="1" si="9"/>
        <v>#NAME?</v>
      </c>
      <c r="R108" s="33">
        <f t="shared" ca="1" si="10"/>
        <v>66.8</v>
      </c>
      <c r="S108" s="33" t="e">
        <f t="shared" ca="1" si="11"/>
        <v>#NAME?</v>
      </c>
      <c r="T108" s="7" t="e">
        <f t="shared" ca="1" si="12"/>
        <v>#NAME?</v>
      </c>
      <c r="U108" s="33">
        <f t="shared" si="13"/>
        <v>536000</v>
      </c>
    </row>
    <row r="109" spans="1:21" x14ac:dyDescent="0.25">
      <c r="A109" s="1"/>
      <c r="B109" s="25">
        <v>43496</v>
      </c>
      <c r="C109" s="10" t="s">
        <v>780</v>
      </c>
      <c r="D109" s="1">
        <v>251</v>
      </c>
      <c r="E109" s="30">
        <v>2200</v>
      </c>
      <c r="F109" s="1">
        <v>210</v>
      </c>
      <c r="G109" s="1">
        <v>7</v>
      </c>
      <c r="H109" s="1">
        <v>6600</v>
      </c>
      <c r="I109" s="1">
        <v>11000</v>
      </c>
      <c r="J109" s="1">
        <v>6.3</v>
      </c>
      <c r="K109" s="1">
        <v>21.1</v>
      </c>
      <c r="L109" s="1">
        <v>2200</v>
      </c>
      <c r="M109" s="36"/>
      <c r="N109" s="1"/>
      <c r="O109" s="7">
        <f t="shared" si="7"/>
        <v>2.7888446215139442E-2</v>
      </c>
      <c r="P109" s="7">
        <f t="shared" ca="1" si="8"/>
        <v>-5.679927946056913E-5</v>
      </c>
      <c r="Q109" s="7" t="e">
        <f t="shared" ca="1" si="9"/>
        <v>#NAME?</v>
      </c>
      <c r="R109" s="33">
        <f t="shared" ca="1" si="10"/>
        <v>27.75</v>
      </c>
      <c r="S109" s="33" t="e">
        <f t="shared" ca="1" si="11"/>
        <v>#NAME?</v>
      </c>
      <c r="T109" s="7" t="e">
        <f t="shared" ca="1" si="12"/>
        <v>#NAME?</v>
      </c>
      <c r="U109" s="33">
        <f t="shared" si="13"/>
        <v>552200</v>
      </c>
    </row>
    <row r="110" spans="1:21" x14ac:dyDescent="0.25">
      <c r="A110" s="1"/>
      <c r="B110" s="25">
        <v>43496</v>
      </c>
      <c r="C110" s="10" t="s">
        <v>785</v>
      </c>
      <c r="D110" s="1">
        <v>164</v>
      </c>
      <c r="E110" s="30">
        <v>2250</v>
      </c>
      <c r="F110" s="1">
        <v>140</v>
      </c>
      <c r="G110" s="1">
        <v>2.5</v>
      </c>
      <c r="H110" s="1">
        <v>24750</v>
      </c>
      <c r="I110" s="1">
        <v>4500</v>
      </c>
      <c r="J110" s="1">
        <v>2.25</v>
      </c>
      <c r="K110" s="1">
        <v>2.7</v>
      </c>
      <c r="L110" s="1">
        <v>2250</v>
      </c>
      <c r="M110" s="36"/>
      <c r="N110" s="1"/>
      <c r="O110" s="7">
        <f t="shared" si="7"/>
        <v>1.524390243902439E-2</v>
      </c>
      <c r="P110" s="7">
        <f t="shared" ca="1" si="8"/>
        <v>-3.1046644478664745E-5</v>
      </c>
      <c r="Q110" s="7" t="e">
        <f t="shared" ca="1" si="9"/>
        <v>#NAME?</v>
      </c>
      <c r="R110" s="33" t="e">
        <f t="shared" ca="1" si="10"/>
        <v>#NAME?</v>
      </c>
      <c r="S110" s="33" t="e">
        <f t="shared" ca="1" si="11"/>
        <v>#NAME?</v>
      </c>
      <c r="T110" s="7" t="e">
        <f t="shared" ca="1" si="12"/>
        <v>#NAME?</v>
      </c>
      <c r="U110" s="33">
        <f t="shared" si="13"/>
        <v>369000</v>
      </c>
    </row>
    <row r="111" spans="1:21" x14ac:dyDescent="0.25">
      <c r="A111" s="1"/>
      <c r="B111" s="25">
        <v>43496</v>
      </c>
      <c r="C111" s="10" t="s">
        <v>785</v>
      </c>
      <c r="D111" s="1">
        <v>164</v>
      </c>
      <c r="E111" s="30">
        <v>2250</v>
      </c>
      <c r="F111" s="1">
        <v>150</v>
      </c>
      <c r="G111" s="1">
        <v>4.55</v>
      </c>
      <c r="H111" s="1">
        <v>180000</v>
      </c>
      <c r="I111" s="1">
        <v>11250</v>
      </c>
      <c r="J111" s="1">
        <v>4.5</v>
      </c>
      <c r="K111" s="1">
        <v>5.45</v>
      </c>
      <c r="L111" s="1">
        <v>13500</v>
      </c>
      <c r="M111" s="36"/>
      <c r="N111" s="1"/>
      <c r="O111" s="7">
        <f t="shared" si="7"/>
        <v>2.7743902439024391E-2</v>
      </c>
      <c r="P111" s="7">
        <f t="shared" ca="1" si="8"/>
        <v>-5.6504892951169841E-5</v>
      </c>
      <c r="Q111" s="7" t="e">
        <f t="shared" ca="1" si="9"/>
        <v>#NAME?</v>
      </c>
      <c r="R111" s="33" t="e">
        <f t="shared" ca="1" si="10"/>
        <v>#NAME?</v>
      </c>
      <c r="S111" s="33" t="e">
        <f t="shared" ca="1" si="11"/>
        <v>#NAME?</v>
      </c>
      <c r="T111" s="7" t="e">
        <f t="shared" ca="1" si="12"/>
        <v>#NAME?</v>
      </c>
      <c r="U111" s="33">
        <f t="shared" si="13"/>
        <v>369000</v>
      </c>
    </row>
    <row r="112" spans="1:21" x14ac:dyDescent="0.25">
      <c r="A112" s="1"/>
      <c r="B112" s="25">
        <v>43496</v>
      </c>
      <c r="C112" s="10" t="s">
        <v>790</v>
      </c>
      <c r="D112" s="1">
        <v>68.95</v>
      </c>
      <c r="E112" s="30">
        <v>9000</v>
      </c>
      <c r="F112" s="1">
        <v>57.5</v>
      </c>
      <c r="G112" s="1">
        <v>1.25</v>
      </c>
      <c r="H112" s="1">
        <v>9000</v>
      </c>
      <c r="I112" s="1">
        <v>63000</v>
      </c>
      <c r="J112" s="1">
        <v>0.5</v>
      </c>
      <c r="K112" s="1">
        <v>0.95</v>
      </c>
      <c r="L112" s="1">
        <v>54000</v>
      </c>
      <c r="M112" s="36"/>
      <c r="N112" s="1"/>
      <c r="O112" s="7">
        <f t="shared" si="7"/>
        <v>1.8129079042784626E-2</v>
      </c>
      <c r="P112" s="7">
        <f t="shared" ca="1" si="8"/>
        <v>-3.692276790791166E-5</v>
      </c>
      <c r="Q112" s="7" t="e">
        <f t="shared" ca="1" si="9"/>
        <v>#NAME?</v>
      </c>
      <c r="R112" s="33" t="e">
        <f t="shared" ca="1" si="10"/>
        <v>#NAME?</v>
      </c>
      <c r="S112" s="33" t="e">
        <f t="shared" ca="1" si="11"/>
        <v>#NAME?</v>
      </c>
      <c r="T112" s="7" t="e">
        <f t="shared" ca="1" si="12"/>
        <v>#NAME?</v>
      </c>
      <c r="U112" s="33">
        <f t="shared" si="13"/>
        <v>620550</v>
      </c>
    </row>
    <row r="113" spans="1:21" x14ac:dyDescent="0.25">
      <c r="A113" s="1"/>
      <c r="B113" s="25">
        <v>43496</v>
      </c>
      <c r="C113" s="10" t="s">
        <v>790</v>
      </c>
      <c r="D113" s="1">
        <v>68.95</v>
      </c>
      <c r="E113" s="30">
        <v>9000</v>
      </c>
      <c r="F113" s="1">
        <v>60</v>
      </c>
      <c r="G113" s="1">
        <v>1.75</v>
      </c>
      <c r="H113" s="1">
        <v>36000</v>
      </c>
      <c r="I113" s="1">
        <v>9000</v>
      </c>
      <c r="J113" s="1">
        <v>1</v>
      </c>
      <c r="K113" s="1">
        <v>1.3</v>
      </c>
      <c r="L113" s="1">
        <v>36000</v>
      </c>
      <c r="M113" s="36"/>
      <c r="N113" s="1"/>
      <c r="O113" s="7">
        <f t="shared" si="7"/>
        <v>2.5380710659898477E-2</v>
      </c>
      <c r="P113" s="7">
        <f t="shared" ca="1" si="8"/>
        <v>-5.1691875071076327E-5</v>
      </c>
      <c r="Q113" s="7" t="e">
        <f t="shared" ca="1" si="9"/>
        <v>#NAME?</v>
      </c>
      <c r="R113" s="33" t="e">
        <f t="shared" ca="1" si="10"/>
        <v>#NAME?</v>
      </c>
      <c r="S113" s="33" t="e">
        <f t="shared" ca="1" si="11"/>
        <v>#NAME?</v>
      </c>
      <c r="T113" s="7" t="e">
        <f t="shared" ca="1" si="12"/>
        <v>#NAME?</v>
      </c>
      <c r="U113" s="33">
        <f t="shared" si="13"/>
        <v>620550</v>
      </c>
    </row>
    <row r="114" spans="1:21" x14ac:dyDescent="0.25">
      <c r="A114" s="1"/>
      <c r="B114" s="25">
        <v>43496</v>
      </c>
      <c r="C114" s="10" t="s">
        <v>790</v>
      </c>
      <c r="D114" s="1">
        <v>68.95</v>
      </c>
      <c r="E114" s="30">
        <v>9000</v>
      </c>
      <c r="F114" s="1">
        <v>62.5</v>
      </c>
      <c r="G114" s="1">
        <v>1.75</v>
      </c>
      <c r="H114" s="1">
        <v>27000</v>
      </c>
      <c r="I114" s="1">
        <v>9000</v>
      </c>
      <c r="J114" s="1">
        <v>1.5</v>
      </c>
      <c r="K114" s="1">
        <v>1.9</v>
      </c>
      <c r="L114" s="1">
        <v>54000</v>
      </c>
      <c r="M114" s="36"/>
      <c r="N114" s="1"/>
      <c r="O114" s="7">
        <f t="shared" si="7"/>
        <v>2.5380710659898477E-2</v>
      </c>
      <c r="P114" s="7">
        <f t="shared" ca="1" si="8"/>
        <v>-5.1691875071076327E-5</v>
      </c>
      <c r="Q114" s="7" t="e">
        <f t="shared" ca="1" si="9"/>
        <v>#NAME?</v>
      </c>
      <c r="R114" s="33">
        <f t="shared" ca="1" si="10"/>
        <v>8.9</v>
      </c>
      <c r="S114" s="33" t="e">
        <f t="shared" ca="1" si="11"/>
        <v>#NAME?</v>
      </c>
      <c r="T114" s="7" t="e">
        <f t="shared" ca="1" si="12"/>
        <v>#NAME?</v>
      </c>
      <c r="U114" s="33">
        <f t="shared" si="13"/>
        <v>620550</v>
      </c>
    </row>
    <row r="115" spans="1:21" x14ac:dyDescent="0.25">
      <c r="A115" s="1"/>
      <c r="B115" s="25">
        <v>43496</v>
      </c>
      <c r="C115" s="10" t="s">
        <v>790</v>
      </c>
      <c r="D115" s="1">
        <v>68.95</v>
      </c>
      <c r="E115" s="30">
        <v>9000</v>
      </c>
      <c r="F115" s="1">
        <v>65</v>
      </c>
      <c r="G115" s="1">
        <v>3</v>
      </c>
      <c r="H115" s="1">
        <v>63000</v>
      </c>
      <c r="I115" s="1">
        <v>9000</v>
      </c>
      <c r="J115" s="1">
        <v>2.5</v>
      </c>
      <c r="K115" s="1">
        <v>2.7</v>
      </c>
      <c r="L115" s="1">
        <v>54000</v>
      </c>
      <c r="M115" s="36"/>
      <c r="N115" s="1"/>
      <c r="O115" s="7">
        <f t="shared" si="7"/>
        <v>4.3509789702683099E-2</v>
      </c>
      <c r="P115" s="7">
        <f t="shared" ca="1" si="8"/>
        <v>-8.861464297898798E-5</v>
      </c>
      <c r="Q115" s="7" t="e">
        <f t="shared" ca="1" si="9"/>
        <v>#NAME?</v>
      </c>
      <c r="R115" s="33" t="e">
        <f t="shared" ca="1" si="10"/>
        <v>#NAME?</v>
      </c>
      <c r="S115" s="33" t="e">
        <f t="shared" ca="1" si="11"/>
        <v>#NAME?</v>
      </c>
      <c r="T115" s="7" t="e">
        <f t="shared" ca="1" si="12"/>
        <v>#NAME?</v>
      </c>
      <c r="U115" s="33">
        <f t="shared" si="13"/>
        <v>620550</v>
      </c>
    </row>
    <row r="116" spans="1:21" x14ac:dyDescent="0.25">
      <c r="A116" s="1"/>
      <c r="B116" s="25">
        <v>43496</v>
      </c>
      <c r="C116" s="10" t="s">
        <v>869</v>
      </c>
      <c r="D116" s="1">
        <v>1228</v>
      </c>
      <c r="E116" s="30">
        <v>800</v>
      </c>
      <c r="F116" s="1">
        <v>1060</v>
      </c>
      <c r="G116" s="1">
        <v>12</v>
      </c>
      <c r="H116" s="1">
        <v>6400</v>
      </c>
      <c r="I116" s="1">
        <v>11200</v>
      </c>
      <c r="J116" s="1">
        <v>1.05</v>
      </c>
      <c r="K116" s="1">
        <v>9.0500000000000007</v>
      </c>
      <c r="L116" s="1">
        <v>11200</v>
      </c>
      <c r="M116" s="36"/>
      <c r="N116" s="1"/>
      <c r="O116" s="7">
        <f t="shared" si="7"/>
        <v>9.7719869706840382E-3</v>
      </c>
      <c r="P116" s="7">
        <f t="shared" ca="1" si="8"/>
        <v>-1.9902213789580525E-5</v>
      </c>
      <c r="Q116" s="7" t="e">
        <f t="shared" ca="1" si="9"/>
        <v>#NAME?</v>
      </c>
      <c r="R116" s="33" t="e">
        <f t="shared" ca="1" si="10"/>
        <v>#NAME?</v>
      </c>
      <c r="S116" s="33" t="e">
        <f t="shared" ca="1" si="11"/>
        <v>#NAME?</v>
      </c>
      <c r="T116" s="7" t="e">
        <f t="shared" ca="1" si="12"/>
        <v>#NAME?</v>
      </c>
      <c r="U116" s="33">
        <f t="shared" si="13"/>
        <v>982400</v>
      </c>
    </row>
    <row r="117" spans="1:21" x14ac:dyDescent="0.25">
      <c r="A117" s="1"/>
      <c r="B117" s="25">
        <v>43496</v>
      </c>
      <c r="C117" s="10" t="s">
        <v>869</v>
      </c>
      <c r="D117" s="1">
        <v>1228</v>
      </c>
      <c r="E117" s="30">
        <v>800</v>
      </c>
      <c r="F117" s="1">
        <v>1080</v>
      </c>
      <c r="G117" s="1">
        <v>7.95</v>
      </c>
      <c r="H117" s="1">
        <v>5600</v>
      </c>
      <c r="I117" s="1">
        <v>1600</v>
      </c>
      <c r="J117" s="1">
        <v>5.5</v>
      </c>
      <c r="K117" s="1">
        <v>7.95</v>
      </c>
      <c r="L117" s="1">
        <v>4800</v>
      </c>
      <c r="M117" s="36"/>
      <c r="N117" s="1"/>
      <c r="O117" s="7">
        <f t="shared" si="7"/>
        <v>6.473941368078176E-3</v>
      </c>
      <c r="P117" s="7">
        <f t="shared" ca="1" si="8"/>
        <v>-1.3185216635597101E-5</v>
      </c>
      <c r="Q117" s="7" t="e">
        <f t="shared" ca="1" si="9"/>
        <v>#NAME?</v>
      </c>
      <c r="R117" s="33" t="e">
        <f t="shared" ca="1" si="10"/>
        <v>#NAME?</v>
      </c>
      <c r="S117" s="33" t="e">
        <f t="shared" ca="1" si="11"/>
        <v>#NAME?</v>
      </c>
      <c r="T117" s="7" t="e">
        <f t="shared" ca="1" si="12"/>
        <v>#NAME?</v>
      </c>
      <c r="U117" s="33">
        <f t="shared" si="13"/>
        <v>982400</v>
      </c>
    </row>
    <row r="118" spans="1:21" x14ac:dyDescent="0.25">
      <c r="A118" s="1"/>
      <c r="B118" s="25">
        <v>43496</v>
      </c>
      <c r="C118" s="10" t="s">
        <v>869</v>
      </c>
      <c r="D118" s="1">
        <v>1228</v>
      </c>
      <c r="E118" s="30">
        <v>800</v>
      </c>
      <c r="F118" s="1">
        <v>1100</v>
      </c>
      <c r="G118" s="1">
        <v>9.6</v>
      </c>
      <c r="H118" s="1">
        <v>56000</v>
      </c>
      <c r="I118" s="1">
        <v>1600</v>
      </c>
      <c r="J118" s="1">
        <v>8.5</v>
      </c>
      <c r="K118" s="1">
        <v>9.9499999999999993</v>
      </c>
      <c r="L118" s="1">
        <v>800</v>
      </c>
      <c r="M118" s="36"/>
      <c r="N118" s="1"/>
      <c r="O118" s="7">
        <f t="shared" si="7"/>
        <v>7.8175895765472316E-3</v>
      </c>
      <c r="P118" s="7">
        <f t="shared" ca="1" si="8"/>
        <v>-1.5921771031664424E-5</v>
      </c>
      <c r="Q118" s="7" t="e">
        <f t="shared" ca="1" si="9"/>
        <v>#NAME?</v>
      </c>
      <c r="R118" s="33">
        <f t="shared" ca="1" si="10"/>
        <v>1334.9</v>
      </c>
      <c r="S118" s="33" t="e">
        <f t="shared" ca="1" si="11"/>
        <v>#NAME?</v>
      </c>
      <c r="T118" s="7" t="e">
        <f t="shared" ca="1" si="12"/>
        <v>#NAME?</v>
      </c>
      <c r="U118" s="33">
        <f t="shared" si="13"/>
        <v>982400</v>
      </c>
    </row>
    <row r="119" spans="1:21" x14ac:dyDescent="0.25">
      <c r="A119" s="1"/>
      <c r="B119" s="25">
        <v>43496</v>
      </c>
      <c r="C119" s="10" t="s">
        <v>878</v>
      </c>
      <c r="D119" s="1">
        <v>222.8</v>
      </c>
      <c r="E119" s="30">
        <v>2250</v>
      </c>
      <c r="F119" s="1">
        <v>200</v>
      </c>
      <c r="G119" s="1">
        <v>1.6</v>
      </c>
      <c r="H119" s="1">
        <v>36000</v>
      </c>
      <c r="I119" s="1">
        <v>18000</v>
      </c>
      <c r="J119" s="1">
        <v>1.35</v>
      </c>
      <c r="K119" s="1">
        <v>2.7</v>
      </c>
      <c r="L119" s="1">
        <v>13500</v>
      </c>
      <c r="M119" s="36"/>
      <c r="N119" s="1"/>
      <c r="O119" s="7">
        <f t="shared" si="7"/>
        <v>7.1813285457809697E-3</v>
      </c>
      <c r="P119" s="7">
        <f t="shared" ca="1" si="8"/>
        <v>-1.4625923718494847E-5</v>
      </c>
      <c r="Q119" s="7" t="e">
        <f t="shared" ca="1" si="9"/>
        <v>#NAME?</v>
      </c>
      <c r="R119" s="33" t="e">
        <f t="shared" ca="1" si="10"/>
        <v>#NAME?</v>
      </c>
      <c r="S119" s="33" t="e">
        <f t="shared" ca="1" si="11"/>
        <v>#NAME?</v>
      </c>
      <c r="T119" s="7" t="e">
        <f t="shared" ca="1" si="12"/>
        <v>#NAME?</v>
      </c>
      <c r="U119" s="33">
        <f t="shared" si="13"/>
        <v>501300</v>
      </c>
    </row>
    <row r="120" spans="1:21" x14ac:dyDescent="0.25">
      <c r="A120" s="1"/>
      <c r="B120" s="25">
        <v>43496</v>
      </c>
      <c r="C120" s="10" t="s">
        <v>889</v>
      </c>
      <c r="D120" s="1">
        <v>108.3</v>
      </c>
      <c r="E120" s="30">
        <v>4700</v>
      </c>
      <c r="F120" s="1">
        <v>100</v>
      </c>
      <c r="G120" s="1">
        <v>2.25</v>
      </c>
      <c r="H120" s="1">
        <v>47000</v>
      </c>
      <c r="I120" s="1">
        <v>14100</v>
      </c>
      <c r="J120" s="1">
        <v>1.75</v>
      </c>
      <c r="K120" s="1">
        <v>2.4</v>
      </c>
      <c r="L120" s="1">
        <v>56400</v>
      </c>
      <c r="M120" s="36"/>
      <c r="N120" s="1"/>
      <c r="O120" s="7">
        <f t="shared" si="7"/>
        <v>2.077562326869806E-2</v>
      </c>
      <c r="P120" s="7">
        <f t="shared" ca="1" si="8"/>
        <v>-4.2312878347653891E-5</v>
      </c>
      <c r="Q120" s="7" t="e">
        <f t="shared" ca="1" si="9"/>
        <v>#NAME?</v>
      </c>
      <c r="R120" s="33" t="e">
        <f t="shared" ca="1" si="10"/>
        <v>#NAME?</v>
      </c>
      <c r="S120" s="33" t="e">
        <f t="shared" ca="1" si="11"/>
        <v>#NAME?</v>
      </c>
      <c r="T120" s="7" t="e">
        <f t="shared" ca="1" si="12"/>
        <v>#NAME?</v>
      </c>
      <c r="U120" s="33">
        <f t="shared" si="13"/>
        <v>509010</v>
      </c>
    </row>
    <row r="121" spans="1:21" x14ac:dyDescent="0.25">
      <c r="A121" s="1"/>
      <c r="B121" s="25">
        <v>43496</v>
      </c>
      <c r="C121" s="10" t="s">
        <v>933</v>
      </c>
      <c r="D121" s="1">
        <v>859.7</v>
      </c>
      <c r="E121" s="30">
        <v>700</v>
      </c>
      <c r="F121" s="1">
        <v>740</v>
      </c>
      <c r="G121" s="1">
        <v>4.9000000000000004</v>
      </c>
      <c r="H121" s="1">
        <v>700</v>
      </c>
      <c r="I121" s="1">
        <v>1400</v>
      </c>
      <c r="J121" s="1">
        <v>2</v>
      </c>
      <c r="K121" s="1">
        <v>5.75</v>
      </c>
      <c r="L121" s="1">
        <v>11200</v>
      </c>
      <c r="M121" s="36"/>
      <c r="N121" s="1"/>
      <c r="O121" s="7">
        <f t="shared" si="7"/>
        <v>5.6996626730254742E-3</v>
      </c>
      <c r="P121" s="7">
        <f t="shared" ca="1" si="8"/>
        <v>-1.1608274283147606E-5</v>
      </c>
      <c r="Q121" s="7" t="e">
        <f t="shared" ca="1" si="9"/>
        <v>#NAME?</v>
      </c>
      <c r="R121" s="33" t="e">
        <f t="shared" ca="1" si="10"/>
        <v>#NAME?</v>
      </c>
      <c r="S121" s="33" t="e">
        <f t="shared" ca="1" si="11"/>
        <v>#NAME?</v>
      </c>
      <c r="T121" s="7" t="e">
        <f t="shared" ca="1" si="12"/>
        <v>#NAME?</v>
      </c>
      <c r="U121" s="33">
        <f t="shared" si="13"/>
        <v>601790</v>
      </c>
    </row>
    <row r="122" spans="1:21" x14ac:dyDescent="0.25">
      <c r="A122" s="1"/>
      <c r="B122" s="25">
        <v>43496</v>
      </c>
      <c r="C122" s="10" t="s">
        <v>933</v>
      </c>
      <c r="D122" s="1">
        <v>859.7</v>
      </c>
      <c r="E122" s="30">
        <v>700</v>
      </c>
      <c r="F122" s="1">
        <v>760</v>
      </c>
      <c r="G122" s="1">
        <v>5.5</v>
      </c>
      <c r="H122" s="1">
        <v>2100</v>
      </c>
      <c r="I122" s="1">
        <v>14700</v>
      </c>
      <c r="J122" s="1">
        <v>2.1</v>
      </c>
      <c r="K122" s="1">
        <v>6.75</v>
      </c>
      <c r="L122" s="1">
        <v>11200</v>
      </c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>
        <v>43496</v>
      </c>
      <c r="C123" s="10" t="s">
        <v>933</v>
      </c>
      <c r="D123" s="1">
        <v>859.7</v>
      </c>
      <c r="E123" s="30">
        <v>700</v>
      </c>
      <c r="F123" s="1">
        <v>780</v>
      </c>
      <c r="G123" s="1">
        <v>7.75</v>
      </c>
      <c r="H123" s="1">
        <v>2800</v>
      </c>
      <c r="I123" s="1">
        <v>700</v>
      </c>
      <c r="J123" s="1">
        <v>5.85</v>
      </c>
      <c r="K123" s="1">
        <v>9.5500000000000007</v>
      </c>
      <c r="L123" s="1">
        <v>11900</v>
      </c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>
        <v>43496</v>
      </c>
      <c r="C124" s="10" t="s">
        <v>995</v>
      </c>
      <c r="D124" s="1">
        <v>621</v>
      </c>
      <c r="E124" s="30">
        <v>1250</v>
      </c>
      <c r="F124" s="1">
        <v>550</v>
      </c>
      <c r="G124" s="1">
        <v>5.5</v>
      </c>
      <c r="H124" s="1">
        <v>15000</v>
      </c>
      <c r="I124" s="1">
        <v>17500</v>
      </c>
      <c r="J124" s="1">
        <v>5.25</v>
      </c>
      <c r="K124" s="1">
        <v>8.1</v>
      </c>
      <c r="L124" s="1">
        <v>20000</v>
      </c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>
        <v>43496</v>
      </c>
      <c r="C125" s="10" t="s">
        <v>1016</v>
      </c>
      <c r="D125" s="1">
        <v>847</v>
      </c>
      <c r="E125" s="30">
        <v>600</v>
      </c>
      <c r="F125" s="1">
        <v>740</v>
      </c>
      <c r="G125" s="1">
        <v>10.8</v>
      </c>
      <c r="H125" s="1">
        <v>600</v>
      </c>
      <c r="I125" s="1">
        <v>3600</v>
      </c>
      <c r="J125" s="1">
        <v>7.75</v>
      </c>
      <c r="K125" s="1">
        <v>10.65</v>
      </c>
      <c r="L125" s="1">
        <v>600</v>
      </c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>
        <v>43496</v>
      </c>
      <c r="C126" s="10" t="s">
        <v>1016</v>
      </c>
      <c r="D126" s="1">
        <v>847</v>
      </c>
      <c r="E126" s="30">
        <v>600</v>
      </c>
      <c r="F126" s="1">
        <v>760</v>
      </c>
      <c r="G126" s="1">
        <v>12.25</v>
      </c>
      <c r="H126" s="1">
        <v>4200</v>
      </c>
      <c r="I126" s="1">
        <v>600</v>
      </c>
      <c r="J126" s="1">
        <v>12</v>
      </c>
      <c r="K126" s="1">
        <v>16.3</v>
      </c>
      <c r="L126" s="1">
        <v>4800</v>
      </c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>
        <v>43496</v>
      </c>
      <c r="C127" s="10" t="s">
        <v>1037</v>
      </c>
      <c r="D127" s="1">
        <v>168.75</v>
      </c>
      <c r="E127" s="30">
        <v>2850</v>
      </c>
      <c r="F127" s="1">
        <v>140</v>
      </c>
      <c r="G127" s="1">
        <v>2.15</v>
      </c>
      <c r="H127" s="1">
        <v>2850</v>
      </c>
      <c r="I127" s="1">
        <v>28500</v>
      </c>
      <c r="J127" s="1">
        <v>1.2</v>
      </c>
      <c r="K127" s="1">
        <v>2.35</v>
      </c>
      <c r="L127" s="1">
        <v>11400</v>
      </c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>
        <v>43496</v>
      </c>
      <c r="C128" s="10" t="s">
        <v>1037</v>
      </c>
      <c r="D128" s="1">
        <v>168.75</v>
      </c>
      <c r="E128" s="30">
        <v>2850</v>
      </c>
      <c r="F128" s="1">
        <v>145</v>
      </c>
      <c r="G128" s="1">
        <v>2</v>
      </c>
      <c r="H128" s="1">
        <v>5700</v>
      </c>
      <c r="I128" s="1">
        <v>28500</v>
      </c>
      <c r="J128" s="1">
        <v>1.8</v>
      </c>
      <c r="K128" s="1">
        <v>3</v>
      </c>
      <c r="L128" s="1">
        <v>5700</v>
      </c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>
        <v>43496</v>
      </c>
      <c r="C129" s="10" t="s">
        <v>1037</v>
      </c>
      <c r="D129" s="1">
        <v>168.75</v>
      </c>
      <c r="E129" s="30">
        <v>2850</v>
      </c>
      <c r="F129" s="1">
        <v>150</v>
      </c>
      <c r="G129" s="1">
        <v>2.65</v>
      </c>
      <c r="H129" s="1">
        <v>42750</v>
      </c>
      <c r="I129" s="1">
        <v>28500</v>
      </c>
      <c r="J129" s="1">
        <v>2.7</v>
      </c>
      <c r="K129" s="1">
        <v>3.4</v>
      </c>
      <c r="L129" s="1">
        <v>2850</v>
      </c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>
        <v>43496</v>
      </c>
      <c r="C130" s="10" t="s">
        <v>1149</v>
      </c>
      <c r="D130" s="1">
        <v>93.1</v>
      </c>
      <c r="E130" s="30">
        <v>7000</v>
      </c>
      <c r="F130" s="1">
        <v>77.5</v>
      </c>
      <c r="G130" s="1">
        <v>1.25</v>
      </c>
      <c r="H130" s="1">
        <v>7000</v>
      </c>
      <c r="I130" s="1">
        <v>49000</v>
      </c>
      <c r="J130" s="1">
        <v>1</v>
      </c>
      <c r="K130" s="1">
        <v>1.45</v>
      </c>
      <c r="L130" s="1">
        <v>14000</v>
      </c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>
        <v>43496</v>
      </c>
      <c r="C131" s="10" t="s">
        <v>1149</v>
      </c>
      <c r="D131" s="1">
        <v>93.1</v>
      </c>
      <c r="E131" s="30">
        <v>7000</v>
      </c>
      <c r="F131" s="1">
        <v>80</v>
      </c>
      <c r="G131" s="1">
        <v>2</v>
      </c>
      <c r="H131" s="1">
        <v>21000</v>
      </c>
      <c r="I131" s="1">
        <v>14000</v>
      </c>
      <c r="J131" s="1">
        <v>1.5</v>
      </c>
      <c r="K131" s="1">
        <v>1.9</v>
      </c>
      <c r="L131" s="1">
        <v>14000</v>
      </c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>
        <v>43496</v>
      </c>
      <c r="C132" s="10" t="s">
        <v>1149</v>
      </c>
      <c r="D132" s="1">
        <v>93.1</v>
      </c>
      <c r="E132" s="30">
        <v>7000</v>
      </c>
      <c r="F132" s="1">
        <v>85</v>
      </c>
      <c r="G132" s="1">
        <v>2.7</v>
      </c>
      <c r="H132" s="1">
        <v>56000</v>
      </c>
      <c r="I132" s="1">
        <v>14000</v>
      </c>
      <c r="J132" s="1">
        <v>2.7</v>
      </c>
      <c r="K132" s="1">
        <v>3.25</v>
      </c>
      <c r="L132" s="1">
        <v>56000</v>
      </c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>
        <v>43496</v>
      </c>
      <c r="C133" s="10" t="s">
        <v>1190</v>
      </c>
      <c r="D133" s="1">
        <v>221.4</v>
      </c>
      <c r="E133" s="30">
        <v>3000</v>
      </c>
      <c r="F133" s="1">
        <v>200</v>
      </c>
      <c r="G133" s="1">
        <v>1.65</v>
      </c>
      <c r="H133" s="1">
        <v>3000</v>
      </c>
      <c r="I133" s="1">
        <v>36000</v>
      </c>
      <c r="J133" s="1">
        <v>0.65</v>
      </c>
      <c r="K133" s="1">
        <v>1.75</v>
      </c>
      <c r="L133" s="1">
        <v>30000</v>
      </c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>
        <v>43496</v>
      </c>
      <c r="C134" s="10" t="s">
        <v>21</v>
      </c>
      <c r="D134" s="1">
        <v>98.25</v>
      </c>
      <c r="E134" s="30">
        <v>6200</v>
      </c>
      <c r="F134" s="1">
        <v>85</v>
      </c>
      <c r="G134" s="1">
        <v>0.75</v>
      </c>
      <c r="H134" s="1">
        <v>136400</v>
      </c>
      <c r="I134" s="1">
        <v>12400</v>
      </c>
      <c r="J134" s="1">
        <v>0.8</v>
      </c>
      <c r="K134" s="1">
        <v>1.1000000000000001</v>
      </c>
      <c r="L134" s="1">
        <v>24800</v>
      </c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>
        <v>43496</v>
      </c>
      <c r="C135" s="10" t="s">
        <v>21</v>
      </c>
      <c r="D135" s="1">
        <v>98.25</v>
      </c>
      <c r="E135" s="30">
        <v>6200</v>
      </c>
      <c r="F135" s="1">
        <v>90</v>
      </c>
      <c r="G135" s="1">
        <v>1.55</v>
      </c>
      <c r="H135" s="1">
        <v>62000</v>
      </c>
      <c r="I135" s="1">
        <v>24800</v>
      </c>
      <c r="J135" s="1">
        <v>1.55</v>
      </c>
      <c r="K135" s="1">
        <v>2.15</v>
      </c>
      <c r="L135" s="1">
        <v>49600</v>
      </c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>
        <v>43496</v>
      </c>
      <c r="C136" s="10" t="s">
        <v>21</v>
      </c>
      <c r="D136" s="1">
        <v>98.25</v>
      </c>
      <c r="E136" s="30">
        <v>6200</v>
      </c>
      <c r="F136" s="1">
        <v>92.5</v>
      </c>
      <c r="G136" s="1">
        <v>2.2999999999999998</v>
      </c>
      <c r="H136" s="1">
        <v>12400</v>
      </c>
      <c r="I136" s="1">
        <v>24800</v>
      </c>
      <c r="J136" s="1">
        <v>2.2000000000000002</v>
      </c>
      <c r="K136" s="1">
        <v>2.9</v>
      </c>
      <c r="L136" s="1">
        <v>62000</v>
      </c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>
        <v>43496</v>
      </c>
      <c r="C137" s="10" t="s">
        <v>1199</v>
      </c>
      <c r="D137" s="1">
        <v>1139</v>
      </c>
      <c r="E137" s="30">
        <v>500</v>
      </c>
      <c r="F137" s="1">
        <v>1020</v>
      </c>
      <c r="G137" s="1">
        <v>3.9</v>
      </c>
      <c r="H137" s="1">
        <v>500</v>
      </c>
      <c r="I137" s="1">
        <v>7000</v>
      </c>
      <c r="J137" s="1">
        <v>2.4500000000000002</v>
      </c>
      <c r="K137" s="1">
        <v>10.45</v>
      </c>
      <c r="L137" s="1">
        <v>6000</v>
      </c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>
        <v>43496</v>
      </c>
      <c r="C138" s="10" t="s">
        <v>1210</v>
      </c>
      <c r="D138" s="1">
        <v>76.7</v>
      </c>
      <c r="E138" s="30">
        <v>7000</v>
      </c>
      <c r="F138" s="1">
        <v>62.5</v>
      </c>
      <c r="G138" s="1">
        <v>0.9</v>
      </c>
      <c r="H138" s="1">
        <v>7000</v>
      </c>
      <c r="I138" s="1">
        <v>14000</v>
      </c>
      <c r="J138" s="1">
        <v>0.4</v>
      </c>
      <c r="K138" s="1">
        <v>0.75</v>
      </c>
      <c r="L138" s="1">
        <v>56000</v>
      </c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>
        <v>43496</v>
      </c>
      <c r="C139" s="10" t="s">
        <v>1210</v>
      </c>
      <c r="D139" s="1">
        <v>76.7</v>
      </c>
      <c r="E139" s="30">
        <v>7000</v>
      </c>
      <c r="F139" s="1">
        <v>65</v>
      </c>
      <c r="G139" s="1">
        <v>0.8</v>
      </c>
      <c r="H139" s="1">
        <v>364000</v>
      </c>
      <c r="I139" s="1">
        <v>14000</v>
      </c>
      <c r="J139" s="1">
        <v>0.7</v>
      </c>
      <c r="K139" s="1">
        <v>0.85</v>
      </c>
      <c r="L139" s="1">
        <v>7000</v>
      </c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>
        <v>43496</v>
      </c>
      <c r="C140" s="10" t="s">
        <v>1210</v>
      </c>
      <c r="D140" s="1">
        <v>76.7</v>
      </c>
      <c r="E140" s="30">
        <v>7000</v>
      </c>
      <c r="F140" s="1">
        <v>67.5</v>
      </c>
      <c r="G140" s="1">
        <v>1.1000000000000001</v>
      </c>
      <c r="H140" s="1">
        <v>35000</v>
      </c>
      <c r="I140" s="1">
        <v>7000</v>
      </c>
      <c r="J140" s="1">
        <v>1.05</v>
      </c>
      <c r="K140" s="1">
        <v>1.4</v>
      </c>
      <c r="L140" s="1">
        <v>49000</v>
      </c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>
        <v>43496</v>
      </c>
      <c r="C141" s="10" t="s">
        <v>1210</v>
      </c>
      <c r="D141" s="1">
        <v>76.7</v>
      </c>
      <c r="E141" s="30">
        <v>7000</v>
      </c>
      <c r="F141" s="1">
        <v>70</v>
      </c>
      <c r="G141" s="1">
        <v>1.65</v>
      </c>
      <c r="H141" s="1">
        <v>441000</v>
      </c>
      <c r="I141" s="1">
        <v>28000</v>
      </c>
      <c r="J141" s="1">
        <v>1.6</v>
      </c>
      <c r="K141" s="1">
        <v>1.75</v>
      </c>
      <c r="L141" s="1">
        <v>21000</v>
      </c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>
        <v>43496</v>
      </c>
      <c r="C142" s="10" t="s">
        <v>1223</v>
      </c>
      <c r="D142" s="1">
        <v>198.45</v>
      </c>
      <c r="E142" s="30">
        <v>4000</v>
      </c>
      <c r="F142" s="1">
        <v>175</v>
      </c>
      <c r="G142" s="1">
        <v>0.75</v>
      </c>
      <c r="H142" s="1">
        <v>8000</v>
      </c>
      <c r="I142" s="1">
        <v>4000</v>
      </c>
      <c r="J142" s="1">
        <v>0.35</v>
      </c>
      <c r="K142" s="1">
        <v>0.95</v>
      </c>
      <c r="L142" s="1">
        <v>48000</v>
      </c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>
        <v>43496</v>
      </c>
      <c r="C143" s="10" t="s">
        <v>1223</v>
      </c>
      <c r="D143" s="1">
        <v>198.45</v>
      </c>
      <c r="E143" s="30">
        <v>4000</v>
      </c>
      <c r="F143" s="1">
        <v>180</v>
      </c>
      <c r="G143" s="1">
        <v>0.9</v>
      </c>
      <c r="H143" s="1">
        <v>8000</v>
      </c>
      <c r="I143" s="1">
        <v>4000</v>
      </c>
      <c r="J143" s="1">
        <v>0.6</v>
      </c>
      <c r="K143" s="1">
        <v>0.85</v>
      </c>
      <c r="L143" s="1">
        <v>4000</v>
      </c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>
        <v>43496</v>
      </c>
      <c r="C144" s="10" t="s">
        <v>5</v>
      </c>
      <c r="D144" s="1">
        <v>88</v>
      </c>
      <c r="E144" s="30">
        <v>8000</v>
      </c>
      <c r="F144" s="1">
        <v>80</v>
      </c>
      <c r="G144" s="1">
        <v>1.5</v>
      </c>
      <c r="H144" s="1">
        <v>8000</v>
      </c>
      <c r="I144" s="1">
        <v>80000</v>
      </c>
      <c r="J144" s="1">
        <v>1.45</v>
      </c>
      <c r="K144" s="1">
        <v>2</v>
      </c>
      <c r="L144" s="1">
        <v>96000</v>
      </c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>
        <v>43496</v>
      </c>
      <c r="C145" s="10" t="s">
        <v>1283</v>
      </c>
      <c r="D145" s="1">
        <v>856.8</v>
      </c>
      <c r="E145" s="30">
        <v>800</v>
      </c>
      <c r="F145" s="1">
        <v>680</v>
      </c>
      <c r="G145" s="1">
        <v>15.9</v>
      </c>
      <c r="H145" s="1">
        <v>1600</v>
      </c>
      <c r="I145" s="1">
        <v>4800</v>
      </c>
      <c r="J145" s="1">
        <v>0.1</v>
      </c>
      <c r="K145" s="1">
        <v>4</v>
      </c>
      <c r="L145" s="1">
        <v>8000</v>
      </c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>
        <v>43496</v>
      </c>
      <c r="C146" s="10" t="s">
        <v>1283</v>
      </c>
      <c r="D146" s="1">
        <v>856.8</v>
      </c>
      <c r="E146" s="30">
        <v>800</v>
      </c>
      <c r="F146" s="1">
        <v>700</v>
      </c>
      <c r="G146" s="1">
        <v>21</v>
      </c>
      <c r="H146" s="1">
        <v>1600</v>
      </c>
      <c r="I146" s="1">
        <v>11200</v>
      </c>
      <c r="J146" s="1">
        <v>0.35</v>
      </c>
      <c r="K146" s="1">
        <v>4.95</v>
      </c>
      <c r="L146" s="1">
        <v>9600</v>
      </c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>
        <v>43496</v>
      </c>
      <c r="C147" s="10" t="s">
        <v>1283</v>
      </c>
      <c r="D147" s="1">
        <v>856.8</v>
      </c>
      <c r="E147" s="30">
        <v>800</v>
      </c>
      <c r="F147" s="1">
        <v>720</v>
      </c>
      <c r="G147" s="1">
        <v>27.6</v>
      </c>
      <c r="H147" s="1">
        <v>1600</v>
      </c>
      <c r="I147" s="1">
        <v>11200</v>
      </c>
      <c r="J147" s="1">
        <v>1.65</v>
      </c>
      <c r="K147" s="1">
        <v>6.15</v>
      </c>
      <c r="L147" s="1">
        <v>9600</v>
      </c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>
        <v>43496</v>
      </c>
      <c r="C148" s="10" t="s">
        <v>1283</v>
      </c>
      <c r="D148" s="1">
        <v>856.8</v>
      </c>
      <c r="E148" s="30">
        <v>800</v>
      </c>
      <c r="F148" s="1">
        <v>740</v>
      </c>
      <c r="G148" s="1">
        <v>34.799999999999997</v>
      </c>
      <c r="H148" s="1">
        <v>3200</v>
      </c>
      <c r="I148" s="1">
        <v>11200</v>
      </c>
      <c r="J148" s="1">
        <v>3.75</v>
      </c>
      <c r="K148" s="1">
        <v>8.0500000000000007</v>
      </c>
      <c r="L148" s="1">
        <v>9600</v>
      </c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>
        <v>43496</v>
      </c>
      <c r="C149" s="10" t="s">
        <v>1283</v>
      </c>
      <c r="D149" s="1">
        <v>856.8</v>
      </c>
      <c r="E149" s="30">
        <v>800</v>
      </c>
      <c r="F149" s="1">
        <v>760</v>
      </c>
      <c r="G149" s="1">
        <v>43.85</v>
      </c>
      <c r="H149" s="1">
        <v>1600</v>
      </c>
      <c r="I149" s="1">
        <v>12800</v>
      </c>
      <c r="J149" s="1">
        <v>6.1</v>
      </c>
      <c r="K149" s="1">
        <v>11</v>
      </c>
      <c r="L149" s="1">
        <v>11200</v>
      </c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>
        <v>43496</v>
      </c>
      <c r="C150" s="10" t="s">
        <v>1287</v>
      </c>
      <c r="D150" s="1">
        <v>14.3</v>
      </c>
      <c r="E150" s="30">
        <v>34000</v>
      </c>
      <c r="F150" s="1">
        <v>11</v>
      </c>
      <c r="G150" s="1">
        <v>0.6</v>
      </c>
      <c r="H150" s="1">
        <v>34000</v>
      </c>
      <c r="I150" s="1">
        <v>34000</v>
      </c>
      <c r="J150" s="1">
        <v>0.35</v>
      </c>
      <c r="K150" s="1">
        <v>0.5</v>
      </c>
      <c r="L150" s="1">
        <v>136000</v>
      </c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>
        <v>43496</v>
      </c>
      <c r="C151" s="10" t="s">
        <v>1287</v>
      </c>
      <c r="D151" s="1">
        <v>14.3</v>
      </c>
      <c r="E151" s="30">
        <v>34000</v>
      </c>
      <c r="F151" s="1">
        <v>12</v>
      </c>
      <c r="G151" s="1">
        <v>0.75</v>
      </c>
      <c r="H151" s="1">
        <v>204000</v>
      </c>
      <c r="I151" s="1">
        <v>136000</v>
      </c>
      <c r="J151" s="1">
        <v>0.5</v>
      </c>
      <c r="K151" s="1">
        <v>0.7</v>
      </c>
      <c r="L151" s="1">
        <v>102000</v>
      </c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>
        <v>43496</v>
      </c>
      <c r="C152" s="10" t="s">
        <v>1287</v>
      </c>
      <c r="D152" s="1">
        <v>14.3</v>
      </c>
      <c r="E152" s="30">
        <v>34000</v>
      </c>
      <c r="F152" s="1">
        <v>13</v>
      </c>
      <c r="G152" s="1">
        <v>0.9</v>
      </c>
      <c r="H152" s="1">
        <v>374000</v>
      </c>
      <c r="I152" s="1">
        <v>68000</v>
      </c>
      <c r="J152" s="1">
        <v>0.85</v>
      </c>
      <c r="K152" s="1">
        <v>0.95</v>
      </c>
      <c r="L152" s="1">
        <v>34000</v>
      </c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>
        <v>43496</v>
      </c>
      <c r="C153" s="10" t="s">
        <v>1288</v>
      </c>
      <c r="D153" s="1">
        <v>109.6</v>
      </c>
      <c r="E153" s="30">
        <v>6000</v>
      </c>
      <c r="F153" s="1">
        <v>95</v>
      </c>
      <c r="G153" s="1">
        <v>1</v>
      </c>
      <c r="H153" s="1">
        <v>12000</v>
      </c>
      <c r="I153" s="1">
        <v>18000</v>
      </c>
      <c r="J153" s="1">
        <v>0.95</v>
      </c>
      <c r="K153" s="1">
        <v>1.35</v>
      </c>
      <c r="L153" s="1">
        <v>60000</v>
      </c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>
        <v>43496</v>
      </c>
      <c r="C154" s="10" t="s">
        <v>1298</v>
      </c>
      <c r="D154" s="1">
        <v>1098</v>
      </c>
      <c r="E154" s="30">
        <v>500</v>
      </c>
      <c r="F154" s="1">
        <v>960</v>
      </c>
      <c r="G154" s="1">
        <v>12</v>
      </c>
      <c r="H154" s="1">
        <v>500</v>
      </c>
      <c r="I154" s="1">
        <v>2000</v>
      </c>
      <c r="J154" s="1">
        <v>0.65</v>
      </c>
      <c r="K154" s="1">
        <v>5.95</v>
      </c>
      <c r="L154" s="1">
        <v>500</v>
      </c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>
        <v>43496</v>
      </c>
      <c r="C155" s="10" t="s">
        <v>1298</v>
      </c>
      <c r="D155" s="1">
        <v>1098</v>
      </c>
      <c r="E155" s="30">
        <v>500</v>
      </c>
      <c r="F155" s="1">
        <v>980</v>
      </c>
      <c r="G155" s="1">
        <v>5.8</v>
      </c>
      <c r="H155" s="1">
        <v>4000</v>
      </c>
      <c r="I155" s="1">
        <v>3500</v>
      </c>
      <c r="J155" s="1">
        <v>4</v>
      </c>
      <c r="K155" s="1">
        <v>6.25</v>
      </c>
      <c r="L155" s="1">
        <v>500</v>
      </c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>
        <v>43496</v>
      </c>
      <c r="C156" s="10" t="s">
        <v>1298</v>
      </c>
      <c r="D156" s="1">
        <v>1098</v>
      </c>
      <c r="E156" s="30">
        <v>500</v>
      </c>
      <c r="F156" s="1">
        <v>1000</v>
      </c>
      <c r="G156" s="1">
        <v>8.9499999999999993</v>
      </c>
      <c r="H156" s="1">
        <v>88000</v>
      </c>
      <c r="I156" s="1">
        <v>1000</v>
      </c>
      <c r="J156" s="1">
        <v>8.5</v>
      </c>
      <c r="K156" s="1">
        <v>8.9</v>
      </c>
      <c r="L156" s="1">
        <v>500</v>
      </c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>
        <v>43496</v>
      </c>
      <c r="C157" s="10" t="s">
        <v>1327</v>
      </c>
      <c r="D157" s="1">
        <v>28.1</v>
      </c>
      <c r="E157" s="30">
        <v>16000</v>
      </c>
      <c r="F157" s="1">
        <v>24</v>
      </c>
      <c r="G157" s="1">
        <v>0.65</v>
      </c>
      <c r="H157" s="1">
        <v>64000</v>
      </c>
      <c r="I157" s="1">
        <v>96000</v>
      </c>
      <c r="J157" s="1">
        <v>0.3</v>
      </c>
      <c r="K157" s="1">
        <v>0.45</v>
      </c>
      <c r="L157" s="1">
        <v>16000</v>
      </c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>
        <v>43496</v>
      </c>
      <c r="C158" s="10" t="s">
        <v>1327</v>
      </c>
      <c r="D158" s="1">
        <v>28.1</v>
      </c>
      <c r="E158" s="30">
        <v>16000</v>
      </c>
      <c r="F158" s="1">
        <v>25</v>
      </c>
      <c r="G158" s="1">
        <v>0.7</v>
      </c>
      <c r="H158" s="1">
        <v>64000</v>
      </c>
      <c r="I158" s="1">
        <v>80000</v>
      </c>
      <c r="J158" s="1">
        <v>0.5</v>
      </c>
      <c r="K158" s="1">
        <v>0.65</v>
      </c>
      <c r="L158" s="1">
        <v>16000</v>
      </c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>
        <v>43496</v>
      </c>
      <c r="C159" s="10" t="s">
        <v>1327</v>
      </c>
      <c r="D159" s="1">
        <v>28.1</v>
      </c>
      <c r="E159" s="30">
        <v>16000</v>
      </c>
      <c r="F159" s="1">
        <v>26</v>
      </c>
      <c r="G159" s="1">
        <v>1</v>
      </c>
      <c r="H159" s="1">
        <v>112000</v>
      </c>
      <c r="I159" s="1">
        <v>64000</v>
      </c>
      <c r="J159" s="1">
        <v>0.75</v>
      </c>
      <c r="K159" s="1">
        <v>0.95</v>
      </c>
      <c r="L159" s="1">
        <v>16000</v>
      </c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>
        <v>43496</v>
      </c>
      <c r="C160" s="10" t="s">
        <v>1373</v>
      </c>
      <c r="D160" s="1">
        <v>292</v>
      </c>
      <c r="E160" s="30">
        <v>3000</v>
      </c>
      <c r="F160" s="1">
        <v>255</v>
      </c>
      <c r="G160" s="1">
        <v>2</v>
      </c>
      <c r="H160" s="1">
        <v>30000</v>
      </c>
      <c r="I160" s="1">
        <v>36000</v>
      </c>
      <c r="J160" s="1">
        <v>0.75</v>
      </c>
      <c r="K160" s="1">
        <v>1.95</v>
      </c>
      <c r="L160" s="1">
        <v>21000</v>
      </c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>
        <v>43496</v>
      </c>
      <c r="C161" s="10" t="s">
        <v>1373</v>
      </c>
      <c r="D161" s="1">
        <v>292</v>
      </c>
      <c r="E161" s="30">
        <v>3000</v>
      </c>
      <c r="F161" s="1">
        <v>260</v>
      </c>
      <c r="G161" s="1">
        <v>2</v>
      </c>
      <c r="H161" s="1">
        <v>195000</v>
      </c>
      <c r="I161" s="1">
        <v>3000</v>
      </c>
      <c r="J161" s="1">
        <v>1.85</v>
      </c>
      <c r="K161" s="1">
        <v>2.2000000000000002</v>
      </c>
      <c r="L161" s="1">
        <v>3000</v>
      </c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>
        <v>43496</v>
      </c>
      <c r="C162" s="10" t="s">
        <v>1373</v>
      </c>
      <c r="D162" s="1">
        <v>292</v>
      </c>
      <c r="E162" s="30">
        <v>3000</v>
      </c>
      <c r="F162" s="1">
        <v>265</v>
      </c>
      <c r="G162" s="1">
        <v>1.05</v>
      </c>
      <c r="H162" s="1">
        <v>12000</v>
      </c>
      <c r="I162" s="1">
        <v>18000</v>
      </c>
      <c r="J162" s="1">
        <v>2.2999999999999998</v>
      </c>
      <c r="K162" s="1">
        <v>2.95</v>
      </c>
      <c r="L162" s="1">
        <v>3000</v>
      </c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>
        <v>43496</v>
      </c>
      <c r="C163" s="10" t="s">
        <v>1373</v>
      </c>
      <c r="D163" s="1">
        <v>292</v>
      </c>
      <c r="E163" s="30">
        <v>3000</v>
      </c>
      <c r="F163" s="1">
        <v>270</v>
      </c>
      <c r="G163" s="1">
        <v>3.4</v>
      </c>
      <c r="H163" s="1">
        <v>147000</v>
      </c>
      <c r="I163" s="1">
        <v>18000</v>
      </c>
      <c r="J163" s="1">
        <v>3.1</v>
      </c>
      <c r="K163" s="1">
        <v>3.4</v>
      </c>
      <c r="L163" s="1">
        <v>3000</v>
      </c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>
        <v>43524</v>
      </c>
      <c r="C164" s="10" t="s">
        <v>1373</v>
      </c>
      <c r="D164" s="1">
        <v>292</v>
      </c>
      <c r="E164" s="30">
        <v>3000</v>
      </c>
      <c r="F164" s="1">
        <v>255</v>
      </c>
      <c r="G164" s="1">
        <v>2.9</v>
      </c>
      <c r="H164" s="1">
        <v>3000</v>
      </c>
      <c r="I164" s="1">
        <v>54000</v>
      </c>
      <c r="J164" s="1">
        <v>2.95</v>
      </c>
      <c r="K164" s="1">
        <v>5</v>
      </c>
      <c r="L164" s="1">
        <v>3000</v>
      </c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>
        <v>43496</v>
      </c>
      <c r="C165" s="10" t="s">
        <v>1441</v>
      </c>
      <c r="D165" s="1">
        <v>994</v>
      </c>
      <c r="E165" s="30">
        <v>550</v>
      </c>
      <c r="F165" s="1">
        <v>860</v>
      </c>
      <c r="G165" s="1">
        <v>6</v>
      </c>
      <c r="H165" s="1">
        <v>1100</v>
      </c>
      <c r="I165" s="1">
        <v>7700</v>
      </c>
      <c r="J165" s="1">
        <v>2.7</v>
      </c>
      <c r="K165" s="1">
        <v>8.65</v>
      </c>
      <c r="L165" s="1">
        <v>6600</v>
      </c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>
        <v>43496</v>
      </c>
      <c r="C166" s="10" t="s">
        <v>1441</v>
      </c>
      <c r="D166" s="1">
        <v>994</v>
      </c>
      <c r="E166" s="30">
        <v>550</v>
      </c>
      <c r="F166" s="1">
        <v>900</v>
      </c>
      <c r="G166" s="1">
        <v>12</v>
      </c>
      <c r="H166" s="1">
        <v>1650</v>
      </c>
      <c r="I166" s="1">
        <v>7700</v>
      </c>
      <c r="J166" s="1">
        <v>7.75</v>
      </c>
      <c r="K166" s="1">
        <v>13</v>
      </c>
      <c r="L166" s="1">
        <v>1100</v>
      </c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>
        <v>43496</v>
      </c>
      <c r="C167" s="10" t="s">
        <v>1482</v>
      </c>
      <c r="D167" s="1">
        <v>15.45</v>
      </c>
      <c r="E167" s="30">
        <v>33141</v>
      </c>
      <c r="F167" s="1">
        <v>14</v>
      </c>
      <c r="G167" s="1">
        <v>0.3</v>
      </c>
      <c r="H167" s="1">
        <v>132564</v>
      </c>
      <c r="I167" s="1">
        <v>165705</v>
      </c>
      <c r="J167" s="1">
        <v>0.25</v>
      </c>
      <c r="K167" s="1">
        <v>0.35</v>
      </c>
      <c r="L167" s="1">
        <v>66282</v>
      </c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>
        <v>43496</v>
      </c>
      <c r="C168" s="10" t="s">
        <v>1503</v>
      </c>
      <c r="D168" s="1">
        <v>1200.3</v>
      </c>
      <c r="E168" s="30">
        <v>600</v>
      </c>
      <c r="F168" s="1">
        <v>1050</v>
      </c>
      <c r="G168" s="1">
        <v>15</v>
      </c>
      <c r="H168" s="1">
        <v>1800</v>
      </c>
      <c r="I168" s="1">
        <v>9600</v>
      </c>
      <c r="J168" s="1">
        <v>9.6999999999999993</v>
      </c>
      <c r="K168" s="1">
        <v>17.149999999999999</v>
      </c>
      <c r="L168" s="1">
        <v>9600</v>
      </c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>
        <v>43496</v>
      </c>
      <c r="C169" s="10" t="s">
        <v>1503</v>
      </c>
      <c r="D169" s="1">
        <v>1200.3</v>
      </c>
      <c r="E169" s="30">
        <v>600</v>
      </c>
      <c r="F169" s="1">
        <v>1100</v>
      </c>
      <c r="G169" s="1">
        <v>24.1</v>
      </c>
      <c r="H169" s="1">
        <v>1800</v>
      </c>
      <c r="I169" s="1">
        <v>8400</v>
      </c>
      <c r="J169" s="1">
        <v>21.55</v>
      </c>
      <c r="K169" s="1">
        <v>26.1</v>
      </c>
      <c r="L169" s="1">
        <v>2400</v>
      </c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>
        <v>43496</v>
      </c>
      <c r="C170" s="10" t="s">
        <v>1507</v>
      </c>
      <c r="D170" s="1">
        <v>459</v>
      </c>
      <c r="E170" s="30">
        <v>800</v>
      </c>
      <c r="F170" s="1">
        <v>400</v>
      </c>
      <c r="G170" s="1">
        <v>5</v>
      </c>
      <c r="H170" s="1">
        <v>3300</v>
      </c>
      <c r="I170" s="1">
        <v>15400</v>
      </c>
      <c r="J170" s="1">
        <v>4.3</v>
      </c>
      <c r="K170" s="1">
        <v>6.75</v>
      </c>
      <c r="L170" s="1">
        <v>7700</v>
      </c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>
        <v>43496</v>
      </c>
      <c r="C171" s="10" t="s">
        <v>1554</v>
      </c>
      <c r="D171" s="1">
        <v>37.6</v>
      </c>
      <c r="E171" s="30">
        <v>15000</v>
      </c>
      <c r="F171" s="1">
        <v>33</v>
      </c>
      <c r="G171" s="1">
        <v>0.75</v>
      </c>
      <c r="H171" s="1">
        <v>30000</v>
      </c>
      <c r="I171" s="1">
        <v>45000</v>
      </c>
      <c r="J171" s="1">
        <v>0.6</v>
      </c>
      <c r="K171" s="1">
        <v>0.8</v>
      </c>
      <c r="L171" s="1">
        <v>75000</v>
      </c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>
        <v>43496</v>
      </c>
      <c r="C172" s="10" t="s">
        <v>1554</v>
      </c>
      <c r="D172" s="1">
        <v>37.6</v>
      </c>
      <c r="E172" s="30">
        <v>15000</v>
      </c>
      <c r="F172" s="1">
        <v>34</v>
      </c>
      <c r="G172" s="1">
        <v>0.95</v>
      </c>
      <c r="H172" s="1">
        <v>315000</v>
      </c>
      <c r="I172" s="1">
        <v>30000</v>
      </c>
      <c r="J172" s="1">
        <v>0.85</v>
      </c>
      <c r="K172" s="1">
        <v>1.05</v>
      </c>
      <c r="L172" s="1">
        <v>60000</v>
      </c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>
        <v>43496</v>
      </c>
      <c r="C173" s="10" t="s">
        <v>1572</v>
      </c>
      <c r="D173" s="1">
        <v>997.6</v>
      </c>
      <c r="E173" s="30">
        <v>400</v>
      </c>
      <c r="F173" s="1">
        <v>900</v>
      </c>
      <c r="G173" s="1">
        <v>15.5</v>
      </c>
      <c r="H173" s="1">
        <v>3200</v>
      </c>
      <c r="I173" s="1">
        <v>4000</v>
      </c>
      <c r="J173" s="1">
        <v>14.25</v>
      </c>
      <c r="K173" s="1">
        <v>20.3</v>
      </c>
      <c r="L173" s="1">
        <v>2400</v>
      </c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>
        <v>43496</v>
      </c>
      <c r="C174" s="10" t="s">
        <v>1576</v>
      </c>
      <c r="D174" s="1">
        <v>175.5</v>
      </c>
      <c r="E174" s="30">
        <v>2000</v>
      </c>
      <c r="F174" s="1">
        <v>145</v>
      </c>
      <c r="G174" s="1">
        <v>2.2000000000000002</v>
      </c>
      <c r="H174" s="1">
        <v>4000</v>
      </c>
      <c r="I174" s="1">
        <v>2000</v>
      </c>
      <c r="J174" s="1">
        <v>0.85</v>
      </c>
      <c r="K174" s="1">
        <v>1.6</v>
      </c>
      <c r="L174" s="1">
        <v>4000</v>
      </c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>
        <v>43496</v>
      </c>
      <c r="C175" s="10" t="s">
        <v>1576</v>
      </c>
      <c r="D175" s="1">
        <v>175.5</v>
      </c>
      <c r="E175" s="30">
        <v>2000</v>
      </c>
      <c r="F175" s="1">
        <v>150</v>
      </c>
      <c r="G175" s="1">
        <v>1.35</v>
      </c>
      <c r="H175" s="1">
        <v>204000</v>
      </c>
      <c r="I175" s="1">
        <v>2000</v>
      </c>
      <c r="J175" s="1">
        <v>1.35</v>
      </c>
      <c r="K175" s="1">
        <v>1.5</v>
      </c>
      <c r="L175" s="1">
        <v>2000</v>
      </c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>
        <v>43496</v>
      </c>
      <c r="C176" s="10" t="s">
        <v>1576</v>
      </c>
      <c r="D176" s="1">
        <v>175.5</v>
      </c>
      <c r="E176" s="30">
        <v>2000</v>
      </c>
      <c r="F176" s="1">
        <v>155</v>
      </c>
      <c r="G176" s="1">
        <v>2.4</v>
      </c>
      <c r="H176" s="1">
        <v>34000</v>
      </c>
      <c r="I176" s="1">
        <v>2000</v>
      </c>
      <c r="J176" s="1">
        <v>1.95</v>
      </c>
      <c r="K176" s="1">
        <v>2.4500000000000002</v>
      </c>
      <c r="L176" s="1">
        <v>2000</v>
      </c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>
        <v>43496</v>
      </c>
      <c r="C177" s="10" t="s">
        <v>1576</v>
      </c>
      <c r="D177" s="1">
        <v>175.5</v>
      </c>
      <c r="E177" s="30">
        <v>2000</v>
      </c>
      <c r="F177" s="1">
        <v>160</v>
      </c>
      <c r="G177" s="1">
        <v>3.25</v>
      </c>
      <c r="H177" s="1">
        <v>308000</v>
      </c>
      <c r="I177" s="1">
        <v>10000</v>
      </c>
      <c r="J177" s="1">
        <v>3.25</v>
      </c>
      <c r="K177" s="1">
        <v>3.35</v>
      </c>
      <c r="L177" s="1">
        <v>2000</v>
      </c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>
        <v>43496</v>
      </c>
      <c r="C178" s="10" t="s">
        <v>1577</v>
      </c>
      <c r="D178" s="1">
        <v>95.8</v>
      </c>
      <c r="E178" s="30">
        <v>3800</v>
      </c>
      <c r="F178" s="1">
        <v>85</v>
      </c>
      <c r="G178" s="1">
        <v>1.3</v>
      </c>
      <c r="H178" s="1">
        <v>3800</v>
      </c>
      <c r="I178" s="1">
        <v>7600</v>
      </c>
      <c r="J178" s="1">
        <v>0.85</v>
      </c>
      <c r="K178" s="1">
        <v>1.45</v>
      </c>
      <c r="L178" s="1">
        <v>15200</v>
      </c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>
        <v>43496</v>
      </c>
      <c r="C179" s="10" t="s">
        <v>1577</v>
      </c>
      <c r="D179" s="1">
        <v>95.8</v>
      </c>
      <c r="E179" s="30">
        <v>3800</v>
      </c>
      <c r="F179" s="1">
        <v>87.5</v>
      </c>
      <c r="G179" s="1">
        <v>3.3</v>
      </c>
      <c r="H179" s="1">
        <v>3800</v>
      </c>
      <c r="I179" s="1">
        <v>38000</v>
      </c>
      <c r="J179" s="1">
        <v>1.1499999999999999</v>
      </c>
      <c r="K179" s="1">
        <v>1.9</v>
      </c>
      <c r="L179" s="1">
        <v>15200</v>
      </c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>
        <v>43496</v>
      </c>
      <c r="C180" s="10" t="s">
        <v>1577</v>
      </c>
      <c r="D180" s="1">
        <v>95.8</v>
      </c>
      <c r="E180" s="30">
        <v>3800</v>
      </c>
      <c r="F180" s="1">
        <v>90</v>
      </c>
      <c r="G180" s="1">
        <v>2.5</v>
      </c>
      <c r="H180" s="1">
        <v>3800</v>
      </c>
      <c r="I180" s="1">
        <v>7600</v>
      </c>
      <c r="J180" s="1">
        <v>1.9</v>
      </c>
      <c r="K180" s="1">
        <v>2.25</v>
      </c>
      <c r="L180" s="1">
        <v>3800</v>
      </c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>
        <v>43496</v>
      </c>
      <c r="C181" s="10" t="s">
        <v>1588</v>
      </c>
      <c r="D181" s="1">
        <v>1905</v>
      </c>
      <c r="E181" s="30">
        <v>250</v>
      </c>
      <c r="F181" s="1">
        <v>1700</v>
      </c>
      <c r="G181" s="1">
        <v>14</v>
      </c>
      <c r="H181" s="1">
        <v>1024250</v>
      </c>
      <c r="I181" s="1">
        <v>1000</v>
      </c>
      <c r="J181" s="1">
        <v>10.1</v>
      </c>
      <c r="K181" s="1">
        <v>14.7</v>
      </c>
      <c r="L181" s="1">
        <v>250</v>
      </c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>
        <v>43496</v>
      </c>
      <c r="C182" s="10" t="s">
        <v>23</v>
      </c>
      <c r="D182" s="1">
        <v>696.7</v>
      </c>
      <c r="E182" s="30">
        <v>1200</v>
      </c>
      <c r="F182" s="1">
        <v>600</v>
      </c>
      <c r="G182" s="1">
        <v>2.2000000000000002</v>
      </c>
      <c r="H182" s="1">
        <v>6000</v>
      </c>
      <c r="I182" s="1">
        <v>9600</v>
      </c>
      <c r="J182" s="1">
        <v>1.05</v>
      </c>
      <c r="K182" s="1">
        <v>4</v>
      </c>
      <c r="L182" s="1">
        <v>1200</v>
      </c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>
        <v>43496</v>
      </c>
      <c r="C183" s="10" t="s">
        <v>1654</v>
      </c>
      <c r="D183" s="1">
        <v>1350.05</v>
      </c>
      <c r="E183" s="30">
        <v>700</v>
      </c>
      <c r="F183" s="1">
        <v>1200</v>
      </c>
      <c r="G183" s="1">
        <v>13</v>
      </c>
      <c r="H183" s="1">
        <v>1400</v>
      </c>
      <c r="I183" s="1">
        <v>1400</v>
      </c>
      <c r="J183" s="1">
        <v>15.75</v>
      </c>
      <c r="K183" s="1">
        <v>22.35</v>
      </c>
      <c r="L183" s="1">
        <v>9800</v>
      </c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>
        <v>43496</v>
      </c>
      <c r="C184" s="10" t="s">
        <v>1668</v>
      </c>
      <c r="D184" s="1">
        <v>82.4</v>
      </c>
      <c r="E184" s="30">
        <v>7000</v>
      </c>
      <c r="F184" s="1">
        <v>70</v>
      </c>
      <c r="G184" s="1">
        <v>1</v>
      </c>
      <c r="H184" s="1">
        <v>21000</v>
      </c>
      <c r="I184" s="1">
        <v>21000</v>
      </c>
      <c r="J184" s="1">
        <v>0.75</v>
      </c>
      <c r="K184" s="1">
        <v>0.9</v>
      </c>
      <c r="L184" s="1">
        <v>21000</v>
      </c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>
        <v>43496</v>
      </c>
      <c r="C185" s="10" t="s">
        <v>1668</v>
      </c>
      <c r="D185" s="1">
        <v>82.4</v>
      </c>
      <c r="E185" s="30">
        <v>7000</v>
      </c>
      <c r="F185" s="1">
        <v>75</v>
      </c>
      <c r="G185" s="1">
        <v>1.95</v>
      </c>
      <c r="H185" s="1">
        <v>42000</v>
      </c>
      <c r="I185" s="1">
        <v>14000</v>
      </c>
      <c r="J185" s="1">
        <v>1.7</v>
      </c>
      <c r="K185" s="1">
        <v>2.0499999999999998</v>
      </c>
      <c r="L185" s="1">
        <v>35000</v>
      </c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>
        <v>43496</v>
      </c>
      <c r="C186" s="10" t="s">
        <v>1726</v>
      </c>
      <c r="D186" s="1">
        <v>571.1</v>
      </c>
      <c r="E186" s="30">
        <v>1000</v>
      </c>
      <c r="F186" s="1">
        <v>500</v>
      </c>
      <c r="G186" s="1">
        <v>7</v>
      </c>
      <c r="H186" s="1">
        <v>4000</v>
      </c>
      <c r="I186" s="1">
        <v>12000</v>
      </c>
      <c r="J186" s="1">
        <v>2.7</v>
      </c>
      <c r="K186" s="1">
        <v>5.8</v>
      </c>
      <c r="L186" s="1">
        <v>10000</v>
      </c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>
        <v>43496</v>
      </c>
      <c r="C187" s="10" t="s">
        <v>1750</v>
      </c>
      <c r="D187" s="1">
        <v>505.7</v>
      </c>
      <c r="E187" s="30">
        <v>900</v>
      </c>
      <c r="F187" s="1">
        <v>440</v>
      </c>
      <c r="G187" s="1">
        <v>6</v>
      </c>
      <c r="H187" s="1">
        <v>900</v>
      </c>
      <c r="I187" s="1">
        <v>1800</v>
      </c>
      <c r="J187" s="1">
        <v>7.6</v>
      </c>
      <c r="K187" s="1">
        <v>10.199999999999999</v>
      </c>
      <c r="L187" s="1">
        <v>12600</v>
      </c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>
        <v>43496</v>
      </c>
      <c r="C188" s="10" t="s">
        <v>1757</v>
      </c>
      <c r="D188" s="1">
        <v>183.15</v>
      </c>
      <c r="E188" s="30">
        <v>1750</v>
      </c>
      <c r="F188" s="1">
        <v>145</v>
      </c>
      <c r="G188" s="1">
        <v>3</v>
      </c>
      <c r="H188" s="1">
        <v>15750</v>
      </c>
      <c r="I188" s="1">
        <v>12250</v>
      </c>
      <c r="J188" s="1">
        <v>2.8</v>
      </c>
      <c r="K188" s="1">
        <v>3.25</v>
      </c>
      <c r="L188" s="1">
        <v>1750</v>
      </c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>
        <v>43496</v>
      </c>
      <c r="C189" s="10" t="s">
        <v>1757</v>
      </c>
      <c r="D189" s="1">
        <v>183.15</v>
      </c>
      <c r="E189" s="30">
        <v>1750</v>
      </c>
      <c r="F189" s="1">
        <v>150</v>
      </c>
      <c r="G189" s="1">
        <v>3.9</v>
      </c>
      <c r="H189" s="1">
        <v>388500</v>
      </c>
      <c r="I189" s="1">
        <v>1750</v>
      </c>
      <c r="J189" s="1">
        <v>3.7</v>
      </c>
      <c r="K189" s="1">
        <v>4.2</v>
      </c>
      <c r="L189" s="1">
        <v>5250</v>
      </c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>
        <v>43496</v>
      </c>
      <c r="C190" s="10" t="s">
        <v>1757</v>
      </c>
      <c r="D190" s="1">
        <v>183.15</v>
      </c>
      <c r="E190" s="30">
        <v>1750</v>
      </c>
      <c r="F190" s="1">
        <v>155</v>
      </c>
      <c r="G190" s="1">
        <v>4.3</v>
      </c>
      <c r="H190" s="1">
        <v>5250</v>
      </c>
      <c r="I190" s="1">
        <v>3500</v>
      </c>
      <c r="J190" s="1">
        <v>4.6500000000000004</v>
      </c>
      <c r="K190" s="1">
        <v>5.25</v>
      </c>
      <c r="L190" s="1">
        <v>1750</v>
      </c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>
        <v>43496</v>
      </c>
      <c r="C191" s="10" t="s">
        <v>1757</v>
      </c>
      <c r="D191" s="1">
        <v>183.15</v>
      </c>
      <c r="E191" s="30">
        <v>1750</v>
      </c>
      <c r="F191" s="1">
        <v>160</v>
      </c>
      <c r="G191" s="1">
        <v>6.7</v>
      </c>
      <c r="H191" s="1">
        <v>603750</v>
      </c>
      <c r="I191" s="1">
        <v>3500</v>
      </c>
      <c r="J191" s="1">
        <v>6</v>
      </c>
      <c r="K191" s="1">
        <v>6.9</v>
      </c>
      <c r="L191" s="1">
        <v>1750</v>
      </c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>
        <v>43496</v>
      </c>
      <c r="C192" s="10" t="s">
        <v>1757</v>
      </c>
      <c r="D192" s="1">
        <v>183.15</v>
      </c>
      <c r="E192" s="30">
        <v>1750</v>
      </c>
      <c r="F192" s="1">
        <v>165</v>
      </c>
      <c r="G192" s="1">
        <v>7.8</v>
      </c>
      <c r="H192" s="1">
        <v>80500</v>
      </c>
      <c r="I192" s="1">
        <v>7000</v>
      </c>
      <c r="J192" s="1">
        <v>7.55</v>
      </c>
      <c r="K192" s="1">
        <v>8.5</v>
      </c>
      <c r="L192" s="1">
        <v>1750</v>
      </c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>
        <v>43496</v>
      </c>
      <c r="C193" s="10" t="s">
        <v>1757</v>
      </c>
      <c r="D193" s="1">
        <v>183.15</v>
      </c>
      <c r="E193" s="30">
        <v>1750</v>
      </c>
      <c r="F193" s="1">
        <v>170</v>
      </c>
      <c r="G193" s="1">
        <v>9.9499999999999993</v>
      </c>
      <c r="H193" s="1">
        <v>411250</v>
      </c>
      <c r="I193" s="1">
        <v>10500</v>
      </c>
      <c r="J193" s="1">
        <v>9.75</v>
      </c>
      <c r="K193" s="1">
        <v>10.4</v>
      </c>
      <c r="L193" s="1">
        <v>1750</v>
      </c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>
        <v>43496</v>
      </c>
      <c r="C194" s="10" t="s">
        <v>1758</v>
      </c>
      <c r="D194" s="1">
        <v>446.05</v>
      </c>
      <c r="E194" s="30">
        <v>1300</v>
      </c>
      <c r="F194" s="1">
        <v>400</v>
      </c>
      <c r="G194" s="1">
        <v>5.35</v>
      </c>
      <c r="H194" s="1">
        <v>19500</v>
      </c>
      <c r="I194" s="1">
        <v>5200</v>
      </c>
      <c r="J194" s="1">
        <v>2.5</v>
      </c>
      <c r="K194" s="1">
        <v>5.35</v>
      </c>
      <c r="L194" s="1">
        <v>3900</v>
      </c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>
        <v>43496</v>
      </c>
      <c r="C195" s="10" t="s">
        <v>1758</v>
      </c>
      <c r="D195" s="1">
        <v>446.05</v>
      </c>
      <c r="E195" s="30">
        <v>1300</v>
      </c>
      <c r="F195" s="1">
        <v>410</v>
      </c>
      <c r="G195" s="1">
        <v>4.5</v>
      </c>
      <c r="H195" s="1">
        <v>2600</v>
      </c>
      <c r="I195" s="1">
        <v>7800</v>
      </c>
      <c r="J195" s="1">
        <v>4.9000000000000004</v>
      </c>
      <c r="K195" s="1">
        <v>7.6</v>
      </c>
      <c r="L195" s="1">
        <v>7800</v>
      </c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691"/>
  <sheetViews>
    <sheetView tabSelected="1" zoomScale="80" zoomScaleNormal="80" workbookViewId="0">
      <pane xSplit="4" ySplit="3" topLeftCell="S4" activePane="bottomRight" state="frozen"/>
      <selection pane="topRight" activeCell="E1" sqref="E1"/>
      <selection pane="bottomLeft" activeCell="A4" sqref="A4"/>
      <selection pane="bottomRight" activeCell="AQ3" sqref="AQ3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  <col min="37" max="37" width="12" bestFit="1" customWidth="1"/>
  </cols>
  <sheetData>
    <row r="1" spans="1:39" x14ac:dyDescent="0.25">
      <c r="A1" s="59"/>
      <c r="B1" s="68" t="s">
        <v>1853</v>
      </c>
      <c r="C1" s="68"/>
      <c r="D1" s="12"/>
      <c r="E1" s="12"/>
      <c r="F1" s="1" t="s">
        <v>1900</v>
      </c>
      <c r="G1" s="1" t="s">
        <v>1902</v>
      </c>
      <c r="H1" s="59" t="s">
        <v>1901</v>
      </c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  <c r="AG1" s="65" t="s">
        <v>1892</v>
      </c>
      <c r="AH1" s="65">
        <f ca="1">VLOOKUP(AG2,$A:$N,4,0)</f>
        <v>144.30000000000001</v>
      </c>
      <c r="AI1" s="65">
        <f ca="1">VLOOKUP(AG2,$A:$N,7,0)</f>
        <v>4</v>
      </c>
      <c r="AJ1" s="65">
        <f ca="1">VLOOKUP(AG2,$A:$N,9,0)</f>
        <v>3.25</v>
      </c>
      <c r="AK1" s="65">
        <f ca="1">VLOOKUP(AG2,$A:$N,5,0)</f>
        <v>2700</v>
      </c>
    </row>
    <row r="2" spans="1:39" x14ac:dyDescent="0.25">
      <c r="A2" s="40"/>
      <c r="B2" s="69"/>
      <c r="C2" s="69"/>
      <c r="D2" s="31"/>
      <c r="E2" s="31"/>
      <c r="F2" s="31" t="s">
        <v>1899</v>
      </c>
      <c r="G2" s="31" t="b">
        <v>1</v>
      </c>
      <c r="H2" s="31" t="b">
        <v>0</v>
      </c>
      <c r="I2" s="64"/>
      <c r="J2" s="31"/>
      <c r="K2" s="31"/>
      <c r="L2" s="31"/>
      <c r="M2" s="31"/>
      <c r="N2" s="31"/>
      <c r="O2" s="5"/>
      <c r="P2" s="4"/>
      <c r="Q2" s="1"/>
      <c r="R2" s="1"/>
      <c r="S2" s="1"/>
      <c r="T2" s="70" t="s">
        <v>1851</v>
      </c>
      <c r="U2" s="72"/>
      <c r="V2" s="70" t="s">
        <v>1849</v>
      </c>
      <c r="W2" s="71"/>
      <c r="X2" s="71"/>
      <c r="Y2" s="72"/>
      <c r="Z2" s="70" t="s">
        <v>1850</v>
      </c>
      <c r="AA2" s="71"/>
      <c r="AB2" s="71"/>
      <c r="AC2" s="72"/>
      <c r="AD2" s="1"/>
      <c r="AE2" s="1"/>
      <c r="AG2" s="66">
        <v>18</v>
      </c>
      <c r="AH2" s="65">
        <f ca="1">(AJ2-AI2)/50</f>
        <v>0.05</v>
      </c>
      <c r="AI2" s="65">
        <f ca="1">VLOOKUP(AG2,$A:$N,6,0)</f>
        <v>150</v>
      </c>
      <c r="AJ2" s="65">
        <f ca="1">VLOOKUP(AG2,$A:$N,8,0)</f>
        <v>152.5</v>
      </c>
      <c r="AK2" s="65"/>
      <c r="AM2" s="11"/>
    </row>
    <row r="3" spans="1:39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1897</v>
      </c>
      <c r="G3" s="19" t="s">
        <v>1898</v>
      </c>
      <c r="H3" s="19" t="s">
        <v>1837</v>
      </c>
      <c r="I3" s="19" t="s">
        <v>1810</v>
      </c>
      <c r="J3" s="19" t="s">
        <v>1807</v>
      </c>
      <c r="K3" s="19" t="s">
        <v>1811</v>
      </c>
      <c r="L3" s="19" t="s">
        <v>1812</v>
      </c>
      <c r="M3" s="19" t="s">
        <v>1813</v>
      </c>
      <c r="N3" s="19" t="s">
        <v>1814</v>
      </c>
      <c r="O3" s="5"/>
      <c r="P3" s="19" t="s">
        <v>1826</v>
      </c>
      <c r="Q3" s="19" t="s">
        <v>1827</v>
      </c>
      <c r="R3" s="19" t="s">
        <v>1854</v>
      </c>
      <c r="S3" s="19" t="s">
        <v>1855</v>
      </c>
      <c r="T3" s="37" t="s">
        <v>1824</v>
      </c>
      <c r="U3" s="38" t="s">
        <v>1829</v>
      </c>
      <c r="V3" s="37" t="s">
        <v>1831</v>
      </c>
      <c r="W3" s="19" t="s">
        <v>1825</v>
      </c>
      <c r="X3" s="19" t="s">
        <v>1830</v>
      </c>
      <c r="Y3" s="38" t="s">
        <v>1832</v>
      </c>
      <c r="Z3" s="37" t="s">
        <v>1847</v>
      </c>
      <c r="AA3" s="19" t="s">
        <v>1848</v>
      </c>
      <c r="AB3" s="19" t="s">
        <v>1830</v>
      </c>
      <c r="AC3" s="38" t="s">
        <v>1832</v>
      </c>
      <c r="AD3" s="1"/>
      <c r="AE3" s="1"/>
      <c r="AG3" s="65"/>
      <c r="AH3" s="66" t="s">
        <v>1888</v>
      </c>
      <c r="AI3" s="65" t="s">
        <v>1889</v>
      </c>
      <c r="AJ3" s="65" t="s">
        <v>1890</v>
      </c>
      <c r="AK3" s="65" t="s">
        <v>1891</v>
      </c>
    </row>
    <row r="4" spans="1:39" x14ac:dyDescent="0.25">
      <c r="A4" s="1">
        <v>1</v>
      </c>
      <c r="B4" s="25">
        <v>44007</v>
      </c>
      <c r="C4" s="10" t="s">
        <v>204</v>
      </c>
      <c r="D4" s="1">
        <v>46.35</v>
      </c>
      <c r="E4" s="30">
        <v>5400</v>
      </c>
      <c r="F4" s="1">
        <v>50</v>
      </c>
      <c r="G4" s="1">
        <v>2.2999999999999998</v>
      </c>
      <c r="H4" s="1">
        <v>51</v>
      </c>
      <c r="I4" s="1">
        <v>2</v>
      </c>
      <c r="J4" s="1">
        <v>27000</v>
      </c>
      <c r="K4" s="1">
        <v>10800</v>
      </c>
      <c r="L4" s="1">
        <v>2</v>
      </c>
      <c r="M4" s="1">
        <v>2.1</v>
      </c>
      <c r="N4" s="1">
        <v>10800</v>
      </c>
      <c r="O4" s="9"/>
      <c r="P4" s="7">
        <f ca="1">($G4-$I4)/($H4-$F4)</f>
        <v>0.29999999999999982</v>
      </c>
      <c r="Q4" s="7">
        <f ca="1">P4/($B4-TODAY())</f>
        <v>1.4999999999999991E-2</v>
      </c>
      <c r="R4" s="33">
        <f t="shared" ref="R4:R67" ca="1" si="0">$E4*($G4-$I4)</f>
        <v>1619.9999999999991</v>
      </c>
      <c r="S4" s="33">
        <f t="shared" ref="S4:S67" ca="1" si="1">-(($H4-$F4)*$E4-$R4)</f>
        <v>-3780.0000000000009</v>
      </c>
      <c r="T4" s="33">
        <f ca="1">R4</f>
        <v>1619.9999999999991</v>
      </c>
      <c r="U4" s="7">
        <f t="shared" ref="U4:U67" ca="1" si="2">ABS($T4/$S4)</f>
        <v>0.42857142857142821</v>
      </c>
      <c r="V4" s="7">
        <f t="shared" ref="V4:V67" ca="1" si="3">mrigxl_max_drawdown($C4,INT($B4-TODAY()))</f>
        <v>-0.46402817714027689</v>
      </c>
      <c r="W4" s="33">
        <f ca="1">-(MAX(($F4-MAX($D4*(1+V4),$H4)),0)*$E4-$R4)</f>
        <v>1619.9999999999991</v>
      </c>
      <c r="X4" s="7">
        <f ca="1">W4/$R4</f>
        <v>1</v>
      </c>
      <c r="Y4" s="7">
        <f ca="1">$U4+X4</f>
        <v>1.4285714285714282</v>
      </c>
      <c r="Z4" s="7">
        <f t="shared" ref="Z4:Z67" ca="1" si="4">mrigxl_avg_drawdown($C4,INT($B4-TODAY()))</f>
        <v>-0.14818387405083494</v>
      </c>
      <c r="AA4" s="33">
        <f ca="1">-(MAX(($F4-MAX($D4*(1+Z4),$H4)),0)*$E4-$R4)</f>
        <v>1619.9999999999991</v>
      </c>
      <c r="AB4" s="7">
        <f ca="1">AA4/$R4</f>
        <v>1</v>
      </c>
      <c r="AC4" s="7">
        <f ca="1">$U4+AB4</f>
        <v>1.4285714285714282</v>
      </c>
      <c r="AD4" s="40"/>
      <c r="AE4" s="40"/>
      <c r="AF4" s="34"/>
      <c r="AH4" s="34"/>
    </row>
    <row r="5" spans="1:39" x14ac:dyDescent="0.25">
      <c r="A5" s="1">
        <v>2</v>
      </c>
      <c r="B5" s="25">
        <v>44007</v>
      </c>
      <c r="C5" s="10" t="s">
        <v>204</v>
      </c>
      <c r="D5" s="1">
        <v>46.35</v>
      </c>
      <c r="E5" s="30">
        <v>5400</v>
      </c>
      <c r="F5" s="1">
        <v>50</v>
      </c>
      <c r="G5" s="1">
        <v>2.2999999999999998</v>
      </c>
      <c r="H5" s="1">
        <v>52.5</v>
      </c>
      <c r="I5" s="1">
        <v>1.7</v>
      </c>
      <c r="J5" s="1">
        <v>394200</v>
      </c>
      <c r="K5" s="1">
        <v>21600</v>
      </c>
      <c r="L5" s="1">
        <v>1.65</v>
      </c>
      <c r="M5" s="1">
        <v>1.75</v>
      </c>
      <c r="N5" s="1">
        <v>32400</v>
      </c>
      <c r="O5" s="9"/>
      <c r="P5" s="7">
        <f t="shared" ref="P5:P68" ca="1" si="5">($G5-$I5)/($H5-$F5)</f>
        <v>0.23999999999999994</v>
      </c>
      <c r="Q5" s="7">
        <f t="shared" ref="Q5:Q39" ca="1" si="6">P5/($B5-TODAY())</f>
        <v>1.1999999999999997E-2</v>
      </c>
      <c r="R5" s="33">
        <f t="shared" ca="1" si="0"/>
        <v>3239.9999999999991</v>
      </c>
      <c r="S5" s="33">
        <f t="shared" ca="1" si="1"/>
        <v>-10260</v>
      </c>
      <c r="T5" s="33">
        <f t="shared" ref="T5:T39" ca="1" si="7">R5</f>
        <v>3239.9999999999991</v>
      </c>
      <c r="U5" s="7">
        <f t="shared" ca="1" si="2"/>
        <v>0.31578947368421045</v>
      </c>
      <c r="V5" s="7">
        <f t="shared" ca="1" si="3"/>
        <v>-0.46402817714027689</v>
      </c>
      <c r="W5" s="33">
        <f t="shared" ref="W5:W39" ca="1" si="8">-(MAX(($F5-MAX($D5*(1+V5),$H5)),0)*$E5-$R5)</f>
        <v>3239.9999999999991</v>
      </c>
      <c r="X5" s="7">
        <f t="shared" ref="X5:X39" ca="1" si="9">W5/$R5</f>
        <v>1</v>
      </c>
      <c r="Y5" s="7">
        <f t="shared" ref="Y5:Y39" ca="1" si="10">$U5+X5</f>
        <v>1.3157894736842104</v>
      </c>
      <c r="Z5" s="7">
        <f t="shared" ca="1" si="4"/>
        <v>-0.14818387405083494</v>
      </c>
      <c r="AA5" s="33">
        <f t="shared" ref="AA5:AA39" ca="1" si="11">-(MAX(($F5-MAX($D5*(1+Z5),$H5)),0)*$E5-$R5)</f>
        <v>3239.9999999999991</v>
      </c>
      <c r="AB5" s="7">
        <f t="shared" ref="AB5:AB39" ca="1" si="12">AA5/$R5</f>
        <v>1</v>
      </c>
      <c r="AC5" s="7">
        <f t="shared" ref="AC5:AC39" ca="1" si="13">$U5+AB5</f>
        <v>1.3157894736842104</v>
      </c>
      <c r="AD5" s="40"/>
      <c r="AE5" s="40"/>
      <c r="AF5" s="34"/>
    </row>
    <row r="6" spans="1:39" x14ac:dyDescent="0.25">
      <c r="A6" s="1">
        <v>3</v>
      </c>
      <c r="B6" s="25">
        <v>44007</v>
      </c>
      <c r="C6" s="10" t="s">
        <v>204</v>
      </c>
      <c r="D6" s="1">
        <v>46.35</v>
      </c>
      <c r="E6" s="30">
        <v>5400</v>
      </c>
      <c r="F6" s="1">
        <v>50</v>
      </c>
      <c r="G6" s="1">
        <v>2.2999999999999998</v>
      </c>
      <c r="H6" s="1">
        <v>55</v>
      </c>
      <c r="I6" s="1">
        <v>1.25</v>
      </c>
      <c r="J6" s="1">
        <v>1225800</v>
      </c>
      <c r="K6" s="1">
        <v>21600</v>
      </c>
      <c r="L6" s="1">
        <v>1.25</v>
      </c>
      <c r="M6" s="1">
        <v>1.3</v>
      </c>
      <c r="N6" s="1">
        <v>64800</v>
      </c>
      <c r="O6" s="9"/>
      <c r="P6" s="7">
        <f t="shared" ca="1" si="5"/>
        <v>0.20999999999999996</v>
      </c>
      <c r="Q6" s="7">
        <f t="shared" ca="1" si="6"/>
        <v>1.0499999999999999E-2</v>
      </c>
      <c r="R6" s="33">
        <f t="shared" ca="1" si="0"/>
        <v>5669.9999999999991</v>
      </c>
      <c r="S6" s="33">
        <f t="shared" ca="1" si="1"/>
        <v>-21330</v>
      </c>
      <c r="T6" s="33">
        <f t="shared" ca="1" si="7"/>
        <v>5669.9999999999991</v>
      </c>
      <c r="U6" s="7">
        <f ca="1">ABS($T6/$S6)</f>
        <v>0.26582278481012656</v>
      </c>
      <c r="V6" s="7">
        <f t="shared" ca="1" si="3"/>
        <v>-0.46402817714027689</v>
      </c>
      <c r="W6" s="33">
        <f t="shared" ca="1" si="8"/>
        <v>5669.9999999999991</v>
      </c>
      <c r="X6" s="7">
        <f t="shared" ca="1" si="9"/>
        <v>1</v>
      </c>
      <c r="Y6" s="7">
        <f t="shared" ca="1" si="10"/>
        <v>1.2658227848101267</v>
      </c>
      <c r="Z6" s="7">
        <f t="shared" ca="1" si="4"/>
        <v>-0.14818387405083494</v>
      </c>
      <c r="AA6" s="33">
        <f t="shared" ca="1" si="11"/>
        <v>5669.9999999999991</v>
      </c>
      <c r="AB6" s="7">
        <f t="shared" ca="1" si="12"/>
        <v>1</v>
      </c>
      <c r="AC6" s="7">
        <f t="shared" ca="1" si="13"/>
        <v>1.2658227848101267</v>
      </c>
      <c r="AD6" s="40"/>
      <c r="AE6" s="40"/>
      <c r="AF6" s="34"/>
    </row>
    <row r="7" spans="1:39" x14ac:dyDescent="0.25">
      <c r="A7" s="1">
        <v>4</v>
      </c>
      <c r="B7" s="25">
        <v>44007</v>
      </c>
      <c r="C7" s="10" t="s">
        <v>204</v>
      </c>
      <c r="D7" s="1">
        <v>46.35</v>
      </c>
      <c r="E7" s="30">
        <v>5400</v>
      </c>
      <c r="F7" s="1">
        <v>50</v>
      </c>
      <c r="G7" s="1">
        <v>2.2999999999999998</v>
      </c>
      <c r="H7" s="1">
        <v>57.5</v>
      </c>
      <c r="I7" s="1">
        <v>0.95</v>
      </c>
      <c r="J7" s="1">
        <v>54000</v>
      </c>
      <c r="K7" s="1">
        <v>10800</v>
      </c>
      <c r="L7" s="1">
        <v>0.9</v>
      </c>
      <c r="M7" s="1">
        <v>1</v>
      </c>
      <c r="N7" s="1">
        <v>27000</v>
      </c>
      <c r="O7" s="9"/>
      <c r="P7" s="7">
        <f t="shared" ca="1" si="5"/>
        <v>0.18</v>
      </c>
      <c r="Q7" s="7">
        <f t="shared" ca="1" si="6"/>
        <v>8.9999999999999993E-3</v>
      </c>
      <c r="R7" s="33">
        <f t="shared" ca="1" si="0"/>
        <v>7289.9999999999991</v>
      </c>
      <c r="S7" s="33">
        <f t="shared" ca="1" si="1"/>
        <v>-33210</v>
      </c>
      <c r="T7" s="33">
        <f t="shared" ca="1" si="7"/>
        <v>7289.9999999999991</v>
      </c>
      <c r="U7" s="7">
        <f t="shared" ca="1" si="2"/>
        <v>0.21951219512195119</v>
      </c>
      <c r="V7" s="7">
        <f t="shared" ca="1" si="3"/>
        <v>-0.46402817714027689</v>
      </c>
      <c r="W7" s="33">
        <f t="shared" ca="1" si="8"/>
        <v>7289.9999999999991</v>
      </c>
      <c r="X7" s="7">
        <f t="shared" ca="1" si="9"/>
        <v>1</v>
      </c>
      <c r="Y7" s="7">
        <f t="shared" ca="1" si="10"/>
        <v>1.2195121951219512</v>
      </c>
      <c r="Z7" s="7">
        <f t="shared" ca="1" si="4"/>
        <v>-0.14818387405083494</v>
      </c>
      <c r="AA7" s="33">
        <f t="shared" ca="1" si="11"/>
        <v>7289.9999999999991</v>
      </c>
      <c r="AB7" s="7">
        <f t="shared" ca="1" si="12"/>
        <v>1</v>
      </c>
      <c r="AC7" s="7">
        <f t="shared" ca="1" si="13"/>
        <v>1.2195121951219512</v>
      </c>
      <c r="AD7" s="40"/>
      <c r="AE7" s="40"/>
      <c r="AF7" s="34"/>
    </row>
    <row r="8" spans="1:39" x14ac:dyDescent="0.25">
      <c r="A8" s="1">
        <v>5</v>
      </c>
      <c r="B8" s="25">
        <v>44007</v>
      </c>
      <c r="C8" s="10" t="s">
        <v>204</v>
      </c>
      <c r="D8" s="1">
        <v>46.35</v>
      </c>
      <c r="E8" s="30">
        <v>5400</v>
      </c>
      <c r="F8" s="1">
        <v>50</v>
      </c>
      <c r="G8" s="1">
        <v>2.2999999999999998</v>
      </c>
      <c r="H8" s="1">
        <v>60</v>
      </c>
      <c r="I8" s="1">
        <v>0.7</v>
      </c>
      <c r="J8" s="1">
        <v>583200</v>
      </c>
      <c r="K8" s="1">
        <v>75600</v>
      </c>
      <c r="L8" s="1">
        <v>0.7</v>
      </c>
      <c r="M8" s="1">
        <v>0.75</v>
      </c>
      <c r="N8" s="1">
        <v>48600</v>
      </c>
      <c r="O8" s="9"/>
      <c r="P8" s="7">
        <f t="shared" ca="1" si="5"/>
        <v>0.15999999999999998</v>
      </c>
      <c r="Q8" s="7">
        <f t="shared" ca="1" si="6"/>
        <v>7.9999999999999984E-3</v>
      </c>
      <c r="R8" s="33">
        <f t="shared" ca="1" si="0"/>
        <v>8640</v>
      </c>
      <c r="S8" s="33">
        <f t="shared" ca="1" si="1"/>
        <v>-45360</v>
      </c>
      <c r="T8" s="33">
        <f t="shared" ca="1" si="7"/>
        <v>8640</v>
      </c>
      <c r="U8" s="7">
        <f t="shared" ca="1" si="2"/>
        <v>0.19047619047619047</v>
      </c>
      <c r="V8" s="7">
        <f t="shared" ca="1" si="3"/>
        <v>-0.46402817714027689</v>
      </c>
      <c r="W8" s="33">
        <f t="shared" ca="1" si="8"/>
        <v>8640</v>
      </c>
      <c r="X8" s="7">
        <f t="shared" ca="1" si="9"/>
        <v>1</v>
      </c>
      <c r="Y8" s="7">
        <f t="shared" ca="1" si="10"/>
        <v>1.1904761904761905</v>
      </c>
      <c r="Z8" s="7">
        <f t="shared" ca="1" si="4"/>
        <v>-0.14818387405083494</v>
      </c>
      <c r="AA8" s="33">
        <f t="shared" ca="1" si="11"/>
        <v>8640</v>
      </c>
      <c r="AB8" s="7">
        <f t="shared" ca="1" si="12"/>
        <v>1</v>
      </c>
      <c r="AC8" s="7">
        <f t="shared" ca="1" si="13"/>
        <v>1.1904761904761905</v>
      </c>
      <c r="AD8" s="40"/>
      <c r="AE8" s="40"/>
      <c r="AF8" s="34"/>
      <c r="AH8" s="65">
        <f ca="1">$AI$2-$AH$2*3</f>
        <v>149.85</v>
      </c>
      <c r="AI8" s="65">
        <f t="shared" ref="AI8:AI39" ca="1" si="14">-MAX(-$AI$2+AH8,0)+$AI$1</f>
        <v>4</v>
      </c>
      <c r="AJ8" s="65">
        <f t="shared" ref="AJ8:AJ39" ca="1" si="15">MAX(AH8-$AJ$2,0)-$AJ$1</f>
        <v>-3.25</v>
      </c>
      <c r="AK8" s="67">
        <f t="shared" ref="AK8:AK39" ca="1" si="16">(AI8+AJ8)*$AK$1</f>
        <v>2025</v>
      </c>
    </row>
    <row r="9" spans="1:39" x14ac:dyDescent="0.25">
      <c r="A9" s="1">
        <v>6</v>
      </c>
      <c r="B9" s="25">
        <v>44007</v>
      </c>
      <c r="C9" s="10" t="s">
        <v>204</v>
      </c>
      <c r="D9" s="1">
        <v>46.35</v>
      </c>
      <c r="E9" s="30">
        <v>5400</v>
      </c>
      <c r="F9" s="1">
        <v>50</v>
      </c>
      <c r="G9" s="1">
        <v>2.2999999999999998</v>
      </c>
      <c r="H9" s="1">
        <v>65</v>
      </c>
      <c r="I9" s="1">
        <v>0.45</v>
      </c>
      <c r="J9" s="1">
        <v>102600</v>
      </c>
      <c r="K9" s="1">
        <v>5400</v>
      </c>
      <c r="L9" s="1">
        <v>0.4</v>
      </c>
      <c r="M9" s="1">
        <v>0.45</v>
      </c>
      <c r="N9" s="1">
        <v>37800</v>
      </c>
      <c r="O9" s="9"/>
      <c r="P9" s="7">
        <f t="shared" ca="1" si="5"/>
        <v>0.12333333333333332</v>
      </c>
      <c r="Q9" s="7">
        <f t="shared" ca="1" si="6"/>
        <v>6.1666666666666658E-3</v>
      </c>
      <c r="R9" s="33">
        <f t="shared" ca="1" si="0"/>
        <v>9990</v>
      </c>
      <c r="S9" s="33">
        <f t="shared" ca="1" si="1"/>
        <v>-71010</v>
      </c>
      <c r="T9" s="33">
        <f t="shared" ca="1" si="7"/>
        <v>9990</v>
      </c>
      <c r="U9" s="7">
        <f t="shared" ca="1" si="2"/>
        <v>0.14068441064638784</v>
      </c>
      <c r="V9" s="7">
        <f t="shared" ca="1" si="3"/>
        <v>-0.46402817714027689</v>
      </c>
      <c r="W9" s="33">
        <f t="shared" ca="1" si="8"/>
        <v>9990</v>
      </c>
      <c r="X9" s="7">
        <f t="shared" ca="1" si="9"/>
        <v>1</v>
      </c>
      <c r="Y9" s="7">
        <f t="shared" ca="1" si="10"/>
        <v>1.1406844106463878</v>
      </c>
      <c r="Z9" s="7">
        <f t="shared" ca="1" si="4"/>
        <v>-0.14818387405083494</v>
      </c>
      <c r="AA9" s="33">
        <f t="shared" ca="1" si="11"/>
        <v>9990</v>
      </c>
      <c r="AB9" s="7">
        <f t="shared" ca="1" si="12"/>
        <v>1</v>
      </c>
      <c r="AC9" s="7">
        <f t="shared" ca="1" si="13"/>
        <v>1.1406844106463878</v>
      </c>
      <c r="AD9" s="40"/>
      <c r="AE9" s="40"/>
      <c r="AF9" s="34"/>
      <c r="AH9" s="65">
        <f t="shared" ref="AH9:AH40" ca="1" si="17">AH8+$AH$2</f>
        <v>149.9</v>
      </c>
      <c r="AI9" s="65">
        <f t="shared" ca="1" si="14"/>
        <v>4</v>
      </c>
      <c r="AJ9" s="65">
        <f t="shared" ca="1" si="15"/>
        <v>-3.25</v>
      </c>
      <c r="AK9" s="67">
        <f t="shared" ca="1" si="16"/>
        <v>2025</v>
      </c>
    </row>
    <row r="10" spans="1:39" x14ac:dyDescent="0.25">
      <c r="A10" s="1">
        <v>7</v>
      </c>
      <c r="B10" s="25">
        <v>44007</v>
      </c>
      <c r="C10" s="10" t="s">
        <v>642</v>
      </c>
      <c r="D10" s="1">
        <v>204.15</v>
      </c>
      <c r="E10" s="30">
        <v>2100</v>
      </c>
      <c r="F10" s="1">
        <v>220</v>
      </c>
      <c r="G10" s="1">
        <v>4.7</v>
      </c>
      <c r="H10" s="1">
        <v>230</v>
      </c>
      <c r="I10" s="1">
        <v>2.65</v>
      </c>
      <c r="J10" s="1">
        <v>184800</v>
      </c>
      <c r="K10" s="1">
        <v>4200</v>
      </c>
      <c r="L10" s="1">
        <v>2.5499999999999998</v>
      </c>
      <c r="M10" s="1">
        <v>2.65</v>
      </c>
      <c r="N10" s="1">
        <v>6300</v>
      </c>
      <c r="O10" s="9"/>
      <c r="P10" s="7">
        <f t="shared" ca="1" si="5"/>
        <v>0.20500000000000002</v>
      </c>
      <c r="Q10" s="7">
        <f t="shared" ca="1" si="6"/>
        <v>1.025E-2</v>
      </c>
      <c r="R10" s="33">
        <f t="shared" ca="1" si="0"/>
        <v>4305.0000000000009</v>
      </c>
      <c r="S10" s="33">
        <f t="shared" ca="1" si="1"/>
        <v>-16695</v>
      </c>
      <c r="T10" s="33">
        <f t="shared" ca="1" si="7"/>
        <v>4305.0000000000009</v>
      </c>
      <c r="U10" s="7">
        <f t="shared" ca="1" si="2"/>
        <v>0.25786163522012584</v>
      </c>
      <c r="V10" s="7">
        <f t="shared" ca="1" si="3"/>
        <v>-0.26003466820235149</v>
      </c>
      <c r="W10" s="33">
        <f t="shared" ca="1" si="8"/>
        <v>4305.0000000000009</v>
      </c>
      <c r="X10" s="7">
        <f t="shared" ca="1" si="9"/>
        <v>1</v>
      </c>
      <c r="Y10" s="7">
        <f t="shared" ca="1" si="10"/>
        <v>1.257861635220126</v>
      </c>
      <c r="Z10" s="7">
        <f t="shared" ca="1" si="4"/>
        <v>-9.3797707456637916E-2</v>
      </c>
      <c r="AA10" s="33">
        <f t="shared" ca="1" si="11"/>
        <v>4305.0000000000009</v>
      </c>
      <c r="AB10" s="7">
        <f t="shared" ca="1" si="12"/>
        <v>1</v>
      </c>
      <c r="AC10" s="7">
        <f t="shared" ca="1" si="13"/>
        <v>1.257861635220126</v>
      </c>
      <c r="AD10" s="40"/>
      <c r="AE10" s="40"/>
      <c r="AF10" s="34"/>
      <c r="AH10" s="65">
        <f t="shared" ca="1" si="17"/>
        <v>149.95000000000002</v>
      </c>
      <c r="AI10" s="65">
        <f t="shared" ca="1" si="14"/>
        <v>4</v>
      </c>
      <c r="AJ10" s="65">
        <f t="shared" ca="1" si="15"/>
        <v>-3.25</v>
      </c>
      <c r="AK10" s="67">
        <f t="shared" ca="1" si="16"/>
        <v>2025</v>
      </c>
    </row>
    <row r="11" spans="1:39" x14ac:dyDescent="0.25">
      <c r="A11" s="1">
        <v>8</v>
      </c>
      <c r="B11" s="25">
        <v>44007</v>
      </c>
      <c r="C11" s="10" t="s">
        <v>642</v>
      </c>
      <c r="D11" s="1">
        <v>204.15</v>
      </c>
      <c r="E11" s="30">
        <v>2100</v>
      </c>
      <c r="F11" s="1">
        <v>220</v>
      </c>
      <c r="G11" s="1">
        <v>4.7</v>
      </c>
      <c r="H11" s="1">
        <v>240</v>
      </c>
      <c r="I11" s="1">
        <v>1.5</v>
      </c>
      <c r="J11" s="1">
        <v>50400</v>
      </c>
      <c r="K11" s="1">
        <v>2100</v>
      </c>
      <c r="L11" s="1">
        <v>1.2</v>
      </c>
      <c r="M11" s="1">
        <v>1.8</v>
      </c>
      <c r="N11" s="1">
        <v>6300</v>
      </c>
      <c r="O11" s="9"/>
      <c r="P11" s="7">
        <f t="shared" ca="1" si="5"/>
        <v>0.16</v>
      </c>
      <c r="Q11" s="7">
        <f t="shared" ca="1" si="6"/>
        <v>8.0000000000000002E-3</v>
      </c>
      <c r="R11" s="33">
        <f t="shared" ca="1" si="0"/>
        <v>6720</v>
      </c>
      <c r="S11" s="33">
        <f t="shared" ca="1" si="1"/>
        <v>-35280</v>
      </c>
      <c r="T11" s="33">
        <f t="shared" ca="1" si="7"/>
        <v>6720</v>
      </c>
      <c r="U11" s="7">
        <f t="shared" ca="1" si="2"/>
        <v>0.19047619047619047</v>
      </c>
      <c r="V11" s="7">
        <f t="shared" ca="1" si="3"/>
        <v>-0.26003466820235149</v>
      </c>
      <c r="W11" s="33">
        <f t="shared" ca="1" si="8"/>
        <v>6720</v>
      </c>
      <c r="X11" s="7">
        <f t="shared" ca="1" si="9"/>
        <v>1</v>
      </c>
      <c r="Y11" s="7">
        <f t="shared" ca="1" si="10"/>
        <v>1.1904761904761905</v>
      </c>
      <c r="Z11" s="7">
        <f t="shared" ca="1" si="4"/>
        <v>-9.3797707456637916E-2</v>
      </c>
      <c r="AA11" s="33">
        <f t="shared" ca="1" si="11"/>
        <v>6720</v>
      </c>
      <c r="AB11" s="7">
        <f t="shared" ca="1" si="12"/>
        <v>1</v>
      </c>
      <c r="AC11" s="7">
        <f t="shared" ca="1" si="13"/>
        <v>1.1904761904761905</v>
      </c>
      <c r="AD11" s="40"/>
      <c r="AE11" s="40"/>
      <c r="AF11" s="34"/>
      <c r="AH11" s="65">
        <f t="shared" ca="1" si="17"/>
        <v>150.00000000000003</v>
      </c>
      <c r="AI11" s="65">
        <f t="shared" ca="1" si="14"/>
        <v>3.9999999999999716</v>
      </c>
      <c r="AJ11" s="65">
        <f t="shared" ca="1" si="15"/>
        <v>-3.25</v>
      </c>
      <c r="AK11" s="67">
        <f t="shared" ca="1" si="16"/>
        <v>2024.9999999999231</v>
      </c>
    </row>
    <row r="12" spans="1:39" x14ac:dyDescent="0.25">
      <c r="A12" s="1">
        <v>9</v>
      </c>
      <c r="B12" s="25">
        <v>44007</v>
      </c>
      <c r="C12" s="10" t="s">
        <v>642</v>
      </c>
      <c r="D12" s="1">
        <v>204.15</v>
      </c>
      <c r="E12" s="30">
        <v>2100</v>
      </c>
      <c r="F12" s="1">
        <v>220</v>
      </c>
      <c r="G12" s="1">
        <v>4.7</v>
      </c>
      <c r="H12" s="1">
        <v>250</v>
      </c>
      <c r="I12" s="1">
        <v>1</v>
      </c>
      <c r="J12" s="1">
        <v>25200</v>
      </c>
      <c r="K12" s="1">
        <v>4200</v>
      </c>
      <c r="L12" s="1">
        <v>0.8</v>
      </c>
      <c r="M12" s="1">
        <v>1</v>
      </c>
      <c r="N12" s="1">
        <v>2100</v>
      </c>
      <c r="O12" s="9"/>
      <c r="P12" s="7">
        <f t="shared" ca="1" si="5"/>
        <v>0.12333333333333334</v>
      </c>
      <c r="Q12" s="7">
        <f t="shared" ca="1" si="6"/>
        <v>6.1666666666666667E-3</v>
      </c>
      <c r="R12" s="33">
        <f t="shared" ca="1" si="0"/>
        <v>7770</v>
      </c>
      <c r="S12" s="33">
        <f t="shared" ca="1" si="1"/>
        <v>-55230</v>
      </c>
      <c r="T12" s="33">
        <f t="shared" ca="1" si="7"/>
        <v>7770</v>
      </c>
      <c r="U12" s="7">
        <f t="shared" ca="1" si="2"/>
        <v>0.14068441064638784</v>
      </c>
      <c r="V12" s="7">
        <f t="shared" ca="1" si="3"/>
        <v>-0.26003466820235149</v>
      </c>
      <c r="W12" s="33">
        <f t="shared" ca="1" si="8"/>
        <v>7770</v>
      </c>
      <c r="X12" s="7">
        <f t="shared" ca="1" si="9"/>
        <v>1</v>
      </c>
      <c r="Y12" s="7">
        <f t="shared" ca="1" si="10"/>
        <v>1.1406844106463878</v>
      </c>
      <c r="Z12" s="7">
        <f t="shared" ca="1" si="4"/>
        <v>-9.3797707456637916E-2</v>
      </c>
      <c r="AA12" s="33">
        <f t="shared" ca="1" si="11"/>
        <v>7770</v>
      </c>
      <c r="AB12" s="7">
        <f t="shared" ca="1" si="12"/>
        <v>1</v>
      </c>
      <c r="AC12" s="7">
        <f t="shared" ca="1" si="13"/>
        <v>1.1406844106463878</v>
      </c>
      <c r="AD12" s="40"/>
      <c r="AE12" s="40"/>
      <c r="AF12" s="34"/>
      <c r="AH12" s="65">
        <f t="shared" ca="1" si="17"/>
        <v>150.05000000000004</v>
      </c>
      <c r="AI12" s="65">
        <f t="shared" ca="1" si="14"/>
        <v>3.9499999999999602</v>
      </c>
      <c r="AJ12" s="65">
        <f t="shared" ca="1" si="15"/>
        <v>-3.25</v>
      </c>
      <c r="AK12" s="67">
        <f t="shared" ca="1" si="16"/>
        <v>1889.9999999998927</v>
      </c>
    </row>
    <row r="13" spans="1:39" x14ac:dyDescent="0.25">
      <c r="A13" s="1">
        <v>10</v>
      </c>
      <c r="B13" s="25">
        <v>44007</v>
      </c>
      <c r="C13" s="10" t="s">
        <v>21</v>
      </c>
      <c r="D13" s="1">
        <v>86</v>
      </c>
      <c r="E13" s="30">
        <v>6200</v>
      </c>
      <c r="F13" s="1">
        <v>92.5</v>
      </c>
      <c r="G13" s="1">
        <v>2.2999999999999998</v>
      </c>
      <c r="H13" s="1">
        <v>95</v>
      </c>
      <c r="I13" s="1">
        <v>1.65</v>
      </c>
      <c r="J13" s="1">
        <v>483600</v>
      </c>
      <c r="K13" s="1">
        <v>24800</v>
      </c>
      <c r="L13" s="1">
        <v>1.6</v>
      </c>
      <c r="M13" s="1">
        <v>1.7</v>
      </c>
      <c r="N13" s="1">
        <v>12400</v>
      </c>
      <c r="O13" s="9"/>
      <c r="P13" s="7">
        <f t="shared" ca="1" si="5"/>
        <v>0.25999999999999995</v>
      </c>
      <c r="Q13" s="7">
        <f t="shared" ca="1" si="6"/>
        <v>1.2999999999999998E-2</v>
      </c>
      <c r="R13" s="33">
        <f t="shared" ca="1" si="0"/>
        <v>4029.9999999999995</v>
      </c>
      <c r="S13" s="33">
        <f t="shared" ca="1" si="1"/>
        <v>-11470</v>
      </c>
      <c r="T13" s="33">
        <f t="shared" ca="1" si="7"/>
        <v>4029.9999999999995</v>
      </c>
      <c r="U13" s="7">
        <f t="shared" ca="1" si="2"/>
        <v>0.35135135135135132</v>
      </c>
      <c r="V13" s="7">
        <f t="shared" ca="1" si="3"/>
        <v>-0.50893704907812254</v>
      </c>
      <c r="W13" s="33">
        <f t="shared" ca="1" si="8"/>
        <v>4029.9999999999995</v>
      </c>
      <c r="X13" s="7">
        <f t="shared" ca="1" si="9"/>
        <v>1</v>
      </c>
      <c r="Y13" s="7">
        <f t="shared" ca="1" si="10"/>
        <v>1.3513513513513513</v>
      </c>
      <c r="Z13" s="7">
        <f t="shared" ca="1" si="4"/>
        <v>-0.11965456729273496</v>
      </c>
      <c r="AA13" s="33">
        <f t="shared" ca="1" si="11"/>
        <v>4029.9999999999995</v>
      </c>
      <c r="AB13" s="7">
        <f t="shared" ca="1" si="12"/>
        <v>1</v>
      </c>
      <c r="AC13" s="7">
        <f t="shared" ca="1" si="13"/>
        <v>1.3513513513513513</v>
      </c>
      <c r="AD13" s="40"/>
      <c r="AE13" s="40"/>
      <c r="AF13" s="34"/>
      <c r="AH13" s="65">
        <f t="shared" ca="1" si="17"/>
        <v>150.10000000000005</v>
      </c>
      <c r="AI13" s="65">
        <f t="shared" ca="1" si="14"/>
        <v>3.8999999999999488</v>
      </c>
      <c r="AJ13" s="65">
        <f t="shared" ca="1" si="15"/>
        <v>-3.25</v>
      </c>
      <c r="AK13" s="67">
        <f t="shared" ca="1" si="16"/>
        <v>1754.9999999998618</v>
      </c>
    </row>
    <row r="14" spans="1:39" x14ac:dyDescent="0.25">
      <c r="A14" s="1">
        <v>11</v>
      </c>
      <c r="B14" s="25">
        <v>44007</v>
      </c>
      <c r="C14" s="10" t="s">
        <v>21</v>
      </c>
      <c r="D14" s="1">
        <v>86</v>
      </c>
      <c r="E14" s="30">
        <v>6200</v>
      </c>
      <c r="F14" s="1">
        <v>92.5</v>
      </c>
      <c r="G14" s="1">
        <v>2.2999999999999998</v>
      </c>
      <c r="H14" s="1">
        <v>100</v>
      </c>
      <c r="I14" s="1">
        <v>0.9</v>
      </c>
      <c r="J14" s="1">
        <v>892800</v>
      </c>
      <c r="K14" s="1">
        <v>229400</v>
      </c>
      <c r="L14" s="1">
        <v>0.9</v>
      </c>
      <c r="M14" s="1">
        <v>0.95</v>
      </c>
      <c r="N14" s="1">
        <v>31000</v>
      </c>
      <c r="O14" s="9"/>
      <c r="P14" s="7">
        <f t="shared" ca="1" si="5"/>
        <v>0.18666666666666665</v>
      </c>
      <c r="Q14" s="7">
        <f t="shared" ca="1" si="6"/>
        <v>9.3333333333333324E-3</v>
      </c>
      <c r="R14" s="33">
        <f t="shared" ca="1" si="0"/>
        <v>8680</v>
      </c>
      <c r="S14" s="33">
        <f t="shared" ca="1" si="1"/>
        <v>-37820</v>
      </c>
      <c r="T14" s="33">
        <f t="shared" ca="1" si="7"/>
        <v>8680</v>
      </c>
      <c r="U14" s="7">
        <f t="shared" ca="1" si="2"/>
        <v>0.22950819672131148</v>
      </c>
      <c r="V14" s="7">
        <f t="shared" ca="1" si="3"/>
        <v>-0.50893704907812254</v>
      </c>
      <c r="W14" s="33">
        <f t="shared" ca="1" si="8"/>
        <v>8680</v>
      </c>
      <c r="X14" s="7">
        <f t="shared" ca="1" si="9"/>
        <v>1</v>
      </c>
      <c r="Y14" s="7">
        <f t="shared" ca="1" si="10"/>
        <v>1.2295081967213115</v>
      </c>
      <c r="Z14" s="7">
        <f t="shared" ca="1" si="4"/>
        <v>-0.11965456729273496</v>
      </c>
      <c r="AA14" s="33">
        <f t="shared" ca="1" si="11"/>
        <v>8680</v>
      </c>
      <c r="AB14" s="7">
        <f t="shared" ca="1" si="12"/>
        <v>1</v>
      </c>
      <c r="AC14" s="7">
        <f t="shared" ca="1" si="13"/>
        <v>1.2295081967213115</v>
      </c>
      <c r="AD14" s="40"/>
      <c r="AE14" s="40"/>
      <c r="AF14" s="34"/>
      <c r="AH14" s="65">
        <f t="shared" ca="1" si="17"/>
        <v>150.15000000000006</v>
      </c>
      <c r="AI14" s="65">
        <f t="shared" ca="1" si="14"/>
        <v>3.8499999999999375</v>
      </c>
      <c r="AJ14" s="65">
        <f t="shared" ca="1" si="15"/>
        <v>-3.25</v>
      </c>
      <c r="AK14" s="67">
        <f t="shared" ca="1" si="16"/>
        <v>1619.9999999998313</v>
      </c>
    </row>
    <row r="15" spans="1:39" x14ac:dyDescent="0.25">
      <c r="A15" s="1">
        <v>12</v>
      </c>
      <c r="B15" s="25">
        <v>44007</v>
      </c>
      <c r="C15" s="10" t="s">
        <v>21</v>
      </c>
      <c r="D15" s="1">
        <v>86</v>
      </c>
      <c r="E15" s="30">
        <v>6200</v>
      </c>
      <c r="F15" s="1">
        <v>92.5</v>
      </c>
      <c r="G15" s="1">
        <v>2.2999999999999998</v>
      </c>
      <c r="H15" s="1">
        <v>105</v>
      </c>
      <c r="I15" s="1">
        <v>0.55000000000000004</v>
      </c>
      <c r="J15" s="1">
        <v>62000</v>
      </c>
      <c r="K15" s="1">
        <v>12400</v>
      </c>
      <c r="L15" s="1">
        <v>0.45</v>
      </c>
      <c r="M15" s="1">
        <v>0.55000000000000004</v>
      </c>
      <c r="N15" s="1">
        <v>6200</v>
      </c>
      <c r="O15" s="9"/>
      <c r="P15" s="7">
        <f t="shared" ca="1" si="5"/>
        <v>0.13999999999999999</v>
      </c>
      <c r="Q15" s="7">
        <f t="shared" ca="1" si="6"/>
        <v>6.9999999999999993E-3</v>
      </c>
      <c r="R15" s="33">
        <f t="shared" ca="1" si="0"/>
        <v>10849.999999999998</v>
      </c>
      <c r="S15" s="33">
        <f t="shared" ca="1" si="1"/>
        <v>-66650</v>
      </c>
      <c r="T15" s="33">
        <f t="shared" ca="1" si="7"/>
        <v>10849.999999999998</v>
      </c>
      <c r="U15" s="7">
        <f t="shared" ca="1" si="2"/>
        <v>0.16279069767441859</v>
      </c>
      <c r="V15" s="7">
        <f t="shared" ca="1" si="3"/>
        <v>-0.50893704907812254</v>
      </c>
      <c r="W15" s="33">
        <f t="shared" ca="1" si="8"/>
        <v>10849.999999999998</v>
      </c>
      <c r="X15" s="7">
        <f t="shared" ca="1" si="9"/>
        <v>1</v>
      </c>
      <c r="Y15" s="7">
        <f t="shared" ca="1" si="10"/>
        <v>1.1627906976744187</v>
      </c>
      <c r="Z15" s="7">
        <f t="shared" ca="1" si="4"/>
        <v>-0.11965456729273496</v>
      </c>
      <c r="AA15" s="33">
        <f t="shared" ca="1" si="11"/>
        <v>10849.999999999998</v>
      </c>
      <c r="AB15" s="7">
        <f t="shared" ca="1" si="12"/>
        <v>1</v>
      </c>
      <c r="AC15" s="7">
        <f t="shared" ca="1" si="13"/>
        <v>1.1627906976744187</v>
      </c>
      <c r="AD15" s="40"/>
      <c r="AE15" s="40"/>
      <c r="AF15" s="34"/>
      <c r="AH15" s="65">
        <f t="shared" ca="1" si="17"/>
        <v>150.20000000000007</v>
      </c>
      <c r="AI15" s="65">
        <f t="shared" ca="1" si="14"/>
        <v>3.7999999999999261</v>
      </c>
      <c r="AJ15" s="65">
        <f t="shared" ca="1" si="15"/>
        <v>-3.25</v>
      </c>
      <c r="AK15" s="67">
        <f t="shared" ca="1" si="16"/>
        <v>1484.9999999998004</v>
      </c>
    </row>
    <row r="16" spans="1:39" x14ac:dyDescent="0.25">
      <c r="A16" s="1">
        <v>13</v>
      </c>
      <c r="B16" s="25">
        <v>44007</v>
      </c>
      <c r="C16" s="10" t="s">
        <v>21</v>
      </c>
      <c r="D16" s="1">
        <v>86</v>
      </c>
      <c r="E16" s="30">
        <v>6200</v>
      </c>
      <c r="F16" s="1">
        <v>92.5</v>
      </c>
      <c r="G16" s="1">
        <v>2.2999999999999998</v>
      </c>
      <c r="H16" s="1">
        <v>110</v>
      </c>
      <c r="I16" s="1">
        <v>0.25</v>
      </c>
      <c r="J16" s="1">
        <v>291400</v>
      </c>
      <c r="K16" s="1">
        <v>12400</v>
      </c>
      <c r="L16" s="1">
        <v>0.25</v>
      </c>
      <c r="M16" s="1">
        <v>0.3</v>
      </c>
      <c r="N16" s="1">
        <v>24800</v>
      </c>
      <c r="O16" s="9"/>
      <c r="P16" s="7">
        <f t="shared" ca="1" si="5"/>
        <v>0.11714285714285713</v>
      </c>
      <c r="Q16" s="7">
        <f t="shared" ca="1" si="6"/>
        <v>5.8571428571428568E-3</v>
      </c>
      <c r="R16" s="33">
        <f t="shared" ca="1" si="0"/>
        <v>12709.999999999998</v>
      </c>
      <c r="S16" s="33">
        <f t="shared" ca="1" si="1"/>
        <v>-95790</v>
      </c>
      <c r="T16" s="33">
        <f t="shared" ca="1" si="7"/>
        <v>12709.999999999998</v>
      </c>
      <c r="U16" s="7">
        <f t="shared" ca="1" si="2"/>
        <v>0.1326860841423948</v>
      </c>
      <c r="V16" s="7">
        <f t="shared" ca="1" si="3"/>
        <v>-0.50893704907812254</v>
      </c>
      <c r="W16" s="33">
        <f t="shared" ca="1" si="8"/>
        <v>12709.999999999998</v>
      </c>
      <c r="X16" s="7">
        <f t="shared" ca="1" si="9"/>
        <v>1</v>
      </c>
      <c r="Y16" s="7">
        <f t="shared" ca="1" si="10"/>
        <v>1.1326860841423949</v>
      </c>
      <c r="Z16" s="7">
        <f t="shared" ca="1" si="4"/>
        <v>-0.11965456729273496</v>
      </c>
      <c r="AA16" s="33">
        <f t="shared" ca="1" si="11"/>
        <v>12709.999999999998</v>
      </c>
      <c r="AB16" s="7">
        <f t="shared" ca="1" si="12"/>
        <v>1</v>
      </c>
      <c r="AC16" s="7">
        <f t="shared" ca="1" si="13"/>
        <v>1.1326860841423949</v>
      </c>
      <c r="AD16" s="40"/>
      <c r="AE16" s="40"/>
      <c r="AF16" s="34"/>
      <c r="AH16" s="65">
        <f t="shared" ca="1" si="17"/>
        <v>150.25000000000009</v>
      </c>
      <c r="AI16" s="65">
        <f t="shared" ca="1" si="14"/>
        <v>3.7499999999999147</v>
      </c>
      <c r="AJ16" s="65">
        <f t="shared" ca="1" si="15"/>
        <v>-3.25</v>
      </c>
      <c r="AK16" s="67">
        <f t="shared" ca="1" si="16"/>
        <v>1349.9999999997699</v>
      </c>
    </row>
    <row r="17" spans="1:37" x14ac:dyDescent="0.25">
      <c r="A17" s="1">
        <v>14</v>
      </c>
      <c r="B17" s="25">
        <v>44007</v>
      </c>
      <c r="C17" s="10" t="s">
        <v>321</v>
      </c>
      <c r="D17" s="1">
        <v>145.6</v>
      </c>
      <c r="E17" s="30">
        <v>2500</v>
      </c>
      <c r="F17" s="1">
        <v>160</v>
      </c>
      <c r="G17" s="1">
        <v>4.5</v>
      </c>
      <c r="H17" s="1">
        <v>165</v>
      </c>
      <c r="I17" s="1">
        <v>3.55</v>
      </c>
      <c r="J17" s="1">
        <v>345000</v>
      </c>
      <c r="K17" s="1">
        <v>2500</v>
      </c>
      <c r="L17" s="1">
        <v>3.35</v>
      </c>
      <c r="M17" s="1">
        <v>3.45</v>
      </c>
      <c r="N17" s="1">
        <v>5000</v>
      </c>
      <c r="O17" s="9"/>
      <c r="P17" s="7">
        <f t="shared" ca="1" si="5"/>
        <v>0.19000000000000003</v>
      </c>
      <c r="Q17" s="7">
        <f t="shared" ca="1" si="6"/>
        <v>9.5000000000000015E-3</v>
      </c>
      <c r="R17" s="33">
        <f t="shared" ca="1" si="0"/>
        <v>2375.0000000000005</v>
      </c>
      <c r="S17" s="33">
        <f t="shared" ca="1" si="1"/>
        <v>-10125</v>
      </c>
      <c r="T17" s="33">
        <f t="shared" ca="1" si="7"/>
        <v>2375.0000000000005</v>
      </c>
      <c r="U17" s="7">
        <f t="shared" ca="1" si="2"/>
        <v>0.23456790123456794</v>
      </c>
      <c r="V17" s="7">
        <f t="shared" ca="1" si="3"/>
        <v>-0.89872867325401662</v>
      </c>
      <c r="W17" s="33">
        <f t="shared" ca="1" si="8"/>
        <v>2375.0000000000005</v>
      </c>
      <c r="X17" s="7">
        <f t="shared" ca="1" si="9"/>
        <v>1</v>
      </c>
      <c r="Y17" s="7">
        <f t="shared" ca="1" si="10"/>
        <v>1.2345679012345681</v>
      </c>
      <c r="Z17" s="7">
        <f t="shared" ca="1" si="4"/>
        <v>-0.20615157114598073</v>
      </c>
      <c r="AA17" s="33">
        <f t="shared" ca="1" si="11"/>
        <v>2375.0000000000005</v>
      </c>
      <c r="AB17" s="7">
        <f t="shared" ca="1" si="12"/>
        <v>1</v>
      </c>
      <c r="AC17" s="7">
        <f t="shared" ca="1" si="13"/>
        <v>1.2345679012345681</v>
      </c>
      <c r="AD17" s="40"/>
      <c r="AE17" s="40"/>
      <c r="AF17" s="34"/>
      <c r="AH17" s="65">
        <f t="shared" ca="1" si="17"/>
        <v>150.3000000000001</v>
      </c>
      <c r="AI17" s="65">
        <f t="shared" ca="1" si="14"/>
        <v>3.6999999999999034</v>
      </c>
      <c r="AJ17" s="65">
        <f t="shared" ca="1" si="15"/>
        <v>-3.25</v>
      </c>
      <c r="AK17" s="67">
        <f t="shared" ca="1" si="16"/>
        <v>1214.999999999739</v>
      </c>
    </row>
    <row r="18" spans="1:37" x14ac:dyDescent="0.25">
      <c r="A18" s="1">
        <v>15</v>
      </c>
      <c r="B18" s="25">
        <v>44007</v>
      </c>
      <c r="C18" s="10" t="s">
        <v>321</v>
      </c>
      <c r="D18" s="1">
        <v>145.6</v>
      </c>
      <c r="E18" s="30">
        <v>2500</v>
      </c>
      <c r="F18" s="1">
        <v>160</v>
      </c>
      <c r="G18" s="1">
        <v>4.5</v>
      </c>
      <c r="H18" s="1">
        <v>170</v>
      </c>
      <c r="I18" s="1">
        <v>2.6</v>
      </c>
      <c r="J18" s="1">
        <v>555000</v>
      </c>
      <c r="K18" s="1">
        <v>2500</v>
      </c>
      <c r="L18" s="1">
        <v>2.4500000000000002</v>
      </c>
      <c r="M18" s="1">
        <v>2.5499999999999998</v>
      </c>
      <c r="N18" s="1">
        <v>5000</v>
      </c>
      <c r="O18" s="9"/>
      <c r="P18" s="7">
        <f t="shared" ca="1" si="5"/>
        <v>0.19</v>
      </c>
      <c r="Q18" s="7">
        <f t="shared" ca="1" si="6"/>
        <v>9.4999999999999998E-3</v>
      </c>
      <c r="R18" s="33">
        <f t="shared" ca="1" si="0"/>
        <v>4750</v>
      </c>
      <c r="S18" s="33">
        <f t="shared" ca="1" si="1"/>
        <v>-20250</v>
      </c>
      <c r="T18" s="33">
        <f t="shared" ca="1" si="7"/>
        <v>4750</v>
      </c>
      <c r="U18" s="7">
        <f t="shared" ca="1" si="2"/>
        <v>0.23456790123456789</v>
      </c>
      <c r="V18" s="7">
        <f t="shared" ca="1" si="3"/>
        <v>-0.89872867325401662</v>
      </c>
      <c r="W18" s="33">
        <f t="shared" ca="1" si="8"/>
        <v>4750</v>
      </c>
      <c r="X18" s="7">
        <f t="shared" ca="1" si="9"/>
        <v>1</v>
      </c>
      <c r="Y18" s="7">
        <f t="shared" ca="1" si="10"/>
        <v>1.2345679012345678</v>
      </c>
      <c r="Z18" s="7">
        <f t="shared" ca="1" si="4"/>
        <v>-0.20615157114598073</v>
      </c>
      <c r="AA18" s="33">
        <f t="shared" ca="1" si="11"/>
        <v>4750</v>
      </c>
      <c r="AB18" s="7">
        <f t="shared" ca="1" si="12"/>
        <v>1</v>
      </c>
      <c r="AC18" s="7">
        <f t="shared" ca="1" si="13"/>
        <v>1.2345679012345678</v>
      </c>
      <c r="AD18" s="40"/>
      <c r="AE18" s="40"/>
      <c r="AF18" s="34"/>
      <c r="AH18" s="65">
        <f t="shared" ca="1" si="17"/>
        <v>150.35000000000011</v>
      </c>
      <c r="AI18" s="65">
        <f t="shared" ca="1" si="14"/>
        <v>3.649999999999892</v>
      </c>
      <c r="AJ18" s="65">
        <f t="shared" ca="1" si="15"/>
        <v>-3.25</v>
      </c>
      <c r="AK18" s="67">
        <f t="shared" ca="1" si="16"/>
        <v>1079.9999999997085</v>
      </c>
    </row>
    <row r="19" spans="1:37" x14ac:dyDescent="0.25">
      <c r="A19" s="1">
        <v>16</v>
      </c>
      <c r="B19" s="25">
        <v>44007</v>
      </c>
      <c r="C19" s="10" t="s">
        <v>321</v>
      </c>
      <c r="D19" s="1">
        <v>145.6</v>
      </c>
      <c r="E19" s="30">
        <v>2500</v>
      </c>
      <c r="F19" s="1">
        <v>160</v>
      </c>
      <c r="G19" s="1">
        <v>4.5</v>
      </c>
      <c r="H19" s="1">
        <v>175</v>
      </c>
      <c r="I19" s="1">
        <v>1.8</v>
      </c>
      <c r="J19" s="1">
        <v>32500</v>
      </c>
      <c r="K19" s="1">
        <v>2500</v>
      </c>
      <c r="L19" s="1">
        <v>1.85</v>
      </c>
      <c r="M19" s="1">
        <v>2.15</v>
      </c>
      <c r="N19" s="1">
        <v>2500</v>
      </c>
      <c r="O19" s="9"/>
      <c r="P19" s="7">
        <f t="shared" ca="1" si="5"/>
        <v>0.18000000000000002</v>
      </c>
      <c r="Q19" s="7">
        <f t="shared" ca="1" si="6"/>
        <v>9.0000000000000011E-3</v>
      </c>
      <c r="R19" s="33">
        <f t="shared" ca="1" si="0"/>
        <v>6750</v>
      </c>
      <c r="S19" s="33">
        <f t="shared" ca="1" si="1"/>
        <v>-30750</v>
      </c>
      <c r="T19" s="33">
        <f t="shared" ca="1" si="7"/>
        <v>6750</v>
      </c>
      <c r="U19" s="7">
        <f t="shared" ca="1" si="2"/>
        <v>0.21951219512195122</v>
      </c>
      <c r="V19" s="7">
        <f t="shared" ca="1" si="3"/>
        <v>-0.89872867325401662</v>
      </c>
      <c r="W19" s="33">
        <f t="shared" ca="1" si="8"/>
        <v>6750</v>
      </c>
      <c r="X19" s="7">
        <f t="shared" ca="1" si="9"/>
        <v>1</v>
      </c>
      <c r="Y19" s="7">
        <f t="shared" ca="1" si="10"/>
        <v>1.2195121951219512</v>
      </c>
      <c r="Z19" s="7">
        <f t="shared" ca="1" si="4"/>
        <v>-0.20615157114598073</v>
      </c>
      <c r="AA19" s="33">
        <f t="shared" ca="1" si="11"/>
        <v>6750</v>
      </c>
      <c r="AB19" s="7">
        <f t="shared" ca="1" si="12"/>
        <v>1</v>
      </c>
      <c r="AC19" s="7">
        <f t="shared" ca="1" si="13"/>
        <v>1.2195121951219512</v>
      </c>
      <c r="AD19" s="40"/>
      <c r="AE19" s="40"/>
      <c r="AF19" s="34"/>
      <c r="AH19" s="65">
        <f t="shared" ca="1" si="17"/>
        <v>150.40000000000012</v>
      </c>
      <c r="AI19" s="65">
        <f t="shared" ca="1" si="14"/>
        <v>3.5999999999998806</v>
      </c>
      <c r="AJ19" s="65">
        <f t="shared" ca="1" si="15"/>
        <v>-3.25</v>
      </c>
      <c r="AK19" s="67">
        <f t="shared" ca="1" si="16"/>
        <v>944.9999999996777</v>
      </c>
    </row>
    <row r="20" spans="1:37" x14ac:dyDescent="0.25">
      <c r="A20" s="1">
        <v>17</v>
      </c>
      <c r="B20" s="25">
        <v>44007</v>
      </c>
      <c r="C20" s="10" t="s">
        <v>321</v>
      </c>
      <c r="D20" s="1">
        <v>145.6</v>
      </c>
      <c r="E20" s="30">
        <v>2500</v>
      </c>
      <c r="F20" s="1">
        <v>160</v>
      </c>
      <c r="G20" s="1">
        <v>4.5</v>
      </c>
      <c r="H20" s="1">
        <v>180</v>
      </c>
      <c r="I20" s="1">
        <v>1.6</v>
      </c>
      <c r="J20" s="1">
        <v>472500</v>
      </c>
      <c r="K20" s="1">
        <v>2500</v>
      </c>
      <c r="L20" s="1">
        <v>1.55</v>
      </c>
      <c r="M20" s="1">
        <v>1.75</v>
      </c>
      <c r="N20" s="1">
        <v>5000</v>
      </c>
      <c r="O20" s="9"/>
      <c r="P20" s="7">
        <f t="shared" ca="1" si="5"/>
        <v>0.14499999999999999</v>
      </c>
      <c r="Q20" s="7">
        <f t="shared" ca="1" si="6"/>
        <v>7.2499999999999995E-3</v>
      </c>
      <c r="R20" s="33">
        <f t="shared" ca="1" si="0"/>
        <v>7250</v>
      </c>
      <c r="S20" s="33">
        <f t="shared" ca="1" si="1"/>
        <v>-42750</v>
      </c>
      <c r="T20" s="33">
        <f t="shared" ca="1" si="7"/>
        <v>7250</v>
      </c>
      <c r="U20" s="7">
        <f t="shared" ca="1" si="2"/>
        <v>0.16959064327485379</v>
      </c>
      <c r="V20" s="7">
        <f t="shared" ca="1" si="3"/>
        <v>-0.89872867325401662</v>
      </c>
      <c r="W20" s="33">
        <f t="shared" ca="1" si="8"/>
        <v>7250</v>
      </c>
      <c r="X20" s="7">
        <f t="shared" ca="1" si="9"/>
        <v>1</v>
      </c>
      <c r="Y20" s="7">
        <f t="shared" ca="1" si="10"/>
        <v>1.1695906432748537</v>
      </c>
      <c r="Z20" s="7">
        <f t="shared" ca="1" si="4"/>
        <v>-0.20615157114598073</v>
      </c>
      <c r="AA20" s="33">
        <f t="shared" ca="1" si="11"/>
        <v>7250</v>
      </c>
      <c r="AB20" s="7">
        <f t="shared" ca="1" si="12"/>
        <v>1</v>
      </c>
      <c r="AC20" s="7">
        <f t="shared" ca="1" si="13"/>
        <v>1.1695906432748537</v>
      </c>
      <c r="AD20" s="40"/>
      <c r="AE20" s="40"/>
      <c r="AF20" s="34"/>
      <c r="AH20" s="65">
        <f t="shared" ca="1" si="17"/>
        <v>150.45000000000013</v>
      </c>
      <c r="AI20" s="65">
        <f t="shared" ca="1" si="14"/>
        <v>3.5499999999998693</v>
      </c>
      <c r="AJ20" s="65">
        <f t="shared" ca="1" si="15"/>
        <v>-3.25</v>
      </c>
      <c r="AK20" s="67">
        <f t="shared" ca="1" si="16"/>
        <v>809.999999999647</v>
      </c>
    </row>
    <row r="21" spans="1:37" x14ac:dyDescent="0.25">
      <c r="A21" s="1">
        <v>18</v>
      </c>
      <c r="B21" s="25">
        <v>44007</v>
      </c>
      <c r="C21" s="10" t="s">
        <v>333</v>
      </c>
      <c r="D21" s="1">
        <v>144.30000000000001</v>
      </c>
      <c r="E21" s="30">
        <v>2700</v>
      </c>
      <c r="F21" s="1">
        <v>150</v>
      </c>
      <c r="G21" s="1">
        <v>4</v>
      </c>
      <c r="H21" s="1">
        <v>152.5</v>
      </c>
      <c r="I21" s="1">
        <v>3.25</v>
      </c>
      <c r="J21" s="1">
        <v>75600</v>
      </c>
      <c r="K21" s="1">
        <v>10800</v>
      </c>
      <c r="L21" s="1">
        <v>3.15</v>
      </c>
      <c r="M21" s="1">
        <v>3.3</v>
      </c>
      <c r="N21" s="1">
        <v>16200</v>
      </c>
      <c r="O21" s="9"/>
      <c r="P21" s="7">
        <f t="shared" ca="1" si="5"/>
        <v>0.3</v>
      </c>
      <c r="Q21" s="7">
        <f t="shared" ca="1" si="6"/>
        <v>1.4999999999999999E-2</v>
      </c>
      <c r="R21" s="33">
        <f t="shared" ca="1" si="0"/>
        <v>2025</v>
      </c>
      <c r="S21" s="33">
        <f t="shared" ca="1" si="1"/>
        <v>-4725</v>
      </c>
      <c r="T21" s="33">
        <f t="shared" ca="1" si="7"/>
        <v>2025</v>
      </c>
      <c r="U21" s="7">
        <f t="shared" ca="1" si="2"/>
        <v>0.42857142857142855</v>
      </c>
      <c r="V21" s="7">
        <f t="shared" ca="1" si="3"/>
        <v>-0.45913980478609634</v>
      </c>
      <c r="W21" s="33">
        <f t="shared" ca="1" si="8"/>
        <v>2025</v>
      </c>
      <c r="X21" s="7">
        <f t="shared" ca="1" si="9"/>
        <v>1</v>
      </c>
      <c r="Y21" s="7">
        <f t="shared" ca="1" si="10"/>
        <v>1.4285714285714286</v>
      </c>
      <c r="Z21" s="7">
        <f t="shared" ca="1" si="4"/>
        <v>-0.15156656192005677</v>
      </c>
      <c r="AA21" s="33">
        <f t="shared" ca="1" si="11"/>
        <v>2025</v>
      </c>
      <c r="AB21" s="7">
        <f t="shared" ca="1" si="12"/>
        <v>1</v>
      </c>
      <c r="AC21" s="7">
        <f t="shared" ca="1" si="13"/>
        <v>1.4285714285714286</v>
      </c>
      <c r="AD21" s="40"/>
      <c r="AE21" s="40"/>
      <c r="AF21" s="34"/>
      <c r="AH21" s="65">
        <f t="shared" ca="1" si="17"/>
        <v>150.50000000000014</v>
      </c>
      <c r="AI21" s="65">
        <f t="shared" ca="1" si="14"/>
        <v>3.4999999999998579</v>
      </c>
      <c r="AJ21" s="65">
        <f t="shared" ca="1" si="15"/>
        <v>-3.25</v>
      </c>
      <c r="AK21" s="67">
        <f t="shared" ca="1" si="16"/>
        <v>674.99999999961631</v>
      </c>
    </row>
    <row r="22" spans="1:37" x14ac:dyDescent="0.25">
      <c r="A22" s="1">
        <v>19</v>
      </c>
      <c r="B22" s="25">
        <v>44007</v>
      </c>
      <c r="C22" s="10" t="s">
        <v>333</v>
      </c>
      <c r="D22" s="1">
        <v>144.30000000000001</v>
      </c>
      <c r="E22" s="30">
        <v>2700</v>
      </c>
      <c r="F22" s="1">
        <v>150</v>
      </c>
      <c r="G22" s="1">
        <v>4</v>
      </c>
      <c r="H22" s="1">
        <v>155</v>
      </c>
      <c r="I22" s="1">
        <v>2.5499999999999998</v>
      </c>
      <c r="J22" s="1">
        <v>440100</v>
      </c>
      <c r="K22" s="1">
        <v>10800</v>
      </c>
      <c r="L22" s="1">
        <v>2.5</v>
      </c>
      <c r="M22" s="1">
        <v>2.6</v>
      </c>
      <c r="N22" s="1">
        <v>16200</v>
      </c>
      <c r="O22" s="9"/>
      <c r="P22" s="7">
        <f t="shared" ca="1" si="5"/>
        <v>0.29000000000000004</v>
      </c>
      <c r="Q22" s="7">
        <f t="shared" ca="1" si="6"/>
        <v>1.4500000000000002E-2</v>
      </c>
      <c r="R22" s="33">
        <f t="shared" ca="1" si="0"/>
        <v>3915.0000000000005</v>
      </c>
      <c r="S22" s="33">
        <f t="shared" ca="1" si="1"/>
        <v>-9585</v>
      </c>
      <c r="T22" s="33">
        <f t="shared" ca="1" si="7"/>
        <v>3915.0000000000005</v>
      </c>
      <c r="U22" s="7">
        <f t="shared" ca="1" si="2"/>
        <v>0.40845070422535218</v>
      </c>
      <c r="V22" s="7">
        <f t="shared" ca="1" si="3"/>
        <v>-0.45913980478609634</v>
      </c>
      <c r="W22" s="33">
        <f t="shared" ca="1" si="8"/>
        <v>3915.0000000000005</v>
      </c>
      <c r="X22" s="7">
        <f t="shared" ca="1" si="9"/>
        <v>1</v>
      </c>
      <c r="Y22" s="7">
        <f t="shared" ca="1" si="10"/>
        <v>1.4084507042253522</v>
      </c>
      <c r="Z22" s="7">
        <f t="shared" ca="1" si="4"/>
        <v>-0.15156656192005677</v>
      </c>
      <c r="AA22" s="33">
        <f t="shared" ca="1" si="11"/>
        <v>3915.0000000000005</v>
      </c>
      <c r="AB22" s="7">
        <f t="shared" ca="1" si="12"/>
        <v>1</v>
      </c>
      <c r="AC22" s="7">
        <f t="shared" ca="1" si="13"/>
        <v>1.4084507042253522</v>
      </c>
      <c r="AD22" s="40"/>
      <c r="AE22" s="40"/>
      <c r="AF22" s="34"/>
      <c r="AH22" s="65">
        <f t="shared" ca="1" si="17"/>
        <v>150.55000000000015</v>
      </c>
      <c r="AI22" s="65">
        <f t="shared" ca="1" si="14"/>
        <v>3.4499999999998465</v>
      </c>
      <c r="AJ22" s="65">
        <f t="shared" ca="1" si="15"/>
        <v>-3.25</v>
      </c>
      <c r="AK22" s="67">
        <f t="shared" ca="1" si="16"/>
        <v>539.99999999958561</v>
      </c>
    </row>
    <row r="23" spans="1:37" x14ac:dyDescent="0.25">
      <c r="A23" s="1">
        <v>20</v>
      </c>
      <c r="B23" s="25">
        <v>44007</v>
      </c>
      <c r="C23" s="10" t="s">
        <v>333</v>
      </c>
      <c r="D23" s="1">
        <v>144.30000000000001</v>
      </c>
      <c r="E23" s="30">
        <v>2700</v>
      </c>
      <c r="F23" s="1">
        <v>150</v>
      </c>
      <c r="G23" s="1">
        <v>4</v>
      </c>
      <c r="H23" s="1">
        <v>160</v>
      </c>
      <c r="I23" s="1">
        <v>1.6</v>
      </c>
      <c r="J23" s="1">
        <v>691200</v>
      </c>
      <c r="K23" s="1">
        <v>16200</v>
      </c>
      <c r="L23" s="1">
        <v>1.6</v>
      </c>
      <c r="M23" s="1">
        <v>1.7</v>
      </c>
      <c r="N23" s="1">
        <v>18900</v>
      </c>
      <c r="O23" s="9"/>
      <c r="P23" s="7">
        <f t="shared" ca="1" si="5"/>
        <v>0.24</v>
      </c>
      <c r="Q23" s="7">
        <f t="shared" ca="1" si="6"/>
        <v>1.2E-2</v>
      </c>
      <c r="R23" s="33">
        <f t="shared" ca="1" si="0"/>
        <v>6480</v>
      </c>
      <c r="S23" s="33">
        <f t="shared" ca="1" si="1"/>
        <v>-20520</v>
      </c>
      <c r="T23" s="33">
        <f t="shared" ca="1" si="7"/>
        <v>6480</v>
      </c>
      <c r="U23" s="7">
        <f t="shared" ca="1" si="2"/>
        <v>0.31578947368421051</v>
      </c>
      <c r="V23" s="7">
        <f t="shared" ca="1" si="3"/>
        <v>-0.45913980478609634</v>
      </c>
      <c r="W23" s="33">
        <f t="shared" ca="1" si="8"/>
        <v>6480</v>
      </c>
      <c r="X23" s="7">
        <f t="shared" ca="1" si="9"/>
        <v>1</v>
      </c>
      <c r="Y23" s="7">
        <f t="shared" ca="1" si="10"/>
        <v>1.3157894736842106</v>
      </c>
      <c r="Z23" s="7">
        <f t="shared" ca="1" si="4"/>
        <v>-0.15156656192005677</v>
      </c>
      <c r="AA23" s="33">
        <f t="shared" ca="1" si="11"/>
        <v>6480</v>
      </c>
      <c r="AB23" s="7">
        <f t="shared" ca="1" si="12"/>
        <v>1</v>
      </c>
      <c r="AC23" s="7">
        <f t="shared" ca="1" si="13"/>
        <v>1.3157894736842106</v>
      </c>
      <c r="AD23" s="40"/>
      <c r="AE23" s="40"/>
      <c r="AF23" s="34"/>
      <c r="AH23" s="65">
        <f t="shared" ca="1" si="17"/>
        <v>150.60000000000016</v>
      </c>
      <c r="AI23" s="65">
        <f t="shared" ca="1" si="14"/>
        <v>3.3999999999998352</v>
      </c>
      <c r="AJ23" s="65">
        <f t="shared" ca="1" si="15"/>
        <v>-3.25</v>
      </c>
      <c r="AK23" s="67">
        <f t="shared" ca="1" si="16"/>
        <v>404.99999999955492</v>
      </c>
    </row>
    <row r="24" spans="1:37" x14ac:dyDescent="0.25">
      <c r="A24" s="1">
        <v>21</v>
      </c>
      <c r="B24" s="25">
        <v>44007</v>
      </c>
      <c r="C24" s="10" t="s">
        <v>333</v>
      </c>
      <c r="D24" s="1">
        <v>144.30000000000001</v>
      </c>
      <c r="E24" s="30">
        <v>2700</v>
      </c>
      <c r="F24" s="1">
        <v>150</v>
      </c>
      <c r="G24" s="1">
        <v>4</v>
      </c>
      <c r="H24" s="1">
        <v>165</v>
      </c>
      <c r="I24" s="1">
        <v>1</v>
      </c>
      <c r="J24" s="1">
        <v>272700</v>
      </c>
      <c r="K24" s="1">
        <v>8100</v>
      </c>
      <c r="L24" s="1">
        <v>0.95</v>
      </c>
      <c r="M24" s="1">
        <v>1.05</v>
      </c>
      <c r="N24" s="1">
        <v>10800</v>
      </c>
      <c r="O24" s="9"/>
      <c r="P24" s="7">
        <f t="shared" ca="1" si="5"/>
        <v>0.2</v>
      </c>
      <c r="Q24" s="7">
        <f t="shared" ca="1" si="6"/>
        <v>0.01</v>
      </c>
      <c r="R24" s="33">
        <f t="shared" ca="1" si="0"/>
        <v>8100</v>
      </c>
      <c r="S24" s="33">
        <f t="shared" ca="1" si="1"/>
        <v>-32400</v>
      </c>
      <c r="T24" s="33">
        <f t="shared" ca="1" si="7"/>
        <v>8100</v>
      </c>
      <c r="U24" s="7">
        <f t="shared" ca="1" si="2"/>
        <v>0.25</v>
      </c>
      <c r="V24" s="7">
        <f t="shared" ca="1" si="3"/>
        <v>-0.45913980478609634</v>
      </c>
      <c r="W24" s="33">
        <f t="shared" ca="1" si="8"/>
        <v>8100</v>
      </c>
      <c r="X24" s="7">
        <f t="shared" ca="1" si="9"/>
        <v>1</v>
      </c>
      <c r="Y24" s="7">
        <f t="shared" ca="1" si="10"/>
        <v>1.25</v>
      </c>
      <c r="Z24" s="7">
        <f t="shared" ca="1" si="4"/>
        <v>-0.15156656192005677</v>
      </c>
      <c r="AA24" s="33">
        <f t="shared" ca="1" si="11"/>
        <v>8100</v>
      </c>
      <c r="AB24" s="7">
        <f t="shared" ca="1" si="12"/>
        <v>1</v>
      </c>
      <c r="AC24" s="7">
        <f t="shared" ca="1" si="13"/>
        <v>1.25</v>
      </c>
      <c r="AD24" s="40"/>
      <c r="AE24" s="40"/>
      <c r="AF24" s="34"/>
      <c r="AH24" s="65">
        <f t="shared" ca="1" si="17"/>
        <v>150.65000000000018</v>
      </c>
      <c r="AI24" s="65">
        <f t="shared" ca="1" si="14"/>
        <v>3.3499999999998238</v>
      </c>
      <c r="AJ24" s="65">
        <f t="shared" ca="1" si="15"/>
        <v>-3.25</v>
      </c>
      <c r="AK24" s="67">
        <f t="shared" ca="1" si="16"/>
        <v>269.99999999952422</v>
      </c>
    </row>
    <row r="25" spans="1:37" x14ac:dyDescent="0.25">
      <c r="A25" s="1">
        <v>22</v>
      </c>
      <c r="B25" s="25">
        <v>44007</v>
      </c>
      <c r="C25" s="10" t="s">
        <v>333</v>
      </c>
      <c r="D25" s="1">
        <v>144.30000000000001</v>
      </c>
      <c r="E25" s="30">
        <v>2700</v>
      </c>
      <c r="F25" s="1">
        <v>150</v>
      </c>
      <c r="G25" s="1">
        <v>4</v>
      </c>
      <c r="H25" s="1">
        <v>170</v>
      </c>
      <c r="I25" s="1">
        <v>0.65</v>
      </c>
      <c r="J25" s="1">
        <v>361800</v>
      </c>
      <c r="K25" s="1">
        <v>8100</v>
      </c>
      <c r="L25" s="1">
        <v>0.65</v>
      </c>
      <c r="M25" s="1">
        <v>0.7</v>
      </c>
      <c r="N25" s="1">
        <v>10800</v>
      </c>
      <c r="O25" s="9"/>
      <c r="P25" s="7">
        <f t="shared" ca="1" si="5"/>
        <v>0.16750000000000001</v>
      </c>
      <c r="Q25" s="7">
        <f t="shared" ca="1" si="6"/>
        <v>8.3750000000000005E-3</v>
      </c>
      <c r="R25" s="33">
        <f t="shared" ca="1" si="0"/>
        <v>9045</v>
      </c>
      <c r="S25" s="33">
        <f t="shared" ca="1" si="1"/>
        <v>-44955</v>
      </c>
      <c r="T25" s="33">
        <f t="shared" ca="1" si="7"/>
        <v>9045</v>
      </c>
      <c r="U25" s="7">
        <f t="shared" ca="1" si="2"/>
        <v>0.20120120120120119</v>
      </c>
      <c r="V25" s="7">
        <f t="shared" ca="1" si="3"/>
        <v>-0.45913980478609634</v>
      </c>
      <c r="W25" s="33">
        <f t="shared" ca="1" si="8"/>
        <v>9045</v>
      </c>
      <c r="X25" s="7">
        <f t="shared" ca="1" si="9"/>
        <v>1</v>
      </c>
      <c r="Y25" s="7">
        <f t="shared" ca="1" si="10"/>
        <v>1.2012012012012012</v>
      </c>
      <c r="Z25" s="7">
        <f t="shared" ca="1" si="4"/>
        <v>-0.15156656192005677</v>
      </c>
      <c r="AA25" s="33">
        <f t="shared" ca="1" si="11"/>
        <v>9045</v>
      </c>
      <c r="AB25" s="7">
        <f t="shared" ca="1" si="12"/>
        <v>1</v>
      </c>
      <c r="AC25" s="7">
        <f t="shared" ca="1" si="13"/>
        <v>1.2012012012012012</v>
      </c>
      <c r="AD25" s="40"/>
      <c r="AE25" s="40"/>
      <c r="AF25" s="34"/>
      <c r="AH25" s="65">
        <f t="shared" ca="1" si="17"/>
        <v>150.70000000000019</v>
      </c>
      <c r="AI25" s="65">
        <f t="shared" ca="1" si="14"/>
        <v>3.2999999999998124</v>
      </c>
      <c r="AJ25" s="65">
        <f t="shared" ca="1" si="15"/>
        <v>-3.25</v>
      </c>
      <c r="AK25" s="67">
        <f t="shared" ca="1" si="16"/>
        <v>134.99999999949353</v>
      </c>
    </row>
    <row r="26" spans="1:37" x14ac:dyDescent="0.25">
      <c r="A26" s="1">
        <v>23</v>
      </c>
      <c r="B26" s="25">
        <v>44007</v>
      </c>
      <c r="C26" s="10" t="s">
        <v>333</v>
      </c>
      <c r="D26" s="1">
        <v>144.30000000000001</v>
      </c>
      <c r="E26" s="30">
        <v>2700</v>
      </c>
      <c r="F26" s="1">
        <v>150</v>
      </c>
      <c r="G26" s="1">
        <v>4</v>
      </c>
      <c r="H26" s="1">
        <v>175</v>
      </c>
      <c r="I26" s="1">
        <v>0.5</v>
      </c>
      <c r="J26" s="1">
        <v>21600</v>
      </c>
      <c r="K26" s="1">
        <v>5400</v>
      </c>
      <c r="L26" s="1">
        <v>0.4</v>
      </c>
      <c r="M26" s="1">
        <v>0.6</v>
      </c>
      <c r="N26" s="1">
        <v>2700</v>
      </c>
      <c r="O26" s="9"/>
      <c r="P26" s="7">
        <f t="shared" ca="1" si="5"/>
        <v>0.14000000000000001</v>
      </c>
      <c r="Q26" s="7">
        <f t="shared" ca="1" si="6"/>
        <v>7.000000000000001E-3</v>
      </c>
      <c r="R26" s="33">
        <f t="shared" ca="1" si="0"/>
        <v>9450</v>
      </c>
      <c r="S26" s="33">
        <f t="shared" ca="1" si="1"/>
        <v>-58050</v>
      </c>
      <c r="T26" s="33">
        <f t="shared" ca="1" si="7"/>
        <v>9450</v>
      </c>
      <c r="U26" s="7">
        <f t="shared" ca="1" si="2"/>
        <v>0.16279069767441862</v>
      </c>
      <c r="V26" s="7">
        <f t="shared" ca="1" si="3"/>
        <v>-0.45913980478609634</v>
      </c>
      <c r="W26" s="33">
        <f t="shared" ca="1" si="8"/>
        <v>9450</v>
      </c>
      <c r="X26" s="7">
        <f t="shared" ca="1" si="9"/>
        <v>1</v>
      </c>
      <c r="Y26" s="7">
        <f t="shared" ca="1" si="10"/>
        <v>1.1627906976744187</v>
      </c>
      <c r="Z26" s="7">
        <f t="shared" ca="1" si="4"/>
        <v>-0.15156656192005677</v>
      </c>
      <c r="AA26" s="33">
        <f t="shared" ca="1" si="11"/>
        <v>9450</v>
      </c>
      <c r="AB26" s="7">
        <f t="shared" ca="1" si="12"/>
        <v>1</v>
      </c>
      <c r="AC26" s="7">
        <f t="shared" ca="1" si="13"/>
        <v>1.1627906976744187</v>
      </c>
      <c r="AD26" s="40"/>
      <c r="AE26" s="40"/>
      <c r="AF26" s="34"/>
      <c r="AH26" s="65">
        <f t="shared" ca="1" si="17"/>
        <v>150.7500000000002</v>
      </c>
      <c r="AI26" s="65">
        <f t="shared" ca="1" si="14"/>
        <v>3.249999999999801</v>
      </c>
      <c r="AJ26" s="65">
        <f t="shared" ca="1" si="15"/>
        <v>-3.25</v>
      </c>
      <c r="AK26" s="67">
        <f t="shared" ca="1" si="16"/>
        <v>-5.3717030823463574E-10</v>
      </c>
    </row>
    <row r="27" spans="1:37" x14ac:dyDescent="0.25">
      <c r="A27" s="1">
        <v>24</v>
      </c>
      <c r="B27" s="25">
        <v>44007</v>
      </c>
      <c r="C27" s="10" t="s">
        <v>333</v>
      </c>
      <c r="D27" s="1">
        <v>144.30000000000001</v>
      </c>
      <c r="E27" s="30">
        <v>2700</v>
      </c>
      <c r="F27" s="1">
        <v>150</v>
      </c>
      <c r="G27" s="1">
        <v>4</v>
      </c>
      <c r="H27" s="1">
        <v>180</v>
      </c>
      <c r="I27" s="1">
        <v>0.3</v>
      </c>
      <c r="J27" s="1">
        <v>272700</v>
      </c>
      <c r="K27" s="1">
        <v>18900</v>
      </c>
      <c r="L27" s="1">
        <v>0.3</v>
      </c>
      <c r="M27" s="1">
        <v>0.35</v>
      </c>
      <c r="N27" s="1">
        <v>5400</v>
      </c>
      <c r="O27" s="9"/>
      <c r="P27" s="7">
        <f t="shared" ca="1" si="5"/>
        <v>0.12333333333333334</v>
      </c>
      <c r="Q27" s="7">
        <f t="shared" ca="1" si="6"/>
        <v>6.1666666666666667E-3</v>
      </c>
      <c r="R27" s="33">
        <f t="shared" ca="1" si="0"/>
        <v>9990</v>
      </c>
      <c r="S27" s="33">
        <f t="shared" ca="1" si="1"/>
        <v>-71010</v>
      </c>
      <c r="T27" s="33">
        <f t="shared" ca="1" si="7"/>
        <v>9990</v>
      </c>
      <c r="U27" s="7">
        <f t="shared" ca="1" si="2"/>
        <v>0.14068441064638784</v>
      </c>
      <c r="V27" s="7">
        <f t="shared" ca="1" si="3"/>
        <v>-0.45913980478609634</v>
      </c>
      <c r="W27" s="33">
        <f t="shared" ca="1" si="8"/>
        <v>9990</v>
      </c>
      <c r="X27" s="7">
        <f t="shared" ca="1" si="9"/>
        <v>1</v>
      </c>
      <c r="Y27" s="7">
        <f t="shared" ca="1" si="10"/>
        <v>1.1406844106463878</v>
      </c>
      <c r="Z27" s="7">
        <f t="shared" ca="1" si="4"/>
        <v>-0.15156656192005677</v>
      </c>
      <c r="AA27" s="33">
        <f t="shared" ca="1" si="11"/>
        <v>9990</v>
      </c>
      <c r="AB27" s="7">
        <f t="shared" ca="1" si="12"/>
        <v>1</v>
      </c>
      <c r="AC27" s="7">
        <f t="shared" ca="1" si="13"/>
        <v>1.1406844106463878</v>
      </c>
      <c r="AD27" s="40"/>
      <c r="AE27" s="40"/>
      <c r="AF27" s="34"/>
      <c r="AH27" s="65">
        <f t="shared" ca="1" si="17"/>
        <v>150.80000000000021</v>
      </c>
      <c r="AI27" s="65">
        <f t="shared" ca="1" si="14"/>
        <v>3.1999999999997897</v>
      </c>
      <c r="AJ27" s="65">
        <f t="shared" ca="1" si="15"/>
        <v>-3.25</v>
      </c>
      <c r="AK27" s="67">
        <f t="shared" ca="1" si="16"/>
        <v>-135.00000000056787</v>
      </c>
    </row>
    <row r="28" spans="1:37" x14ac:dyDescent="0.25">
      <c r="A28" s="1">
        <v>25</v>
      </c>
      <c r="B28" s="25">
        <v>44007</v>
      </c>
      <c r="C28" s="10" t="s">
        <v>333</v>
      </c>
      <c r="D28" s="1">
        <v>144.30000000000001</v>
      </c>
      <c r="E28" s="30">
        <v>2700</v>
      </c>
      <c r="F28" s="1">
        <v>150</v>
      </c>
      <c r="G28" s="1">
        <v>4</v>
      </c>
      <c r="H28" s="1">
        <v>185</v>
      </c>
      <c r="I28" s="1">
        <v>0.25</v>
      </c>
      <c r="J28" s="1">
        <v>27000</v>
      </c>
      <c r="K28" s="1">
        <v>2700</v>
      </c>
      <c r="L28" s="1">
        <v>0.2</v>
      </c>
      <c r="M28" s="1">
        <v>0.3</v>
      </c>
      <c r="N28" s="1">
        <v>5400</v>
      </c>
      <c r="O28" s="9"/>
      <c r="P28" s="7">
        <f t="shared" ca="1" si="5"/>
        <v>0.10714285714285714</v>
      </c>
      <c r="Q28" s="7">
        <f t="shared" ca="1" si="6"/>
        <v>5.3571428571428572E-3</v>
      </c>
      <c r="R28" s="33">
        <f t="shared" ca="1" si="0"/>
        <v>10125</v>
      </c>
      <c r="S28" s="33">
        <f t="shared" ca="1" si="1"/>
        <v>-84375</v>
      </c>
      <c r="T28" s="33">
        <f t="shared" ca="1" si="7"/>
        <v>10125</v>
      </c>
      <c r="U28" s="7">
        <f t="shared" ca="1" si="2"/>
        <v>0.12</v>
      </c>
      <c r="V28" s="7">
        <f t="shared" ca="1" si="3"/>
        <v>-0.45913980478609634</v>
      </c>
      <c r="W28" s="33">
        <f t="shared" ca="1" si="8"/>
        <v>10125</v>
      </c>
      <c r="X28" s="7">
        <f t="shared" ca="1" si="9"/>
        <v>1</v>
      </c>
      <c r="Y28" s="7">
        <f t="shared" ca="1" si="10"/>
        <v>1.1200000000000001</v>
      </c>
      <c r="Z28" s="7">
        <f t="shared" ca="1" si="4"/>
        <v>-0.15156656192005677</v>
      </c>
      <c r="AA28" s="33">
        <f t="shared" ca="1" si="11"/>
        <v>10125</v>
      </c>
      <c r="AB28" s="7">
        <f t="shared" ca="1" si="12"/>
        <v>1</v>
      </c>
      <c r="AC28" s="7">
        <f t="shared" ca="1" si="13"/>
        <v>1.1200000000000001</v>
      </c>
      <c r="AD28" s="40"/>
      <c r="AE28" s="40"/>
      <c r="AF28" s="34"/>
      <c r="AH28" s="65">
        <f t="shared" ca="1" si="17"/>
        <v>150.85000000000022</v>
      </c>
      <c r="AI28" s="65">
        <f t="shared" ca="1" si="14"/>
        <v>3.1499999999997783</v>
      </c>
      <c r="AJ28" s="65">
        <f t="shared" ca="1" si="15"/>
        <v>-3.25</v>
      </c>
      <c r="AK28" s="67">
        <f t="shared" ca="1" si="16"/>
        <v>-270.00000000059856</v>
      </c>
    </row>
    <row r="29" spans="1:37" x14ac:dyDescent="0.25">
      <c r="A29" s="1">
        <v>26</v>
      </c>
      <c r="B29" s="25">
        <v>44007</v>
      </c>
      <c r="C29" s="10" t="s">
        <v>192</v>
      </c>
      <c r="D29" s="1">
        <v>2374.9499999999998</v>
      </c>
      <c r="E29" s="30">
        <v>250</v>
      </c>
      <c r="F29" s="1">
        <v>2500</v>
      </c>
      <c r="G29" s="1">
        <v>103.35</v>
      </c>
      <c r="H29" s="1">
        <v>2550</v>
      </c>
      <c r="I29" s="1">
        <v>88</v>
      </c>
      <c r="J29" s="1">
        <v>26750</v>
      </c>
      <c r="K29" s="1">
        <v>250</v>
      </c>
      <c r="L29" s="1">
        <v>86.85</v>
      </c>
      <c r="M29" s="1">
        <v>87.45</v>
      </c>
      <c r="N29" s="1">
        <v>250</v>
      </c>
      <c r="O29" s="9"/>
      <c r="P29" s="7">
        <f t="shared" ca="1" si="5"/>
        <v>0.30699999999999988</v>
      </c>
      <c r="Q29" s="7">
        <f t="shared" ca="1" si="6"/>
        <v>1.5349999999999994E-2</v>
      </c>
      <c r="R29" s="33">
        <f t="shared" ca="1" si="0"/>
        <v>3837.4999999999986</v>
      </c>
      <c r="S29" s="33">
        <f t="shared" ca="1" si="1"/>
        <v>-8662.5000000000018</v>
      </c>
      <c r="T29" s="33">
        <f t="shared" ca="1" si="7"/>
        <v>3837.4999999999986</v>
      </c>
      <c r="U29" s="7">
        <f t="shared" ca="1" si="2"/>
        <v>0.44300144300144273</v>
      </c>
      <c r="V29" s="7">
        <f t="shared" ca="1" si="3"/>
        <v>-0.76666319348875533</v>
      </c>
      <c r="W29" s="33">
        <f t="shared" ca="1" si="8"/>
        <v>3837.4999999999986</v>
      </c>
      <c r="X29" s="7">
        <f t="shared" ca="1" si="9"/>
        <v>1</v>
      </c>
      <c r="Y29" s="7">
        <f t="shared" ca="1" si="10"/>
        <v>1.4430014430014428</v>
      </c>
      <c r="Z29" s="7">
        <f t="shared" ca="1" si="4"/>
        <v>-0.22542059054946506</v>
      </c>
      <c r="AA29" s="33">
        <f t="shared" ca="1" si="11"/>
        <v>3837.4999999999986</v>
      </c>
      <c r="AB29" s="7">
        <f t="shared" ca="1" si="12"/>
        <v>1</v>
      </c>
      <c r="AC29" s="7">
        <f t="shared" ca="1" si="13"/>
        <v>1.4430014430014428</v>
      </c>
      <c r="AD29" s="40"/>
      <c r="AE29" s="40"/>
      <c r="AF29" s="34"/>
      <c r="AH29" s="65">
        <f t="shared" ca="1" si="17"/>
        <v>150.90000000000023</v>
      </c>
      <c r="AI29" s="65">
        <f t="shared" ca="1" si="14"/>
        <v>3.0999999999997669</v>
      </c>
      <c r="AJ29" s="65">
        <f t="shared" ca="1" si="15"/>
        <v>-3.25</v>
      </c>
      <c r="AK29" s="67">
        <f t="shared" ca="1" si="16"/>
        <v>-405.00000000062926</v>
      </c>
    </row>
    <row r="30" spans="1:37" x14ac:dyDescent="0.25">
      <c r="A30" s="1">
        <v>27</v>
      </c>
      <c r="B30" s="25">
        <v>44007</v>
      </c>
      <c r="C30" s="10" t="s">
        <v>192</v>
      </c>
      <c r="D30" s="1">
        <v>2374.9499999999998</v>
      </c>
      <c r="E30" s="30">
        <v>250</v>
      </c>
      <c r="F30" s="1">
        <v>2500</v>
      </c>
      <c r="G30" s="1">
        <v>103.35</v>
      </c>
      <c r="H30" s="1">
        <v>2600</v>
      </c>
      <c r="I30" s="1">
        <v>73.3</v>
      </c>
      <c r="J30" s="1">
        <v>301500</v>
      </c>
      <c r="K30" s="1">
        <v>250</v>
      </c>
      <c r="L30" s="1">
        <v>72.3</v>
      </c>
      <c r="M30" s="1">
        <v>72.7</v>
      </c>
      <c r="N30" s="1">
        <v>750</v>
      </c>
      <c r="O30" s="9"/>
      <c r="P30" s="7">
        <f t="shared" ca="1" si="5"/>
        <v>0.30049999999999999</v>
      </c>
      <c r="Q30" s="7">
        <f t="shared" ca="1" si="6"/>
        <v>1.5025E-2</v>
      </c>
      <c r="R30" s="33">
        <f t="shared" ca="1" si="0"/>
        <v>7512.4999999999991</v>
      </c>
      <c r="S30" s="33">
        <f t="shared" ca="1" si="1"/>
        <v>-17487.5</v>
      </c>
      <c r="T30" s="33">
        <f t="shared" ca="1" si="7"/>
        <v>7512.4999999999991</v>
      </c>
      <c r="U30" s="7">
        <f t="shared" ca="1" si="2"/>
        <v>0.42959256611865615</v>
      </c>
      <c r="V30" s="7">
        <f t="shared" ca="1" si="3"/>
        <v>-0.76666319348875533</v>
      </c>
      <c r="W30" s="33">
        <f t="shared" ca="1" si="8"/>
        <v>7512.4999999999991</v>
      </c>
      <c r="X30" s="7">
        <f t="shared" ca="1" si="9"/>
        <v>1</v>
      </c>
      <c r="Y30" s="7">
        <f t="shared" ca="1" si="10"/>
        <v>1.4295925661186561</v>
      </c>
      <c r="Z30" s="7">
        <f t="shared" ca="1" si="4"/>
        <v>-0.22542059054946506</v>
      </c>
      <c r="AA30" s="33">
        <f t="shared" ca="1" si="11"/>
        <v>7512.4999999999991</v>
      </c>
      <c r="AB30" s="7">
        <f t="shared" ca="1" si="12"/>
        <v>1</v>
      </c>
      <c r="AC30" s="7">
        <f t="shared" ca="1" si="13"/>
        <v>1.4295925661186561</v>
      </c>
      <c r="AD30" s="40"/>
      <c r="AE30" s="40"/>
      <c r="AF30" s="34"/>
      <c r="AH30" s="65">
        <f t="shared" ca="1" si="17"/>
        <v>150.95000000000024</v>
      </c>
      <c r="AI30" s="65">
        <f t="shared" ca="1" si="14"/>
        <v>3.0499999999997556</v>
      </c>
      <c r="AJ30" s="65">
        <f t="shared" ca="1" si="15"/>
        <v>-3.25</v>
      </c>
      <c r="AK30" s="67">
        <f t="shared" ca="1" si="16"/>
        <v>-540.00000000065995</v>
      </c>
    </row>
    <row r="31" spans="1:37" x14ac:dyDescent="0.25">
      <c r="A31" s="1">
        <v>28</v>
      </c>
      <c r="B31" s="25">
        <v>44007</v>
      </c>
      <c r="C31" s="10" t="s">
        <v>192</v>
      </c>
      <c r="D31" s="1">
        <v>2374.9499999999998</v>
      </c>
      <c r="E31" s="30">
        <v>250</v>
      </c>
      <c r="F31" s="1">
        <v>2500</v>
      </c>
      <c r="G31" s="1">
        <v>103.35</v>
      </c>
      <c r="H31" s="1">
        <v>2700</v>
      </c>
      <c r="I31" s="1">
        <v>50.75</v>
      </c>
      <c r="J31" s="1">
        <v>226000</v>
      </c>
      <c r="K31" s="1">
        <v>500</v>
      </c>
      <c r="L31" s="1">
        <v>50.5</v>
      </c>
      <c r="M31" s="1">
        <v>51.05</v>
      </c>
      <c r="N31" s="1">
        <v>250</v>
      </c>
      <c r="O31" s="9"/>
      <c r="P31" s="7">
        <f t="shared" ca="1" si="5"/>
        <v>0.26299999999999996</v>
      </c>
      <c r="Q31" s="7">
        <f t="shared" ca="1" si="6"/>
        <v>1.3149999999999998E-2</v>
      </c>
      <c r="R31" s="33">
        <f ca="1">$E31*($G31-$I31)</f>
        <v>13149.999999999998</v>
      </c>
      <c r="S31" s="33">
        <f t="shared" ca="1" si="1"/>
        <v>-36850</v>
      </c>
      <c r="T31" s="33">
        <f t="shared" ca="1" si="7"/>
        <v>13149.999999999998</v>
      </c>
      <c r="U31" s="7">
        <f t="shared" ca="1" si="2"/>
        <v>0.35685210312075977</v>
      </c>
      <c r="V31" s="7">
        <f t="shared" ca="1" si="3"/>
        <v>-0.76666319348875533</v>
      </c>
      <c r="W31" s="33">
        <f t="shared" ca="1" si="8"/>
        <v>13149.999999999998</v>
      </c>
      <c r="X31" s="7">
        <f t="shared" ca="1" si="9"/>
        <v>1</v>
      </c>
      <c r="Y31" s="7">
        <f t="shared" ca="1" si="10"/>
        <v>1.3568521031207599</v>
      </c>
      <c r="Z31" s="7">
        <f t="shared" ca="1" si="4"/>
        <v>-0.22542059054946506</v>
      </c>
      <c r="AA31" s="33">
        <f t="shared" ca="1" si="11"/>
        <v>13149.999999999998</v>
      </c>
      <c r="AB31" s="7">
        <f t="shared" ca="1" si="12"/>
        <v>1</v>
      </c>
      <c r="AC31" s="7">
        <f t="shared" ca="1" si="13"/>
        <v>1.3568521031207599</v>
      </c>
      <c r="AD31" s="40"/>
      <c r="AE31" s="40"/>
      <c r="AF31" s="34"/>
      <c r="AH31" s="65">
        <f t="shared" ca="1" si="17"/>
        <v>151.00000000000026</v>
      </c>
      <c r="AI31" s="65">
        <f t="shared" ca="1" si="14"/>
        <v>2.9999999999997442</v>
      </c>
      <c r="AJ31" s="65">
        <f t="shared" ca="1" si="15"/>
        <v>-3.25</v>
      </c>
      <c r="AK31" s="67">
        <f t="shared" ca="1" si="16"/>
        <v>-675.00000000069065</v>
      </c>
    </row>
    <row r="32" spans="1:37" x14ac:dyDescent="0.25">
      <c r="A32" s="1">
        <v>29</v>
      </c>
      <c r="B32" s="25">
        <v>44007</v>
      </c>
      <c r="C32" s="10" t="s">
        <v>192</v>
      </c>
      <c r="D32" s="1">
        <v>2374.9499999999998</v>
      </c>
      <c r="E32" s="30">
        <v>250</v>
      </c>
      <c r="F32" s="1">
        <v>2500</v>
      </c>
      <c r="G32" s="1">
        <v>103.35</v>
      </c>
      <c r="H32" s="1">
        <v>2800</v>
      </c>
      <c r="I32" s="1">
        <v>35.65</v>
      </c>
      <c r="J32" s="1">
        <v>141000</v>
      </c>
      <c r="K32" s="1">
        <v>500</v>
      </c>
      <c r="L32" s="1">
        <v>35.200000000000003</v>
      </c>
      <c r="M32" s="1">
        <v>35.700000000000003</v>
      </c>
      <c r="N32" s="1">
        <v>250</v>
      </c>
      <c r="O32" s="9"/>
      <c r="P32" s="7">
        <f t="shared" ca="1" si="5"/>
        <v>0.22566666666666663</v>
      </c>
      <c r="Q32" s="7">
        <f t="shared" ca="1" si="6"/>
        <v>1.1283333333333331E-2</v>
      </c>
      <c r="R32" s="33">
        <f t="shared" ca="1" si="0"/>
        <v>16924.999999999996</v>
      </c>
      <c r="S32" s="33">
        <f t="shared" ca="1" si="1"/>
        <v>-58075</v>
      </c>
      <c r="T32" s="33">
        <f t="shared" ca="1" si="7"/>
        <v>16924.999999999996</v>
      </c>
      <c r="U32" s="7">
        <f t="shared" ca="1" si="2"/>
        <v>0.2914334911752044</v>
      </c>
      <c r="V32" s="7">
        <f t="shared" ca="1" si="3"/>
        <v>-0.76666319348875533</v>
      </c>
      <c r="W32" s="33">
        <f t="shared" ca="1" si="8"/>
        <v>16924.999999999996</v>
      </c>
      <c r="X32" s="7">
        <f t="shared" ca="1" si="9"/>
        <v>1</v>
      </c>
      <c r="Y32" s="7">
        <f t="shared" ca="1" si="10"/>
        <v>1.2914334911752043</v>
      </c>
      <c r="Z32" s="7">
        <f t="shared" ca="1" si="4"/>
        <v>-0.22542059054946506</v>
      </c>
      <c r="AA32" s="33">
        <f t="shared" ca="1" si="11"/>
        <v>16924.999999999996</v>
      </c>
      <c r="AB32" s="7">
        <f t="shared" ca="1" si="12"/>
        <v>1</v>
      </c>
      <c r="AC32" s="7">
        <f t="shared" ca="1" si="13"/>
        <v>1.2914334911752043</v>
      </c>
      <c r="AD32" s="40"/>
      <c r="AE32" s="40"/>
      <c r="AF32" s="34"/>
      <c r="AH32" s="65">
        <f t="shared" ca="1" si="17"/>
        <v>151.05000000000027</v>
      </c>
      <c r="AI32" s="65">
        <f t="shared" ca="1" si="14"/>
        <v>2.9499999999997328</v>
      </c>
      <c r="AJ32" s="65">
        <f t="shared" ca="1" si="15"/>
        <v>-3.25</v>
      </c>
      <c r="AK32" s="67">
        <f t="shared" ca="1" si="16"/>
        <v>-810.00000000072134</v>
      </c>
    </row>
    <row r="33" spans="1:37" x14ac:dyDescent="0.25">
      <c r="A33" s="1">
        <v>30</v>
      </c>
      <c r="B33" s="25">
        <v>44007</v>
      </c>
      <c r="C33" s="10" t="s">
        <v>192</v>
      </c>
      <c r="D33" s="1">
        <v>2374.9499999999998</v>
      </c>
      <c r="E33" s="30">
        <v>250</v>
      </c>
      <c r="F33" s="1">
        <v>2500</v>
      </c>
      <c r="G33" s="1">
        <v>103.35</v>
      </c>
      <c r="H33" s="1">
        <v>2900</v>
      </c>
      <c r="I33" s="1">
        <v>24.35</v>
      </c>
      <c r="J33" s="1">
        <v>71500</v>
      </c>
      <c r="K33" s="1">
        <v>250</v>
      </c>
      <c r="L33" s="1">
        <v>24.35</v>
      </c>
      <c r="M33" s="1">
        <v>24.7</v>
      </c>
      <c r="N33" s="1">
        <v>250</v>
      </c>
      <c r="O33" s="9"/>
      <c r="P33" s="7">
        <f t="shared" ca="1" si="5"/>
        <v>0.19750000000000001</v>
      </c>
      <c r="Q33" s="7">
        <f t="shared" ca="1" si="6"/>
        <v>9.8750000000000001E-3</v>
      </c>
      <c r="R33" s="33">
        <f t="shared" ca="1" si="0"/>
        <v>19750</v>
      </c>
      <c r="S33" s="33">
        <f t="shared" ca="1" si="1"/>
        <v>-80250</v>
      </c>
      <c r="T33" s="33">
        <f t="shared" ca="1" si="7"/>
        <v>19750</v>
      </c>
      <c r="U33" s="7">
        <f t="shared" ca="1" si="2"/>
        <v>0.24610591900311526</v>
      </c>
      <c r="V33" s="7">
        <f t="shared" ca="1" si="3"/>
        <v>-0.76666319348875533</v>
      </c>
      <c r="W33" s="33">
        <f t="shared" ca="1" si="8"/>
        <v>19750</v>
      </c>
      <c r="X33" s="7">
        <f t="shared" ca="1" si="9"/>
        <v>1</v>
      </c>
      <c r="Y33" s="7">
        <f t="shared" ca="1" si="10"/>
        <v>1.2461059190031152</v>
      </c>
      <c r="Z33" s="7">
        <f t="shared" ca="1" si="4"/>
        <v>-0.22542059054946506</v>
      </c>
      <c r="AA33" s="33">
        <f t="shared" ca="1" si="11"/>
        <v>19750</v>
      </c>
      <c r="AB33" s="7">
        <f t="shared" ca="1" si="12"/>
        <v>1</v>
      </c>
      <c r="AC33" s="7">
        <f t="shared" ca="1" si="13"/>
        <v>1.2461059190031152</v>
      </c>
      <c r="AD33" s="40"/>
      <c r="AE33" s="40"/>
      <c r="AF33" s="34"/>
      <c r="AH33" s="65">
        <f t="shared" ca="1" si="17"/>
        <v>151.10000000000028</v>
      </c>
      <c r="AI33" s="65">
        <f t="shared" ca="1" si="14"/>
        <v>2.8999999999997215</v>
      </c>
      <c r="AJ33" s="65">
        <f t="shared" ca="1" si="15"/>
        <v>-3.25</v>
      </c>
      <c r="AK33" s="67">
        <f t="shared" ca="1" si="16"/>
        <v>-945.00000000075204</v>
      </c>
    </row>
    <row r="34" spans="1:37" x14ac:dyDescent="0.25">
      <c r="A34" s="1">
        <v>31</v>
      </c>
      <c r="B34" s="25">
        <v>44007</v>
      </c>
      <c r="C34" s="10" t="s">
        <v>192</v>
      </c>
      <c r="D34" s="1">
        <v>2374.9499999999998</v>
      </c>
      <c r="E34" s="30">
        <v>250</v>
      </c>
      <c r="F34" s="1">
        <v>2500</v>
      </c>
      <c r="G34" s="1">
        <v>103.35</v>
      </c>
      <c r="H34" s="1">
        <v>3000</v>
      </c>
      <c r="I34" s="1">
        <v>17</v>
      </c>
      <c r="J34" s="1">
        <v>285250</v>
      </c>
      <c r="K34" s="1">
        <v>250</v>
      </c>
      <c r="L34" s="1">
        <v>17</v>
      </c>
      <c r="M34" s="1">
        <v>17.399999999999999</v>
      </c>
      <c r="N34" s="1">
        <v>500</v>
      </c>
      <c r="O34" s="9"/>
      <c r="P34" s="7">
        <f t="shared" ca="1" si="5"/>
        <v>0.17269999999999999</v>
      </c>
      <c r="Q34" s="7">
        <f t="shared" ca="1" si="6"/>
        <v>8.6350000000000003E-3</v>
      </c>
      <c r="R34" s="33">
        <f t="shared" ca="1" si="0"/>
        <v>21587.5</v>
      </c>
      <c r="S34" s="33">
        <f t="shared" ca="1" si="1"/>
        <v>-103412.5</v>
      </c>
      <c r="T34" s="33">
        <f t="shared" ca="1" si="7"/>
        <v>21587.5</v>
      </c>
      <c r="U34" s="7">
        <f t="shared" ca="1" si="2"/>
        <v>0.20875135984527982</v>
      </c>
      <c r="V34" s="7">
        <f t="shared" ca="1" si="3"/>
        <v>-0.76666319348875533</v>
      </c>
      <c r="W34" s="33">
        <f t="shared" ca="1" si="8"/>
        <v>21587.5</v>
      </c>
      <c r="X34" s="7">
        <f t="shared" ca="1" si="9"/>
        <v>1</v>
      </c>
      <c r="Y34" s="7">
        <f t="shared" ca="1" si="10"/>
        <v>1.2087513598452797</v>
      </c>
      <c r="Z34" s="7">
        <f t="shared" ca="1" si="4"/>
        <v>-0.22542059054946506</v>
      </c>
      <c r="AA34" s="33">
        <f t="shared" ca="1" si="11"/>
        <v>21587.5</v>
      </c>
      <c r="AB34" s="7">
        <f t="shared" ca="1" si="12"/>
        <v>1</v>
      </c>
      <c r="AC34" s="7">
        <f t="shared" ca="1" si="13"/>
        <v>1.2087513598452797</v>
      </c>
      <c r="AD34" s="40"/>
      <c r="AE34" s="40"/>
      <c r="AF34" s="34"/>
      <c r="AH34" s="65">
        <f t="shared" ca="1" si="17"/>
        <v>151.15000000000029</v>
      </c>
      <c r="AI34" s="65">
        <f t="shared" ca="1" si="14"/>
        <v>2.8499999999997101</v>
      </c>
      <c r="AJ34" s="65">
        <f t="shared" ca="1" si="15"/>
        <v>-3.25</v>
      </c>
      <c r="AK34" s="67">
        <f t="shared" ca="1" si="16"/>
        <v>-1080.0000000007826</v>
      </c>
    </row>
    <row r="35" spans="1:37" x14ac:dyDescent="0.25">
      <c r="A35" s="1">
        <v>32</v>
      </c>
      <c r="B35" s="25">
        <v>44007</v>
      </c>
      <c r="C35" s="10" t="s">
        <v>192</v>
      </c>
      <c r="D35" s="1">
        <v>2374.9499999999998</v>
      </c>
      <c r="E35" s="30">
        <v>250</v>
      </c>
      <c r="F35" s="1">
        <v>2500</v>
      </c>
      <c r="G35" s="1">
        <v>103.35</v>
      </c>
      <c r="H35" s="1">
        <v>3100</v>
      </c>
      <c r="I35" s="1">
        <v>13</v>
      </c>
      <c r="J35" s="1">
        <v>29500</v>
      </c>
      <c r="K35" s="1">
        <v>250</v>
      </c>
      <c r="L35" s="1">
        <v>11.65</v>
      </c>
      <c r="M35" s="1">
        <v>12.25</v>
      </c>
      <c r="N35" s="1">
        <v>250</v>
      </c>
      <c r="O35" s="9"/>
      <c r="P35" s="7">
        <f t="shared" ca="1" si="5"/>
        <v>0.15058333333333332</v>
      </c>
      <c r="Q35" s="7">
        <f t="shared" ca="1" si="6"/>
        <v>7.5291666666666658E-3</v>
      </c>
      <c r="R35" s="33">
        <f t="shared" ca="1" si="0"/>
        <v>22587.5</v>
      </c>
      <c r="S35" s="33">
        <f t="shared" ca="1" si="1"/>
        <v>-127412.5</v>
      </c>
      <c r="T35" s="33">
        <f t="shared" ca="1" si="7"/>
        <v>22587.5</v>
      </c>
      <c r="U35" s="7">
        <f t="shared" ca="1" si="2"/>
        <v>0.17727852447758266</v>
      </c>
      <c r="V35" s="7">
        <f t="shared" ca="1" si="3"/>
        <v>-0.76666319348875533</v>
      </c>
      <c r="W35" s="33">
        <f t="shared" ca="1" si="8"/>
        <v>22587.5</v>
      </c>
      <c r="X35" s="7">
        <f t="shared" ca="1" si="9"/>
        <v>1</v>
      </c>
      <c r="Y35" s="7">
        <f t="shared" ca="1" si="10"/>
        <v>1.1772785244775827</v>
      </c>
      <c r="Z35" s="7">
        <f t="shared" ca="1" si="4"/>
        <v>-0.22542059054946506</v>
      </c>
      <c r="AA35" s="33">
        <f t="shared" ca="1" si="11"/>
        <v>22587.5</v>
      </c>
      <c r="AB35" s="7">
        <f t="shared" ca="1" si="12"/>
        <v>1</v>
      </c>
      <c r="AC35" s="7">
        <f t="shared" ca="1" si="13"/>
        <v>1.1772785244775827</v>
      </c>
      <c r="AD35" s="40"/>
      <c r="AE35" s="40"/>
      <c r="AF35" s="34"/>
      <c r="AH35" s="65">
        <f t="shared" ca="1" si="17"/>
        <v>151.2000000000003</v>
      </c>
      <c r="AI35" s="65">
        <f t="shared" ca="1" si="14"/>
        <v>2.7999999999996987</v>
      </c>
      <c r="AJ35" s="65">
        <f t="shared" ca="1" si="15"/>
        <v>-3.25</v>
      </c>
      <c r="AK35" s="67">
        <f t="shared" ca="1" si="16"/>
        <v>-1215.0000000008135</v>
      </c>
    </row>
    <row r="36" spans="1:37" x14ac:dyDescent="0.25">
      <c r="A36" s="1">
        <v>33</v>
      </c>
      <c r="B36" s="25">
        <v>44007</v>
      </c>
      <c r="C36" s="10" t="s">
        <v>192</v>
      </c>
      <c r="D36" s="1">
        <v>2374.9499999999998</v>
      </c>
      <c r="E36" s="30">
        <v>250</v>
      </c>
      <c r="F36" s="1">
        <v>2500</v>
      </c>
      <c r="G36" s="1">
        <v>103.35</v>
      </c>
      <c r="H36" s="1">
        <v>3200</v>
      </c>
      <c r="I36" s="1">
        <v>8.1999999999999993</v>
      </c>
      <c r="J36" s="1">
        <v>54500</v>
      </c>
      <c r="K36" s="1">
        <v>250</v>
      </c>
      <c r="L36" s="1">
        <v>8.15</v>
      </c>
      <c r="M36" s="1">
        <v>8.6999999999999993</v>
      </c>
      <c r="N36" s="1">
        <v>250</v>
      </c>
      <c r="O36" s="9"/>
      <c r="P36" s="7">
        <f t="shared" ca="1" si="5"/>
        <v>0.13592857142857143</v>
      </c>
      <c r="Q36" s="7">
        <f t="shared" ca="1" si="6"/>
        <v>6.7964285714285713E-3</v>
      </c>
      <c r="R36" s="33">
        <f t="shared" ca="1" si="0"/>
        <v>23787.499999999996</v>
      </c>
      <c r="S36" s="33">
        <f t="shared" ca="1" si="1"/>
        <v>-151212.5</v>
      </c>
      <c r="T36" s="33">
        <f t="shared" ca="1" si="7"/>
        <v>23787.499999999996</v>
      </c>
      <c r="U36" s="7">
        <f t="shared" ca="1" si="2"/>
        <v>0.15731173018103659</v>
      </c>
      <c r="V36" s="7">
        <f t="shared" ca="1" si="3"/>
        <v>-0.76666319348875533</v>
      </c>
      <c r="W36" s="33">
        <f t="shared" ca="1" si="8"/>
        <v>23787.499999999996</v>
      </c>
      <c r="X36" s="7">
        <f t="shared" ca="1" si="9"/>
        <v>1</v>
      </c>
      <c r="Y36" s="7">
        <f t="shared" ca="1" si="10"/>
        <v>1.1573117301810365</v>
      </c>
      <c r="Z36" s="7">
        <f t="shared" ca="1" si="4"/>
        <v>-0.22542059054946506</v>
      </c>
      <c r="AA36" s="33">
        <f t="shared" ca="1" si="11"/>
        <v>23787.499999999996</v>
      </c>
      <c r="AB36" s="7">
        <f t="shared" ca="1" si="12"/>
        <v>1</v>
      </c>
      <c r="AC36" s="7">
        <f t="shared" ca="1" si="13"/>
        <v>1.1573117301810365</v>
      </c>
      <c r="AD36" s="40"/>
      <c r="AE36" s="40"/>
      <c r="AF36" s="34"/>
      <c r="AH36" s="65">
        <f t="shared" ca="1" si="17"/>
        <v>151.25000000000031</v>
      </c>
      <c r="AI36" s="65">
        <f t="shared" ca="1" si="14"/>
        <v>2.7499999999996874</v>
      </c>
      <c r="AJ36" s="65">
        <f t="shared" ca="1" si="15"/>
        <v>-3.25</v>
      </c>
      <c r="AK36" s="67">
        <f t="shared" ca="1" si="16"/>
        <v>-1350.000000000844</v>
      </c>
    </row>
    <row r="37" spans="1:37" x14ac:dyDescent="0.25">
      <c r="A37" s="1">
        <v>34</v>
      </c>
      <c r="B37" s="25">
        <v>44007</v>
      </c>
      <c r="C37" s="10" t="s">
        <v>192</v>
      </c>
      <c r="D37" s="1">
        <v>2374.9499999999998</v>
      </c>
      <c r="E37" s="30">
        <v>250</v>
      </c>
      <c r="F37" s="1">
        <v>2500</v>
      </c>
      <c r="G37" s="1">
        <v>103.35</v>
      </c>
      <c r="H37" s="1">
        <v>3300</v>
      </c>
      <c r="I37" s="1">
        <v>6.4</v>
      </c>
      <c r="J37" s="1">
        <v>32250</v>
      </c>
      <c r="K37" s="1">
        <v>250</v>
      </c>
      <c r="L37" s="1">
        <v>6.1</v>
      </c>
      <c r="M37" s="1">
        <v>6.5</v>
      </c>
      <c r="N37" s="1">
        <v>250</v>
      </c>
      <c r="O37" s="9"/>
      <c r="P37" s="7">
        <f t="shared" ca="1" si="5"/>
        <v>0.12118749999999999</v>
      </c>
      <c r="Q37" s="7">
        <f t="shared" ca="1" si="6"/>
        <v>6.0593749999999997E-3</v>
      </c>
      <c r="R37" s="33">
        <f t="shared" ca="1" si="0"/>
        <v>24237.499999999996</v>
      </c>
      <c r="S37" s="33">
        <f t="shared" ca="1" si="1"/>
        <v>-175762.5</v>
      </c>
      <c r="T37" s="33">
        <f t="shared" ca="1" si="7"/>
        <v>24237.499999999996</v>
      </c>
      <c r="U37" s="7">
        <f t="shared" ca="1" si="2"/>
        <v>0.13789915368750441</v>
      </c>
      <c r="V37" s="7">
        <f t="shared" ca="1" si="3"/>
        <v>-0.76666319348875533</v>
      </c>
      <c r="W37" s="33">
        <f t="shared" ca="1" si="8"/>
        <v>24237.499999999996</v>
      </c>
      <c r="X37" s="7">
        <f t="shared" ca="1" si="9"/>
        <v>1</v>
      </c>
      <c r="Y37" s="7">
        <f t="shared" ca="1" si="10"/>
        <v>1.1378991536875045</v>
      </c>
      <c r="Z37" s="7">
        <f t="shared" ca="1" si="4"/>
        <v>-0.22542059054946506</v>
      </c>
      <c r="AA37" s="33">
        <f t="shared" ca="1" si="11"/>
        <v>24237.499999999996</v>
      </c>
      <c r="AB37" s="7">
        <f t="shared" ca="1" si="12"/>
        <v>1</v>
      </c>
      <c r="AC37" s="7">
        <f t="shared" ca="1" si="13"/>
        <v>1.1378991536875045</v>
      </c>
      <c r="AD37" s="40"/>
      <c r="AE37" s="40"/>
      <c r="AF37" s="34"/>
      <c r="AH37" s="65">
        <f t="shared" ca="1" si="17"/>
        <v>151.30000000000032</v>
      </c>
      <c r="AI37" s="65">
        <f t="shared" ca="1" si="14"/>
        <v>2.699999999999676</v>
      </c>
      <c r="AJ37" s="65">
        <f t="shared" ca="1" si="15"/>
        <v>-3.25</v>
      </c>
      <c r="AK37" s="67">
        <f t="shared" ca="1" si="16"/>
        <v>-1485.0000000008749</v>
      </c>
    </row>
    <row r="38" spans="1:37" x14ac:dyDescent="0.25">
      <c r="A38" s="1">
        <v>35</v>
      </c>
      <c r="B38" s="25">
        <v>44007</v>
      </c>
      <c r="C38" s="10" t="s">
        <v>154</v>
      </c>
      <c r="D38" s="1">
        <v>1636.95</v>
      </c>
      <c r="E38" s="30">
        <v>300</v>
      </c>
      <c r="F38" s="1">
        <v>1800</v>
      </c>
      <c r="G38" s="1">
        <v>13.3</v>
      </c>
      <c r="H38" s="1">
        <v>1820</v>
      </c>
      <c r="I38" s="1">
        <v>10.1</v>
      </c>
      <c r="J38" s="1">
        <v>23100</v>
      </c>
      <c r="K38" s="1">
        <v>300</v>
      </c>
      <c r="L38" s="1">
        <v>9.5</v>
      </c>
      <c r="M38" s="1">
        <v>10.5</v>
      </c>
      <c r="N38" s="1">
        <v>300</v>
      </c>
      <c r="O38" s="9"/>
      <c r="P38" s="7">
        <f t="shared" ca="1" si="5"/>
        <v>0.16000000000000006</v>
      </c>
      <c r="Q38" s="7">
        <f t="shared" ca="1" si="6"/>
        <v>8.0000000000000036E-3</v>
      </c>
      <c r="R38" s="33">
        <f t="shared" ca="1" si="0"/>
        <v>960.00000000000034</v>
      </c>
      <c r="S38" s="33">
        <f t="shared" ca="1" si="1"/>
        <v>-5040</v>
      </c>
      <c r="T38" s="33">
        <f t="shared" ca="1" si="7"/>
        <v>960.00000000000034</v>
      </c>
      <c r="U38" s="7">
        <f t="shared" ca="1" si="2"/>
        <v>0.19047619047619055</v>
      </c>
      <c r="V38" s="7">
        <f t="shared" ca="1" si="3"/>
        <v>-0.22944352857700726</v>
      </c>
      <c r="W38" s="33">
        <f t="shared" ca="1" si="8"/>
        <v>960.00000000000034</v>
      </c>
      <c r="X38" s="7">
        <f t="shared" ca="1" si="9"/>
        <v>1</v>
      </c>
      <c r="Y38" s="7">
        <f t="shared" ca="1" si="10"/>
        <v>1.1904761904761905</v>
      </c>
      <c r="Z38" s="7">
        <f t="shared" ca="1" si="4"/>
        <v>-5.6770186082470676E-2</v>
      </c>
      <c r="AA38" s="33">
        <f t="shared" ca="1" si="11"/>
        <v>960.00000000000034</v>
      </c>
      <c r="AB38" s="7">
        <f t="shared" ca="1" si="12"/>
        <v>1</v>
      </c>
      <c r="AC38" s="7">
        <f t="shared" ca="1" si="13"/>
        <v>1.1904761904761905</v>
      </c>
      <c r="AD38" s="40"/>
      <c r="AE38" s="40"/>
      <c r="AF38" s="34"/>
      <c r="AH38" s="65">
        <f t="shared" ca="1" si="17"/>
        <v>151.35000000000034</v>
      </c>
      <c r="AI38" s="65">
        <f t="shared" ca="1" si="14"/>
        <v>2.6499999999996646</v>
      </c>
      <c r="AJ38" s="65">
        <f t="shared" ca="1" si="15"/>
        <v>-3.25</v>
      </c>
      <c r="AK38" s="67">
        <f t="shared" ca="1" si="16"/>
        <v>-1620.0000000009054</v>
      </c>
    </row>
    <row r="39" spans="1:37" x14ac:dyDescent="0.25">
      <c r="A39" s="1">
        <v>36</v>
      </c>
      <c r="B39" s="25">
        <v>44007</v>
      </c>
      <c r="C39" s="10" t="s">
        <v>912</v>
      </c>
      <c r="D39" s="1">
        <v>260.64999999999998</v>
      </c>
      <c r="E39" s="30">
        <v>1300</v>
      </c>
      <c r="F39" s="1">
        <v>280</v>
      </c>
      <c r="G39" s="1">
        <v>9.6999999999999993</v>
      </c>
      <c r="H39" s="1">
        <v>290</v>
      </c>
      <c r="I39" s="1">
        <v>7.05</v>
      </c>
      <c r="J39" s="1">
        <v>182000</v>
      </c>
      <c r="K39" s="1">
        <v>2600</v>
      </c>
      <c r="L39" s="1">
        <v>7.1</v>
      </c>
      <c r="M39" s="1">
        <v>7.25</v>
      </c>
      <c r="N39" s="1">
        <v>1300</v>
      </c>
      <c r="O39" s="9"/>
      <c r="P39" s="7">
        <f t="shared" ca="1" si="5"/>
        <v>0.26499999999999996</v>
      </c>
      <c r="Q39" s="7">
        <f t="shared" ca="1" si="6"/>
        <v>1.3249999999999998E-2</v>
      </c>
      <c r="R39" s="33">
        <f t="shared" ca="1" si="0"/>
        <v>3444.9999999999991</v>
      </c>
      <c r="S39" s="33">
        <f t="shared" ca="1" si="1"/>
        <v>-9555</v>
      </c>
      <c r="T39" s="33">
        <f t="shared" ca="1" si="7"/>
        <v>3444.9999999999991</v>
      </c>
      <c r="U39" s="7">
        <f t="shared" ca="1" si="2"/>
        <v>0.36054421768707473</v>
      </c>
      <c r="V39" s="7">
        <f t="shared" ca="1" si="3"/>
        <v>-0.64334325251065516</v>
      </c>
      <c r="W39" s="33">
        <f t="shared" ca="1" si="8"/>
        <v>3444.9999999999991</v>
      </c>
      <c r="X39" s="7">
        <f t="shared" ca="1" si="9"/>
        <v>1</v>
      </c>
      <c r="Y39" s="7">
        <f t="shared" ca="1" si="10"/>
        <v>1.3605442176870748</v>
      </c>
      <c r="Z39" s="7">
        <f t="shared" ca="1" si="4"/>
        <v>-0.15160892923192404</v>
      </c>
      <c r="AA39" s="33">
        <f t="shared" ca="1" si="11"/>
        <v>3444.9999999999991</v>
      </c>
      <c r="AB39" s="7">
        <f t="shared" ca="1" si="12"/>
        <v>1</v>
      </c>
      <c r="AC39" s="7">
        <f t="shared" ca="1" si="13"/>
        <v>1.3605442176870748</v>
      </c>
      <c r="AD39" s="40"/>
      <c r="AE39" s="40"/>
      <c r="AF39" s="34"/>
      <c r="AH39" s="65">
        <f t="shared" ca="1" si="17"/>
        <v>151.40000000000035</v>
      </c>
      <c r="AI39" s="65">
        <f t="shared" ca="1" si="14"/>
        <v>2.5999999999996533</v>
      </c>
      <c r="AJ39" s="65">
        <f t="shared" ca="1" si="15"/>
        <v>-3.25</v>
      </c>
      <c r="AK39" s="67">
        <f t="shared" ca="1" si="16"/>
        <v>-1755.0000000009363</v>
      </c>
    </row>
    <row r="40" spans="1:37" x14ac:dyDescent="0.25">
      <c r="A40" s="1">
        <v>37</v>
      </c>
      <c r="B40" s="25">
        <v>44007</v>
      </c>
      <c r="C40" s="10" t="s">
        <v>912</v>
      </c>
      <c r="D40" s="1">
        <v>260.64999999999998</v>
      </c>
      <c r="E40" s="30">
        <v>1300</v>
      </c>
      <c r="F40" s="1">
        <v>280</v>
      </c>
      <c r="G40" s="1">
        <v>9.6999999999999993</v>
      </c>
      <c r="H40" s="1">
        <v>300</v>
      </c>
      <c r="I40" s="1">
        <v>5.4</v>
      </c>
      <c r="J40" s="1">
        <v>471900</v>
      </c>
      <c r="K40" s="1">
        <v>2600</v>
      </c>
      <c r="L40" s="1">
        <v>5.3</v>
      </c>
      <c r="M40" s="1">
        <v>5.4</v>
      </c>
      <c r="N40" s="1">
        <v>1300</v>
      </c>
      <c r="O40" s="9"/>
      <c r="P40" s="7">
        <f t="shared" ca="1" si="5"/>
        <v>0.21499999999999994</v>
      </c>
      <c r="Q40" s="7">
        <f t="shared" ref="Q40:Q103" ca="1" si="18">P40/($B40-TODAY())</f>
        <v>1.0749999999999997E-2</v>
      </c>
      <c r="R40" s="33">
        <f t="shared" ca="1" si="0"/>
        <v>5589.9999999999982</v>
      </c>
      <c r="S40" s="33">
        <f t="shared" ca="1" si="1"/>
        <v>-20410</v>
      </c>
      <c r="T40" s="33">
        <f t="shared" ref="T40:T103" ca="1" si="19">R40</f>
        <v>5589.9999999999982</v>
      </c>
      <c r="U40" s="7">
        <f t="shared" ca="1" si="2"/>
        <v>0.27388535031847122</v>
      </c>
      <c r="V40" s="7">
        <f t="shared" ca="1" si="3"/>
        <v>-0.64334325251065516</v>
      </c>
      <c r="W40" s="33">
        <f t="shared" ref="W40:W103" ca="1" si="20">-(MAX(($F40-MAX($D40*(1+V40),$H40)),0)*$E40-$R40)</f>
        <v>5589.9999999999982</v>
      </c>
      <c r="X40" s="7">
        <f t="shared" ref="X40:X103" ca="1" si="21">W40/$R40</f>
        <v>1</v>
      </c>
      <c r="Y40" s="7">
        <f t="shared" ref="Y40:Y103" ca="1" si="22">$U40+X40</f>
        <v>1.2738853503184713</v>
      </c>
      <c r="Z40" s="7">
        <f t="shared" ca="1" si="4"/>
        <v>-0.15160892923192404</v>
      </c>
      <c r="AA40" s="33">
        <f t="shared" ref="AA40:AA103" ca="1" si="23">-(MAX(($F40-MAX($D40*(1+Z40),$H40)),0)*$E40-$R40)</f>
        <v>5589.9999999999982</v>
      </c>
      <c r="AB40" s="7">
        <f t="shared" ref="AB40:AB103" ca="1" si="24">AA40/$R40</f>
        <v>1</v>
      </c>
      <c r="AC40" s="7">
        <f t="shared" ref="AC40:AC103" ca="1" si="25">$U40+AB40</f>
        <v>1.2738853503184713</v>
      </c>
      <c r="AD40" s="40"/>
      <c r="AE40" s="40"/>
      <c r="AF40" s="34"/>
      <c r="AH40" s="65">
        <f t="shared" ca="1" si="17"/>
        <v>151.45000000000036</v>
      </c>
      <c r="AI40" s="65">
        <f t="shared" ref="AI40:AI64" ca="1" si="26">-MAX(-$AI$2+AH40,0)+$AI$1</f>
        <v>2.5499999999996419</v>
      </c>
      <c r="AJ40" s="65">
        <f t="shared" ref="AJ40:AJ64" ca="1" si="27">MAX(AH40-$AJ$2,0)-$AJ$1</f>
        <v>-3.25</v>
      </c>
      <c r="AK40" s="67">
        <f t="shared" ref="AK40:AK64" ca="1" si="28">(AI40+AJ40)*$AK$1</f>
        <v>-1890.0000000009668</v>
      </c>
    </row>
    <row r="41" spans="1:37" x14ac:dyDescent="0.25">
      <c r="A41" s="1">
        <v>38</v>
      </c>
      <c r="B41" s="25">
        <v>44007</v>
      </c>
      <c r="C41" s="10" t="s">
        <v>912</v>
      </c>
      <c r="D41" s="1">
        <v>260.64999999999998</v>
      </c>
      <c r="E41" s="30">
        <v>1300</v>
      </c>
      <c r="F41" s="1">
        <v>280</v>
      </c>
      <c r="G41" s="1">
        <v>9.6999999999999993</v>
      </c>
      <c r="H41" s="1">
        <v>310</v>
      </c>
      <c r="I41" s="1">
        <v>3.7</v>
      </c>
      <c r="J41" s="1">
        <v>33800</v>
      </c>
      <c r="K41" s="1">
        <v>1300</v>
      </c>
      <c r="L41" s="1">
        <v>3.75</v>
      </c>
      <c r="M41" s="1">
        <v>4.4000000000000004</v>
      </c>
      <c r="N41" s="1">
        <v>2600</v>
      </c>
      <c r="O41" s="9"/>
      <c r="P41" s="7">
        <f t="shared" ca="1" si="5"/>
        <v>0.19999999999999998</v>
      </c>
      <c r="Q41" s="7">
        <f t="shared" ca="1" si="18"/>
        <v>9.9999999999999985E-3</v>
      </c>
      <c r="R41" s="33">
        <f t="shared" ca="1" si="0"/>
        <v>7799.9999999999991</v>
      </c>
      <c r="S41" s="33">
        <f t="shared" ca="1" si="1"/>
        <v>-31200</v>
      </c>
      <c r="T41" s="33">
        <f t="shared" ca="1" si="19"/>
        <v>7799.9999999999991</v>
      </c>
      <c r="U41" s="7">
        <f t="shared" ca="1" si="2"/>
        <v>0.24999999999999997</v>
      </c>
      <c r="V41" s="7">
        <f t="shared" ca="1" si="3"/>
        <v>-0.64334325251065516</v>
      </c>
      <c r="W41" s="33">
        <f t="shared" ca="1" si="20"/>
        <v>7799.9999999999991</v>
      </c>
      <c r="X41" s="7">
        <f t="shared" ca="1" si="21"/>
        <v>1</v>
      </c>
      <c r="Y41" s="7">
        <f t="shared" ca="1" si="22"/>
        <v>1.25</v>
      </c>
      <c r="Z41" s="7">
        <f t="shared" ca="1" si="4"/>
        <v>-0.15160892923192404</v>
      </c>
      <c r="AA41" s="33">
        <f t="shared" ca="1" si="23"/>
        <v>7799.9999999999991</v>
      </c>
      <c r="AB41" s="7">
        <f t="shared" ca="1" si="24"/>
        <v>1</v>
      </c>
      <c r="AC41" s="7">
        <f t="shared" ca="1" si="25"/>
        <v>1.25</v>
      </c>
      <c r="AD41" s="40"/>
      <c r="AE41" s="40"/>
      <c r="AF41" s="34"/>
      <c r="AH41" s="65">
        <f t="shared" ref="AH41:AH64" ca="1" si="29">AH40+$AH$2</f>
        <v>151.50000000000037</v>
      </c>
      <c r="AI41" s="65">
        <f t="shared" ca="1" si="26"/>
        <v>2.4999999999996305</v>
      </c>
      <c r="AJ41" s="65">
        <f t="shared" ca="1" si="27"/>
        <v>-3.25</v>
      </c>
      <c r="AK41" s="67">
        <f t="shared" ca="1" si="28"/>
        <v>-2025.0000000009977</v>
      </c>
    </row>
    <row r="42" spans="1:37" x14ac:dyDescent="0.25">
      <c r="A42" s="1">
        <v>39</v>
      </c>
      <c r="B42" s="25">
        <v>44007</v>
      </c>
      <c r="C42" s="10" t="s">
        <v>912</v>
      </c>
      <c r="D42" s="1">
        <v>260.64999999999998</v>
      </c>
      <c r="E42" s="30">
        <v>1300</v>
      </c>
      <c r="F42" s="1">
        <v>280</v>
      </c>
      <c r="G42" s="1">
        <v>9.6999999999999993</v>
      </c>
      <c r="H42" s="1">
        <v>320</v>
      </c>
      <c r="I42" s="1">
        <v>2.5499999999999998</v>
      </c>
      <c r="J42" s="1">
        <v>71500</v>
      </c>
      <c r="K42" s="1">
        <v>2600</v>
      </c>
      <c r="L42" s="1">
        <v>2.65</v>
      </c>
      <c r="M42" s="1">
        <v>2.95</v>
      </c>
      <c r="N42" s="1">
        <v>1300</v>
      </c>
      <c r="O42" s="9"/>
      <c r="P42" s="7">
        <f t="shared" ca="1" si="5"/>
        <v>0.17874999999999999</v>
      </c>
      <c r="Q42" s="7">
        <f t="shared" ca="1" si="18"/>
        <v>8.9374999999999993E-3</v>
      </c>
      <c r="R42" s="33">
        <f t="shared" ca="1" si="0"/>
        <v>9295</v>
      </c>
      <c r="S42" s="33">
        <f t="shared" ca="1" si="1"/>
        <v>-42705</v>
      </c>
      <c r="T42" s="33">
        <f t="shared" ca="1" si="19"/>
        <v>9295</v>
      </c>
      <c r="U42" s="7">
        <f t="shared" ca="1" si="2"/>
        <v>0.21765601217656011</v>
      </c>
      <c r="V42" s="7">
        <f t="shared" ca="1" si="3"/>
        <v>-0.64334325251065516</v>
      </c>
      <c r="W42" s="33">
        <f t="shared" ca="1" si="20"/>
        <v>9295</v>
      </c>
      <c r="X42" s="7">
        <f t="shared" ca="1" si="21"/>
        <v>1</v>
      </c>
      <c r="Y42" s="7">
        <f t="shared" ca="1" si="22"/>
        <v>1.2176560121765601</v>
      </c>
      <c r="Z42" s="7">
        <f t="shared" ca="1" si="4"/>
        <v>-0.15160892923192404</v>
      </c>
      <c r="AA42" s="33">
        <f t="shared" ca="1" si="23"/>
        <v>9295</v>
      </c>
      <c r="AB42" s="7">
        <f t="shared" ca="1" si="24"/>
        <v>1</v>
      </c>
      <c r="AC42" s="7">
        <f t="shared" ca="1" si="25"/>
        <v>1.2176560121765601</v>
      </c>
      <c r="AD42" s="40"/>
      <c r="AE42" s="40"/>
      <c r="AF42" s="34"/>
      <c r="AH42" s="65">
        <f t="shared" ca="1" si="29"/>
        <v>151.55000000000038</v>
      </c>
      <c r="AI42" s="65">
        <f t="shared" ca="1" si="26"/>
        <v>2.4499999999996191</v>
      </c>
      <c r="AJ42" s="65">
        <f t="shared" ca="1" si="27"/>
        <v>-3.25</v>
      </c>
      <c r="AK42" s="67">
        <f t="shared" ca="1" si="28"/>
        <v>-2160.0000000010282</v>
      </c>
    </row>
    <row r="43" spans="1:37" x14ac:dyDescent="0.25">
      <c r="A43" s="1">
        <v>40</v>
      </c>
      <c r="B43" s="25">
        <v>44007</v>
      </c>
      <c r="C43" s="10" t="s">
        <v>912</v>
      </c>
      <c r="D43" s="1">
        <v>260.64999999999998</v>
      </c>
      <c r="E43" s="30">
        <v>1300</v>
      </c>
      <c r="F43" s="1">
        <v>280</v>
      </c>
      <c r="G43" s="1">
        <v>9.6999999999999993</v>
      </c>
      <c r="H43" s="1">
        <v>350</v>
      </c>
      <c r="I43" s="1">
        <v>1</v>
      </c>
      <c r="J43" s="1">
        <v>92300</v>
      </c>
      <c r="K43" s="1">
        <v>1300</v>
      </c>
      <c r="L43" s="1">
        <v>0.7</v>
      </c>
      <c r="M43" s="1">
        <v>1.25</v>
      </c>
      <c r="N43" s="1">
        <v>5200</v>
      </c>
      <c r="O43" s="9"/>
      <c r="P43" s="7">
        <f t="shared" ca="1" si="5"/>
        <v>0.12428571428571428</v>
      </c>
      <c r="Q43" s="7">
        <f t="shared" ca="1" si="18"/>
        <v>6.2142857142857139E-3</v>
      </c>
      <c r="R43" s="33">
        <f t="shared" ca="1" si="0"/>
        <v>11309.999999999998</v>
      </c>
      <c r="S43" s="33">
        <f t="shared" ca="1" si="1"/>
        <v>-79690</v>
      </c>
      <c r="T43" s="33">
        <f t="shared" ca="1" si="19"/>
        <v>11309.999999999998</v>
      </c>
      <c r="U43" s="7">
        <f t="shared" ca="1" si="2"/>
        <v>0.14192495921696571</v>
      </c>
      <c r="V43" s="7">
        <f t="shared" ca="1" si="3"/>
        <v>-0.64334325251065516</v>
      </c>
      <c r="W43" s="33">
        <f t="shared" ca="1" si="20"/>
        <v>11309.999999999998</v>
      </c>
      <c r="X43" s="7">
        <f t="shared" ca="1" si="21"/>
        <v>1</v>
      </c>
      <c r="Y43" s="7">
        <f t="shared" ca="1" si="22"/>
        <v>1.1419249592169658</v>
      </c>
      <c r="Z43" s="7">
        <f t="shared" ca="1" si="4"/>
        <v>-0.15160892923192404</v>
      </c>
      <c r="AA43" s="33">
        <f t="shared" ca="1" si="23"/>
        <v>11309.999999999998</v>
      </c>
      <c r="AB43" s="7">
        <f t="shared" ca="1" si="24"/>
        <v>1</v>
      </c>
      <c r="AC43" s="7">
        <f t="shared" ca="1" si="25"/>
        <v>1.1419249592169658</v>
      </c>
      <c r="AD43" s="40"/>
      <c r="AE43" s="40"/>
      <c r="AF43" s="34"/>
      <c r="AH43" s="65">
        <f t="shared" ca="1" si="29"/>
        <v>151.60000000000039</v>
      </c>
      <c r="AI43" s="65">
        <f t="shared" ca="1" si="26"/>
        <v>2.3999999999996078</v>
      </c>
      <c r="AJ43" s="65">
        <f t="shared" ca="1" si="27"/>
        <v>-3.25</v>
      </c>
      <c r="AK43" s="67">
        <f t="shared" ca="1" si="28"/>
        <v>-2295.0000000010591</v>
      </c>
    </row>
    <row r="44" spans="1:37" x14ac:dyDescent="0.25">
      <c r="A44" s="1">
        <v>41</v>
      </c>
      <c r="B44" s="25">
        <v>44007</v>
      </c>
      <c r="C44" s="10" t="s">
        <v>1210</v>
      </c>
      <c r="D44" s="1">
        <v>33.549999999999997</v>
      </c>
      <c r="E44" s="30">
        <v>8300</v>
      </c>
      <c r="F44" s="1">
        <v>36</v>
      </c>
      <c r="G44" s="1">
        <v>2.1</v>
      </c>
      <c r="H44" s="1">
        <v>37</v>
      </c>
      <c r="I44" s="1">
        <v>1.8</v>
      </c>
      <c r="J44" s="1">
        <v>796800</v>
      </c>
      <c r="K44" s="1">
        <v>16600</v>
      </c>
      <c r="L44" s="1">
        <v>1.75</v>
      </c>
      <c r="M44" s="1">
        <v>1.8</v>
      </c>
      <c r="N44" s="1">
        <v>16600</v>
      </c>
      <c r="O44" s="9"/>
      <c r="P44" s="7">
        <f t="shared" ca="1" si="5"/>
        <v>0.30000000000000004</v>
      </c>
      <c r="Q44" s="7">
        <f t="shared" ca="1" si="18"/>
        <v>1.5000000000000003E-2</v>
      </c>
      <c r="R44" s="33">
        <f t="shared" ca="1" si="0"/>
        <v>2490.0000000000005</v>
      </c>
      <c r="S44" s="33">
        <f t="shared" ca="1" si="1"/>
        <v>-5810</v>
      </c>
      <c r="T44" s="33">
        <f t="shared" ca="1" si="19"/>
        <v>2490.0000000000005</v>
      </c>
      <c r="U44" s="7">
        <f t="shared" ca="1" si="2"/>
        <v>0.42857142857142866</v>
      </c>
      <c r="V44" s="7">
        <f t="shared" ca="1" si="3"/>
        <v>-0.5284472251158101</v>
      </c>
      <c r="W44" s="33">
        <f t="shared" ca="1" si="20"/>
        <v>2490.0000000000005</v>
      </c>
      <c r="X44" s="7">
        <f t="shared" ca="1" si="21"/>
        <v>1</v>
      </c>
      <c r="Y44" s="7">
        <f t="shared" ca="1" si="22"/>
        <v>1.4285714285714286</v>
      </c>
      <c r="Z44" s="7">
        <f t="shared" ca="1" si="4"/>
        <v>-0.12323849981980685</v>
      </c>
      <c r="AA44" s="33">
        <f t="shared" ca="1" si="23"/>
        <v>2490.0000000000005</v>
      </c>
      <c r="AB44" s="7">
        <f t="shared" ca="1" si="24"/>
        <v>1</v>
      </c>
      <c r="AC44" s="7">
        <f t="shared" ca="1" si="25"/>
        <v>1.4285714285714286</v>
      </c>
      <c r="AD44" s="40"/>
      <c r="AE44" s="40"/>
      <c r="AF44" s="34"/>
      <c r="AH44" s="65">
        <f t="shared" ca="1" si="29"/>
        <v>151.6500000000004</v>
      </c>
      <c r="AI44" s="65">
        <f t="shared" ca="1" si="26"/>
        <v>2.3499999999995964</v>
      </c>
      <c r="AJ44" s="65">
        <f t="shared" ca="1" si="27"/>
        <v>-3.25</v>
      </c>
      <c r="AK44" s="67">
        <f t="shared" ca="1" si="28"/>
        <v>-2430.0000000010896</v>
      </c>
    </row>
    <row r="45" spans="1:37" x14ac:dyDescent="0.25">
      <c r="A45" s="1">
        <v>42</v>
      </c>
      <c r="B45" s="25">
        <v>44007</v>
      </c>
      <c r="C45" s="10" t="s">
        <v>1210</v>
      </c>
      <c r="D45" s="1">
        <v>33.549999999999997</v>
      </c>
      <c r="E45" s="30">
        <v>8300</v>
      </c>
      <c r="F45" s="1">
        <v>36</v>
      </c>
      <c r="G45" s="1">
        <v>2.1</v>
      </c>
      <c r="H45" s="1">
        <v>38</v>
      </c>
      <c r="I45" s="1">
        <v>1.55</v>
      </c>
      <c r="J45" s="1">
        <v>672300</v>
      </c>
      <c r="K45" s="1">
        <v>24900</v>
      </c>
      <c r="L45" s="1">
        <v>1.5</v>
      </c>
      <c r="M45" s="1">
        <v>1.6</v>
      </c>
      <c r="N45" s="1">
        <v>58100</v>
      </c>
      <c r="O45" s="9"/>
      <c r="P45" s="7">
        <f t="shared" ca="1" si="5"/>
        <v>0.27500000000000002</v>
      </c>
      <c r="Q45" s="7">
        <f t="shared" ca="1" si="18"/>
        <v>1.3750000000000002E-2</v>
      </c>
      <c r="R45" s="33">
        <f t="shared" ca="1" si="0"/>
        <v>4565</v>
      </c>
      <c r="S45" s="33">
        <f t="shared" ca="1" si="1"/>
        <v>-12035</v>
      </c>
      <c r="T45" s="33">
        <f t="shared" ca="1" si="19"/>
        <v>4565</v>
      </c>
      <c r="U45" s="7">
        <f t="shared" ca="1" si="2"/>
        <v>0.37931034482758619</v>
      </c>
      <c r="V45" s="7">
        <f t="shared" ca="1" si="3"/>
        <v>-0.5284472251158101</v>
      </c>
      <c r="W45" s="33">
        <f t="shared" ca="1" si="20"/>
        <v>4565</v>
      </c>
      <c r="X45" s="7">
        <f t="shared" ca="1" si="21"/>
        <v>1</v>
      </c>
      <c r="Y45" s="7">
        <f t="shared" ca="1" si="22"/>
        <v>1.3793103448275863</v>
      </c>
      <c r="Z45" s="7">
        <f t="shared" ca="1" si="4"/>
        <v>-0.12323849981980685</v>
      </c>
      <c r="AA45" s="33">
        <f t="shared" ca="1" si="23"/>
        <v>4565</v>
      </c>
      <c r="AB45" s="7">
        <f t="shared" ca="1" si="24"/>
        <v>1</v>
      </c>
      <c r="AC45" s="7">
        <f t="shared" ca="1" si="25"/>
        <v>1.3793103448275863</v>
      </c>
      <c r="AD45" s="40"/>
      <c r="AE45" s="40"/>
      <c r="AF45" s="34"/>
      <c r="AH45" s="65">
        <f t="shared" ca="1" si="29"/>
        <v>151.70000000000041</v>
      </c>
      <c r="AI45" s="65">
        <f t="shared" ca="1" si="26"/>
        <v>2.299999999999585</v>
      </c>
      <c r="AJ45" s="65">
        <f t="shared" ca="1" si="27"/>
        <v>-3.25</v>
      </c>
      <c r="AK45" s="67">
        <f t="shared" ca="1" si="28"/>
        <v>-2565.0000000011205</v>
      </c>
    </row>
    <row r="46" spans="1:37" x14ac:dyDescent="0.25">
      <c r="A46" s="1">
        <v>43</v>
      </c>
      <c r="B46" s="25">
        <v>44007</v>
      </c>
      <c r="C46" s="10" t="s">
        <v>1210</v>
      </c>
      <c r="D46" s="1">
        <v>33.549999999999997</v>
      </c>
      <c r="E46" s="30">
        <v>8300</v>
      </c>
      <c r="F46" s="1">
        <v>36</v>
      </c>
      <c r="G46" s="1">
        <v>2.1</v>
      </c>
      <c r="H46" s="1">
        <v>39</v>
      </c>
      <c r="I46" s="1">
        <v>1.35</v>
      </c>
      <c r="J46" s="1">
        <v>149400</v>
      </c>
      <c r="K46" s="1">
        <v>16600</v>
      </c>
      <c r="L46" s="1">
        <v>1.3</v>
      </c>
      <c r="M46" s="1">
        <v>1.4</v>
      </c>
      <c r="N46" s="1">
        <v>24900</v>
      </c>
      <c r="O46" s="9"/>
      <c r="P46" s="7">
        <f t="shared" ca="1" si="5"/>
        <v>0.25</v>
      </c>
      <c r="Q46" s="7">
        <f t="shared" ca="1" si="18"/>
        <v>1.2500000000000001E-2</v>
      </c>
      <c r="R46" s="33">
        <f t="shared" ca="1" si="0"/>
        <v>6225</v>
      </c>
      <c r="S46" s="33">
        <f t="shared" ca="1" si="1"/>
        <v>-18675</v>
      </c>
      <c r="T46" s="33">
        <f t="shared" ca="1" si="19"/>
        <v>6225</v>
      </c>
      <c r="U46" s="7">
        <f t="shared" ca="1" si="2"/>
        <v>0.33333333333333331</v>
      </c>
      <c r="V46" s="7">
        <f t="shared" ca="1" si="3"/>
        <v>-0.5284472251158101</v>
      </c>
      <c r="W46" s="33">
        <f t="shared" ca="1" si="20"/>
        <v>6225</v>
      </c>
      <c r="X46" s="7">
        <f t="shared" ca="1" si="21"/>
        <v>1</v>
      </c>
      <c r="Y46" s="7">
        <f t="shared" ca="1" si="22"/>
        <v>1.3333333333333333</v>
      </c>
      <c r="Z46" s="7">
        <f t="shared" ca="1" si="4"/>
        <v>-0.12323849981980685</v>
      </c>
      <c r="AA46" s="33">
        <f t="shared" ca="1" si="23"/>
        <v>6225</v>
      </c>
      <c r="AB46" s="7">
        <f t="shared" ca="1" si="24"/>
        <v>1</v>
      </c>
      <c r="AC46" s="7">
        <f t="shared" ca="1" si="25"/>
        <v>1.3333333333333333</v>
      </c>
      <c r="AD46" s="40"/>
      <c r="AE46" s="40"/>
      <c r="AF46" s="34"/>
      <c r="AH46" s="65">
        <f t="shared" ca="1" si="29"/>
        <v>151.75000000000043</v>
      </c>
      <c r="AI46" s="65">
        <f t="shared" ca="1" si="26"/>
        <v>2.2499999999995737</v>
      </c>
      <c r="AJ46" s="65">
        <f t="shared" ca="1" si="27"/>
        <v>-3.25</v>
      </c>
      <c r="AK46" s="67">
        <f t="shared" ca="1" si="28"/>
        <v>-2700.000000001151</v>
      </c>
    </row>
    <row r="47" spans="1:37" x14ac:dyDescent="0.25">
      <c r="A47" s="1">
        <v>44</v>
      </c>
      <c r="B47" s="25">
        <v>44007</v>
      </c>
      <c r="C47" s="10" t="s">
        <v>1210</v>
      </c>
      <c r="D47" s="1">
        <v>33.549999999999997</v>
      </c>
      <c r="E47" s="30">
        <v>8300</v>
      </c>
      <c r="F47" s="1">
        <v>36</v>
      </c>
      <c r="G47" s="1">
        <v>2.1</v>
      </c>
      <c r="H47" s="1">
        <v>40</v>
      </c>
      <c r="I47" s="1">
        <v>1.1499999999999999</v>
      </c>
      <c r="J47" s="1">
        <v>2755600</v>
      </c>
      <c r="K47" s="1">
        <v>74700</v>
      </c>
      <c r="L47" s="1">
        <v>1.1000000000000001</v>
      </c>
      <c r="M47" s="1">
        <v>1.2</v>
      </c>
      <c r="N47" s="1">
        <v>41500</v>
      </c>
      <c r="O47" s="9"/>
      <c r="P47" s="7">
        <f t="shared" ca="1" si="5"/>
        <v>0.23750000000000004</v>
      </c>
      <c r="Q47" s="7">
        <f t="shared" ca="1" si="18"/>
        <v>1.1875000000000002E-2</v>
      </c>
      <c r="R47" s="33">
        <f t="shared" ca="1" si="0"/>
        <v>7885.0000000000018</v>
      </c>
      <c r="S47" s="33">
        <f t="shared" ca="1" si="1"/>
        <v>-25315</v>
      </c>
      <c r="T47" s="33">
        <f t="shared" ca="1" si="19"/>
        <v>7885.0000000000018</v>
      </c>
      <c r="U47" s="7">
        <f t="shared" ca="1" si="2"/>
        <v>0.31147540983606564</v>
      </c>
      <c r="V47" s="7">
        <f t="shared" ca="1" si="3"/>
        <v>-0.5284472251158101</v>
      </c>
      <c r="W47" s="33">
        <f t="shared" ca="1" si="20"/>
        <v>7885.0000000000018</v>
      </c>
      <c r="X47" s="7">
        <f t="shared" ca="1" si="21"/>
        <v>1</v>
      </c>
      <c r="Y47" s="7">
        <f t="shared" ca="1" si="22"/>
        <v>1.3114754098360657</v>
      </c>
      <c r="Z47" s="7">
        <f t="shared" ca="1" si="4"/>
        <v>-0.12323849981980685</v>
      </c>
      <c r="AA47" s="33">
        <f t="shared" ca="1" si="23"/>
        <v>7885.0000000000018</v>
      </c>
      <c r="AB47" s="7">
        <f t="shared" ca="1" si="24"/>
        <v>1</v>
      </c>
      <c r="AC47" s="7">
        <f t="shared" ca="1" si="25"/>
        <v>1.3114754098360657</v>
      </c>
      <c r="AD47" s="40"/>
      <c r="AE47" s="40"/>
      <c r="AF47" s="34"/>
      <c r="AH47" s="65">
        <f t="shared" ca="1" si="29"/>
        <v>151.80000000000044</v>
      </c>
      <c r="AI47" s="65">
        <f t="shared" ca="1" si="26"/>
        <v>2.1999999999995623</v>
      </c>
      <c r="AJ47" s="65">
        <f t="shared" ca="1" si="27"/>
        <v>-3.25</v>
      </c>
      <c r="AK47" s="67">
        <f t="shared" ca="1" si="28"/>
        <v>-2835.0000000011819</v>
      </c>
    </row>
    <row r="48" spans="1:37" x14ac:dyDescent="0.25">
      <c r="A48" s="1">
        <v>45</v>
      </c>
      <c r="B48" s="25">
        <v>44007</v>
      </c>
      <c r="C48" s="10" t="s">
        <v>1210</v>
      </c>
      <c r="D48" s="1">
        <v>33.549999999999997</v>
      </c>
      <c r="E48" s="30">
        <v>8300</v>
      </c>
      <c r="F48" s="1">
        <v>36</v>
      </c>
      <c r="G48" s="1">
        <v>2.1</v>
      </c>
      <c r="H48" s="1">
        <v>41</v>
      </c>
      <c r="I48" s="1">
        <v>1</v>
      </c>
      <c r="J48" s="1">
        <v>49800</v>
      </c>
      <c r="K48" s="1">
        <v>8300</v>
      </c>
      <c r="L48" s="1">
        <v>0.95</v>
      </c>
      <c r="M48" s="1">
        <v>1.1499999999999999</v>
      </c>
      <c r="N48" s="1">
        <v>8300</v>
      </c>
      <c r="O48" s="9"/>
      <c r="P48" s="7">
        <f t="shared" ca="1" si="5"/>
        <v>0.22000000000000003</v>
      </c>
      <c r="Q48" s="7">
        <f t="shared" ca="1" si="18"/>
        <v>1.1000000000000001E-2</v>
      </c>
      <c r="R48" s="33">
        <f t="shared" ca="1" si="0"/>
        <v>9130</v>
      </c>
      <c r="S48" s="33">
        <f t="shared" ca="1" si="1"/>
        <v>-32370</v>
      </c>
      <c r="T48" s="33">
        <f t="shared" ca="1" si="19"/>
        <v>9130</v>
      </c>
      <c r="U48" s="7">
        <f t="shared" ca="1" si="2"/>
        <v>0.28205128205128205</v>
      </c>
      <c r="V48" s="7">
        <f t="shared" ca="1" si="3"/>
        <v>-0.5284472251158101</v>
      </c>
      <c r="W48" s="33">
        <f t="shared" ca="1" si="20"/>
        <v>9130</v>
      </c>
      <c r="X48" s="7">
        <f t="shared" ca="1" si="21"/>
        <v>1</v>
      </c>
      <c r="Y48" s="7">
        <f t="shared" ca="1" si="22"/>
        <v>1.2820512820512819</v>
      </c>
      <c r="Z48" s="7">
        <f t="shared" ca="1" si="4"/>
        <v>-0.12323849981980685</v>
      </c>
      <c r="AA48" s="33">
        <f t="shared" ca="1" si="23"/>
        <v>9130</v>
      </c>
      <c r="AB48" s="7">
        <f t="shared" ca="1" si="24"/>
        <v>1</v>
      </c>
      <c r="AC48" s="7">
        <f t="shared" ca="1" si="25"/>
        <v>1.2820512820512819</v>
      </c>
      <c r="AD48" s="40"/>
      <c r="AE48" s="40"/>
      <c r="AF48" s="34"/>
      <c r="AH48" s="65">
        <f t="shared" ca="1" si="29"/>
        <v>151.85000000000045</v>
      </c>
      <c r="AI48" s="65">
        <f t="shared" ca="1" si="26"/>
        <v>2.1499999999995509</v>
      </c>
      <c r="AJ48" s="65">
        <f t="shared" ca="1" si="27"/>
        <v>-3.25</v>
      </c>
      <c r="AK48" s="67">
        <f t="shared" ca="1" si="28"/>
        <v>-2970.0000000012124</v>
      </c>
    </row>
    <row r="49" spans="1:37" x14ac:dyDescent="0.25">
      <c r="A49" s="1">
        <v>46</v>
      </c>
      <c r="B49" s="25">
        <v>44007</v>
      </c>
      <c r="C49" s="10" t="s">
        <v>1210</v>
      </c>
      <c r="D49" s="1">
        <v>33.549999999999997</v>
      </c>
      <c r="E49" s="30">
        <v>8300</v>
      </c>
      <c r="F49" s="1">
        <v>36</v>
      </c>
      <c r="G49" s="1">
        <v>2.1</v>
      </c>
      <c r="H49" s="1">
        <v>42</v>
      </c>
      <c r="I49" s="1">
        <v>0.9</v>
      </c>
      <c r="J49" s="1">
        <v>141100</v>
      </c>
      <c r="K49" s="1">
        <v>41500</v>
      </c>
      <c r="L49" s="1">
        <v>0.75</v>
      </c>
      <c r="M49" s="1">
        <v>0.9</v>
      </c>
      <c r="N49" s="1">
        <v>24900</v>
      </c>
      <c r="O49" s="9"/>
      <c r="P49" s="7">
        <f t="shared" ca="1" si="5"/>
        <v>0.20000000000000004</v>
      </c>
      <c r="Q49" s="7">
        <f t="shared" ca="1" si="18"/>
        <v>1.0000000000000002E-2</v>
      </c>
      <c r="R49" s="33">
        <f t="shared" ca="1" si="0"/>
        <v>9960.0000000000018</v>
      </c>
      <c r="S49" s="33">
        <f t="shared" ca="1" si="1"/>
        <v>-39840</v>
      </c>
      <c r="T49" s="33">
        <f t="shared" ca="1" si="19"/>
        <v>9960.0000000000018</v>
      </c>
      <c r="U49" s="7">
        <f t="shared" ca="1" si="2"/>
        <v>0.25000000000000006</v>
      </c>
      <c r="V49" s="7">
        <f t="shared" ca="1" si="3"/>
        <v>-0.5284472251158101</v>
      </c>
      <c r="W49" s="33">
        <f t="shared" ca="1" si="20"/>
        <v>9960.0000000000018</v>
      </c>
      <c r="X49" s="7">
        <f t="shared" ca="1" si="21"/>
        <v>1</v>
      </c>
      <c r="Y49" s="7">
        <f t="shared" ca="1" si="22"/>
        <v>1.25</v>
      </c>
      <c r="Z49" s="7">
        <f t="shared" ca="1" si="4"/>
        <v>-0.12323849981980685</v>
      </c>
      <c r="AA49" s="33">
        <f t="shared" ca="1" si="23"/>
        <v>9960.0000000000018</v>
      </c>
      <c r="AB49" s="7">
        <f t="shared" ca="1" si="24"/>
        <v>1</v>
      </c>
      <c r="AC49" s="7">
        <f t="shared" ca="1" si="25"/>
        <v>1.25</v>
      </c>
      <c r="AD49" s="40"/>
      <c r="AE49" s="40"/>
      <c r="AF49" s="34"/>
      <c r="AH49" s="65">
        <f t="shared" ca="1" si="29"/>
        <v>151.90000000000046</v>
      </c>
      <c r="AI49" s="65">
        <f t="shared" ca="1" si="26"/>
        <v>2.0999999999995396</v>
      </c>
      <c r="AJ49" s="65">
        <f t="shared" ca="1" si="27"/>
        <v>-3.25</v>
      </c>
      <c r="AK49" s="67">
        <f t="shared" ca="1" si="28"/>
        <v>-3105.0000000012433</v>
      </c>
    </row>
    <row r="50" spans="1:37" x14ac:dyDescent="0.25">
      <c r="A50" s="1">
        <v>47</v>
      </c>
      <c r="B50" s="25">
        <v>44007</v>
      </c>
      <c r="C50" s="10" t="s">
        <v>1210</v>
      </c>
      <c r="D50" s="1">
        <v>33.549999999999997</v>
      </c>
      <c r="E50" s="30">
        <v>8300</v>
      </c>
      <c r="F50" s="1">
        <v>36</v>
      </c>
      <c r="G50" s="1">
        <v>2.1</v>
      </c>
      <c r="H50" s="1">
        <v>45</v>
      </c>
      <c r="I50" s="1">
        <v>0.55000000000000004</v>
      </c>
      <c r="J50" s="1">
        <v>805100</v>
      </c>
      <c r="K50" s="1">
        <v>49800</v>
      </c>
      <c r="L50" s="1">
        <v>0.5</v>
      </c>
      <c r="M50" s="1">
        <v>0.55000000000000004</v>
      </c>
      <c r="N50" s="1">
        <v>8300</v>
      </c>
      <c r="O50" s="9"/>
      <c r="P50" s="7">
        <f t="shared" ca="1" si="5"/>
        <v>0.17222222222222222</v>
      </c>
      <c r="Q50" s="7">
        <f t="shared" ca="1" si="18"/>
        <v>8.611111111111111E-3</v>
      </c>
      <c r="R50" s="33">
        <f t="shared" ca="1" si="0"/>
        <v>12865</v>
      </c>
      <c r="S50" s="33">
        <f t="shared" ca="1" si="1"/>
        <v>-61835</v>
      </c>
      <c r="T50" s="33">
        <f t="shared" ca="1" si="19"/>
        <v>12865</v>
      </c>
      <c r="U50" s="7">
        <f t="shared" ca="1" si="2"/>
        <v>0.20805369127516779</v>
      </c>
      <c r="V50" s="7">
        <f t="shared" ca="1" si="3"/>
        <v>-0.5284472251158101</v>
      </c>
      <c r="W50" s="33">
        <f t="shared" ca="1" si="20"/>
        <v>12865</v>
      </c>
      <c r="X50" s="7">
        <f t="shared" ca="1" si="21"/>
        <v>1</v>
      </c>
      <c r="Y50" s="7">
        <f t="shared" ca="1" si="22"/>
        <v>1.2080536912751678</v>
      </c>
      <c r="Z50" s="7">
        <f t="shared" ca="1" si="4"/>
        <v>-0.12323849981980685</v>
      </c>
      <c r="AA50" s="33">
        <f t="shared" ca="1" si="23"/>
        <v>12865</v>
      </c>
      <c r="AB50" s="7">
        <f t="shared" ca="1" si="24"/>
        <v>1</v>
      </c>
      <c r="AC50" s="7">
        <f t="shared" ca="1" si="25"/>
        <v>1.2080536912751678</v>
      </c>
      <c r="AD50" s="40"/>
      <c r="AE50" s="40"/>
      <c r="AF50" s="34"/>
      <c r="AH50" s="65">
        <f t="shared" ca="1" si="29"/>
        <v>151.95000000000047</v>
      </c>
      <c r="AI50" s="65">
        <f t="shared" ca="1" si="26"/>
        <v>2.0499999999995282</v>
      </c>
      <c r="AJ50" s="65">
        <f t="shared" ca="1" si="27"/>
        <v>-3.25</v>
      </c>
      <c r="AK50" s="67">
        <f t="shared" ca="1" si="28"/>
        <v>-3240.0000000012737</v>
      </c>
    </row>
    <row r="51" spans="1:37" x14ac:dyDescent="0.25">
      <c r="A51" s="1">
        <v>48</v>
      </c>
      <c r="B51" s="25">
        <v>44007</v>
      </c>
      <c r="C51" s="10" t="s">
        <v>1210</v>
      </c>
      <c r="D51" s="1">
        <v>33.549999999999997</v>
      </c>
      <c r="E51" s="30">
        <v>8300</v>
      </c>
      <c r="F51" s="1">
        <v>36</v>
      </c>
      <c r="G51" s="1">
        <v>2.1</v>
      </c>
      <c r="H51" s="1">
        <v>47</v>
      </c>
      <c r="I51" s="1">
        <v>0.45</v>
      </c>
      <c r="J51" s="1">
        <v>24900</v>
      </c>
      <c r="K51" s="1">
        <v>16600</v>
      </c>
      <c r="L51" s="1">
        <v>0.3</v>
      </c>
      <c r="M51" s="1">
        <v>0.5</v>
      </c>
      <c r="N51" s="1">
        <v>41500</v>
      </c>
      <c r="O51" s="9"/>
      <c r="P51" s="7">
        <f t="shared" ca="1" si="5"/>
        <v>0.15000000000000002</v>
      </c>
      <c r="Q51" s="7">
        <f t="shared" ca="1" si="18"/>
        <v>7.5000000000000015E-3</v>
      </c>
      <c r="R51" s="33">
        <f t="shared" ca="1" si="0"/>
        <v>13695.000000000002</v>
      </c>
      <c r="S51" s="33">
        <f t="shared" ca="1" si="1"/>
        <v>-77605</v>
      </c>
      <c r="T51" s="33">
        <f t="shared" ca="1" si="19"/>
        <v>13695.000000000002</v>
      </c>
      <c r="U51" s="7">
        <f t="shared" ca="1" si="2"/>
        <v>0.17647058823529413</v>
      </c>
      <c r="V51" s="7">
        <f t="shared" ca="1" si="3"/>
        <v>-0.5284472251158101</v>
      </c>
      <c r="W51" s="33">
        <f t="shared" ca="1" si="20"/>
        <v>13695.000000000002</v>
      </c>
      <c r="X51" s="7">
        <f t="shared" ca="1" si="21"/>
        <v>1</v>
      </c>
      <c r="Y51" s="7">
        <f t="shared" ca="1" si="22"/>
        <v>1.1764705882352942</v>
      </c>
      <c r="Z51" s="7">
        <f t="shared" ca="1" si="4"/>
        <v>-0.12323849981980685</v>
      </c>
      <c r="AA51" s="33">
        <f t="shared" ca="1" si="23"/>
        <v>13695.000000000002</v>
      </c>
      <c r="AB51" s="7">
        <f t="shared" ca="1" si="24"/>
        <v>1</v>
      </c>
      <c r="AC51" s="7">
        <f t="shared" ca="1" si="25"/>
        <v>1.1764705882352942</v>
      </c>
      <c r="AD51" s="40"/>
      <c r="AE51" s="40"/>
      <c r="AF51" s="34"/>
      <c r="AH51" s="65">
        <f t="shared" ca="1" si="29"/>
        <v>152.00000000000048</v>
      </c>
      <c r="AI51" s="65">
        <f t="shared" ca="1" si="26"/>
        <v>1.9999999999995168</v>
      </c>
      <c r="AJ51" s="65">
        <f t="shared" ca="1" si="27"/>
        <v>-3.25</v>
      </c>
      <c r="AK51" s="67">
        <f t="shared" ca="1" si="28"/>
        <v>-3375.0000000013047</v>
      </c>
    </row>
    <row r="52" spans="1:37" x14ac:dyDescent="0.25">
      <c r="A52" s="1">
        <v>49</v>
      </c>
      <c r="B52" s="25">
        <v>44007</v>
      </c>
      <c r="C52" s="10" t="s">
        <v>1210</v>
      </c>
      <c r="D52" s="1">
        <v>33.549999999999997</v>
      </c>
      <c r="E52" s="30">
        <v>8300</v>
      </c>
      <c r="F52" s="1">
        <v>36</v>
      </c>
      <c r="G52" s="1">
        <v>2.1</v>
      </c>
      <c r="H52" s="1">
        <v>49</v>
      </c>
      <c r="I52" s="1">
        <v>0.25</v>
      </c>
      <c r="J52" s="1">
        <v>249000</v>
      </c>
      <c r="K52" s="1">
        <v>41500</v>
      </c>
      <c r="L52" s="1">
        <v>0.2</v>
      </c>
      <c r="M52" s="1">
        <v>0.25</v>
      </c>
      <c r="N52" s="1">
        <v>8300</v>
      </c>
      <c r="O52" s="9"/>
      <c r="P52" s="7">
        <f t="shared" ca="1" si="5"/>
        <v>0.1423076923076923</v>
      </c>
      <c r="Q52" s="7">
        <f t="shared" ca="1" si="18"/>
        <v>7.1153846153846154E-3</v>
      </c>
      <c r="R52" s="33">
        <f t="shared" ca="1" si="0"/>
        <v>15355</v>
      </c>
      <c r="S52" s="33">
        <f t="shared" ca="1" si="1"/>
        <v>-92545</v>
      </c>
      <c r="T52" s="33">
        <f t="shared" ca="1" si="19"/>
        <v>15355</v>
      </c>
      <c r="U52" s="7">
        <f t="shared" ca="1" si="2"/>
        <v>0.16591928251121077</v>
      </c>
      <c r="V52" s="7">
        <f t="shared" ca="1" si="3"/>
        <v>-0.5284472251158101</v>
      </c>
      <c r="W52" s="33">
        <f t="shared" ca="1" si="20"/>
        <v>15355</v>
      </c>
      <c r="X52" s="7">
        <f t="shared" ca="1" si="21"/>
        <v>1</v>
      </c>
      <c r="Y52" s="7">
        <f t="shared" ca="1" si="22"/>
        <v>1.1659192825112108</v>
      </c>
      <c r="Z52" s="7">
        <f t="shared" ca="1" si="4"/>
        <v>-0.12323849981980685</v>
      </c>
      <c r="AA52" s="33">
        <f t="shared" ca="1" si="23"/>
        <v>15355</v>
      </c>
      <c r="AB52" s="7">
        <f t="shared" ca="1" si="24"/>
        <v>1</v>
      </c>
      <c r="AC52" s="7">
        <f t="shared" ca="1" si="25"/>
        <v>1.1659192825112108</v>
      </c>
      <c r="AD52" s="40"/>
      <c r="AE52" s="40"/>
      <c r="AF52" s="34"/>
      <c r="AH52" s="65">
        <f t="shared" ca="1" si="29"/>
        <v>152.05000000000049</v>
      </c>
      <c r="AI52" s="65">
        <f t="shared" ca="1" si="26"/>
        <v>1.9499999999995055</v>
      </c>
      <c r="AJ52" s="65">
        <f t="shared" ca="1" si="27"/>
        <v>-3.25</v>
      </c>
      <c r="AK52" s="67">
        <f t="shared" ca="1" si="28"/>
        <v>-3510.0000000013351</v>
      </c>
    </row>
    <row r="53" spans="1:37" x14ac:dyDescent="0.25">
      <c r="A53" s="1">
        <v>50</v>
      </c>
      <c r="B53" s="25">
        <v>44007</v>
      </c>
      <c r="C53" s="10" t="s">
        <v>1623</v>
      </c>
      <c r="D53" s="1">
        <v>990</v>
      </c>
      <c r="E53" s="30">
        <v>750</v>
      </c>
      <c r="F53" s="1">
        <v>1080</v>
      </c>
      <c r="G53" s="1">
        <v>17.649999999999999</v>
      </c>
      <c r="H53" s="1">
        <v>1100</v>
      </c>
      <c r="I53" s="1">
        <v>13.2</v>
      </c>
      <c r="J53" s="1">
        <v>209250</v>
      </c>
      <c r="K53" s="1">
        <v>750</v>
      </c>
      <c r="L53" s="1">
        <v>13.05</v>
      </c>
      <c r="M53" s="1">
        <v>13.3</v>
      </c>
      <c r="N53" s="1">
        <v>750</v>
      </c>
      <c r="O53" s="9"/>
      <c r="P53" s="7">
        <f t="shared" ca="1" si="5"/>
        <v>0.22249999999999998</v>
      </c>
      <c r="Q53" s="7">
        <f t="shared" ca="1" si="18"/>
        <v>1.1124999999999999E-2</v>
      </c>
      <c r="R53" s="33">
        <f t="shared" ca="1" si="0"/>
        <v>3337.4999999999995</v>
      </c>
      <c r="S53" s="33">
        <f t="shared" ca="1" si="1"/>
        <v>-11662.5</v>
      </c>
      <c r="T53" s="33">
        <f t="shared" ca="1" si="19"/>
        <v>3337.4999999999995</v>
      </c>
      <c r="U53" s="7">
        <f t="shared" ca="1" si="2"/>
        <v>0.28617363344051444</v>
      </c>
      <c r="V53" s="7">
        <f t="shared" ca="1" si="3"/>
        <v>-0.50683490095369133</v>
      </c>
      <c r="W53" s="33">
        <f t="shared" ca="1" si="20"/>
        <v>3337.4999999999995</v>
      </c>
      <c r="X53" s="7">
        <f t="shared" ca="1" si="21"/>
        <v>1</v>
      </c>
      <c r="Y53" s="7">
        <f t="shared" ca="1" si="22"/>
        <v>1.2861736334405145</v>
      </c>
      <c r="Z53" s="7">
        <f t="shared" ca="1" si="4"/>
        <v>-0.12715870795308526</v>
      </c>
      <c r="AA53" s="33">
        <f t="shared" ca="1" si="23"/>
        <v>3337.4999999999995</v>
      </c>
      <c r="AB53" s="7">
        <f t="shared" ca="1" si="24"/>
        <v>1</v>
      </c>
      <c r="AC53" s="7">
        <f t="shared" ca="1" si="25"/>
        <v>1.2861736334405145</v>
      </c>
      <c r="AD53" s="40"/>
      <c r="AE53" s="40"/>
      <c r="AF53" s="34"/>
      <c r="AH53" s="65">
        <f t="shared" ca="1" si="29"/>
        <v>152.10000000000051</v>
      </c>
      <c r="AI53" s="65">
        <f t="shared" ca="1" si="26"/>
        <v>1.8999999999994941</v>
      </c>
      <c r="AJ53" s="65">
        <f t="shared" ca="1" si="27"/>
        <v>-3.25</v>
      </c>
      <c r="AK53" s="67">
        <f t="shared" ca="1" si="28"/>
        <v>-3645.0000000013661</v>
      </c>
    </row>
    <row r="54" spans="1:37" x14ac:dyDescent="0.25">
      <c r="A54" s="1">
        <v>51</v>
      </c>
      <c r="B54" s="25">
        <v>44007</v>
      </c>
      <c r="C54" s="10" t="s">
        <v>1623</v>
      </c>
      <c r="D54" s="1">
        <v>990</v>
      </c>
      <c r="E54" s="30">
        <v>750</v>
      </c>
      <c r="F54" s="1">
        <v>1080</v>
      </c>
      <c r="G54" s="1">
        <v>17.649999999999999</v>
      </c>
      <c r="H54" s="1">
        <v>1200</v>
      </c>
      <c r="I54" s="1">
        <v>3.9</v>
      </c>
      <c r="J54" s="1">
        <v>64500</v>
      </c>
      <c r="K54" s="1">
        <v>750</v>
      </c>
      <c r="L54" s="1">
        <v>3.75</v>
      </c>
      <c r="M54" s="1">
        <v>4</v>
      </c>
      <c r="N54" s="1">
        <v>750</v>
      </c>
      <c r="O54" s="9"/>
      <c r="P54" s="7">
        <f t="shared" ca="1" si="5"/>
        <v>0.11458333333333331</v>
      </c>
      <c r="Q54" s="7">
        <f t="shared" ca="1" si="18"/>
        <v>5.7291666666666654E-3</v>
      </c>
      <c r="R54" s="33">
        <f t="shared" ca="1" si="0"/>
        <v>10312.499999999998</v>
      </c>
      <c r="S54" s="33">
        <f t="shared" ca="1" si="1"/>
        <v>-79687.5</v>
      </c>
      <c r="T54" s="33">
        <f t="shared" ca="1" si="19"/>
        <v>10312.499999999998</v>
      </c>
      <c r="U54" s="7">
        <f t="shared" ca="1" si="2"/>
        <v>0.12941176470588234</v>
      </c>
      <c r="V54" s="7">
        <f t="shared" ca="1" si="3"/>
        <v>-0.50683490095369133</v>
      </c>
      <c r="W54" s="33">
        <f t="shared" ca="1" si="20"/>
        <v>10312.499999999998</v>
      </c>
      <c r="X54" s="7">
        <f t="shared" ca="1" si="21"/>
        <v>1</v>
      </c>
      <c r="Y54" s="7">
        <f t="shared" ca="1" si="22"/>
        <v>1.1294117647058823</v>
      </c>
      <c r="Z54" s="7">
        <f t="shared" ca="1" si="4"/>
        <v>-0.12715870795308526</v>
      </c>
      <c r="AA54" s="33">
        <f t="shared" ca="1" si="23"/>
        <v>10312.499999999998</v>
      </c>
      <c r="AB54" s="7">
        <f t="shared" ca="1" si="24"/>
        <v>1</v>
      </c>
      <c r="AC54" s="7">
        <f t="shared" ca="1" si="25"/>
        <v>1.1294117647058823</v>
      </c>
      <c r="AD54" s="40"/>
      <c r="AE54" s="40"/>
      <c r="AF54" s="34"/>
      <c r="AH54" s="65">
        <f t="shared" ca="1" si="29"/>
        <v>152.15000000000052</v>
      </c>
      <c r="AI54" s="65">
        <f t="shared" ca="1" si="26"/>
        <v>1.8499999999994827</v>
      </c>
      <c r="AJ54" s="65">
        <f t="shared" ca="1" si="27"/>
        <v>-3.25</v>
      </c>
      <c r="AK54" s="67">
        <f t="shared" ca="1" si="28"/>
        <v>-3780.0000000013965</v>
      </c>
    </row>
    <row r="55" spans="1:37" x14ac:dyDescent="0.25">
      <c r="A55" s="1">
        <v>52</v>
      </c>
      <c r="B55" s="25">
        <v>44007</v>
      </c>
      <c r="C55" s="10" t="s">
        <v>313</v>
      </c>
      <c r="D55" s="1">
        <v>316.8</v>
      </c>
      <c r="E55" s="30">
        <v>600</v>
      </c>
      <c r="F55" s="1">
        <v>350</v>
      </c>
      <c r="G55" s="1">
        <v>12</v>
      </c>
      <c r="H55" s="1">
        <v>360</v>
      </c>
      <c r="I55" s="1">
        <v>9.5</v>
      </c>
      <c r="J55" s="1">
        <v>49200</v>
      </c>
      <c r="K55" s="1">
        <v>600</v>
      </c>
      <c r="L55" s="1">
        <v>9.0500000000000007</v>
      </c>
      <c r="M55" s="1">
        <v>9.5</v>
      </c>
      <c r="N55" s="1">
        <v>600</v>
      </c>
      <c r="O55" s="9"/>
      <c r="P55" s="7">
        <f t="shared" ca="1" si="5"/>
        <v>0.25</v>
      </c>
      <c r="Q55" s="7">
        <f t="shared" ca="1" si="18"/>
        <v>1.2500000000000001E-2</v>
      </c>
      <c r="R55" s="33">
        <f t="shared" ca="1" si="0"/>
        <v>1500</v>
      </c>
      <c r="S55" s="33">
        <f t="shared" ca="1" si="1"/>
        <v>-4500</v>
      </c>
      <c r="T55" s="33">
        <f t="shared" ca="1" si="19"/>
        <v>1500</v>
      </c>
      <c r="U55" s="7">
        <f t="shared" ca="1" si="2"/>
        <v>0.33333333333333331</v>
      </c>
      <c r="V55" s="7">
        <f t="shared" ca="1" si="3"/>
        <v>-0.974393388958679</v>
      </c>
      <c r="W55" s="33">
        <f t="shared" ca="1" si="20"/>
        <v>1500</v>
      </c>
      <c r="X55" s="7">
        <f t="shared" ca="1" si="21"/>
        <v>1</v>
      </c>
      <c r="Y55" s="7">
        <f t="shared" ca="1" si="22"/>
        <v>1.3333333333333333</v>
      </c>
      <c r="Z55" s="7">
        <f t="shared" ca="1" si="4"/>
        <v>-0.25490664077308545</v>
      </c>
      <c r="AA55" s="33">
        <f t="shared" ca="1" si="23"/>
        <v>1500</v>
      </c>
      <c r="AB55" s="7">
        <f t="shared" ca="1" si="24"/>
        <v>1</v>
      </c>
      <c r="AC55" s="7">
        <f t="shared" ca="1" si="25"/>
        <v>1.3333333333333333</v>
      </c>
      <c r="AD55" s="40"/>
      <c r="AE55" s="40"/>
      <c r="AF55" s="34"/>
      <c r="AH55" s="65">
        <f t="shared" ca="1" si="29"/>
        <v>152.20000000000053</v>
      </c>
      <c r="AI55" s="65">
        <f t="shared" ca="1" si="26"/>
        <v>1.7999999999994714</v>
      </c>
      <c r="AJ55" s="65">
        <f t="shared" ca="1" si="27"/>
        <v>-3.25</v>
      </c>
      <c r="AK55" s="67">
        <f t="shared" ca="1" si="28"/>
        <v>-3915.0000000014275</v>
      </c>
    </row>
    <row r="56" spans="1:37" x14ac:dyDescent="0.25">
      <c r="A56" s="1">
        <v>53</v>
      </c>
      <c r="B56" s="25">
        <v>44007</v>
      </c>
      <c r="C56" s="10" t="s">
        <v>313</v>
      </c>
      <c r="D56" s="1">
        <v>316.8</v>
      </c>
      <c r="E56" s="30">
        <v>600</v>
      </c>
      <c r="F56" s="1">
        <v>350</v>
      </c>
      <c r="G56" s="1">
        <v>12</v>
      </c>
      <c r="H56" s="1">
        <v>380</v>
      </c>
      <c r="I56" s="1">
        <v>6.6</v>
      </c>
      <c r="J56" s="1">
        <v>40200</v>
      </c>
      <c r="K56" s="1">
        <v>600</v>
      </c>
      <c r="L56" s="1">
        <v>5.35</v>
      </c>
      <c r="M56" s="1">
        <v>5.9</v>
      </c>
      <c r="N56" s="1">
        <v>600</v>
      </c>
      <c r="O56" s="9"/>
      <c r="P56" s="7">
        <f t="shared" ca="1" si="5"/>
        <v>0.18000000000000002</v>
      </c>
      <c r="Q56" s="7">
        <f t="shared" ca="1" si="18"/>
        <v>9.0000000000000011E-3</v>
      </c>
      <c r="R56" s="33">
        <f t="shared" ca="1" si="0"/>
        <v>3240</v>
      </c>
      <c r="S56" s="33">
        <f t="shared" ca="1" si="1"/>
        <v>-14760</v>
      </c>
      <c r="T56" s="33">
        <f t="shared" ca="1" si="19"/>
        <v>3240</v>
      </c>
      <c r="U56" s="7">
        <f t="shared" ca="1" si="2"/>
        <v>0.21951219512195122</v>
      </c>
      <c r="V56" s="7">
        <f t="shared" ca="1" si="3"/>
        <v>-0.974393388958679</v>
      </c>
      <c r="W56" s="33">
        <f t="shared" ca="1" si="20"/>
        <v>3240</v>
      </c>
      <c r="X56" s="7">
        <f t="shared" ca="1" si="21"/>
        <v>1</v>
      </c>
      <c r="Y56" s="7">
        <f t="shared" ca="1" si="22"/>
        <v>1.2195121951219512</v>
      </c>
      <c r="Z56" s="7">
        <f t="shared" ca="1" si="4"/>
        <v>-0.25490664077308545</v>
      </c>
      <c r="AA56" s="33">
        <f t="shared" ca="1" si="23"/>
        <v>3240</v>
      </c>
      <c r="AB56" s="7">
        <f t="shared" ca="1" si="24"/>
        <v>1</v>
      </c>
      <c r="AC56" s="7">
        <f t="shared" ca="1" si="25"/>
        <v>1.2195121951219512</v>
      </c>
      <c r="AD56" s="40"/>
      <c r="AE56" s="40"/>
      <c r="AF56" s="34"/>
      <c r="AH56" s="65">
        <f t="shared" ca="1" si="29"/>
        <v>152.25000000000054</v>
      </c>
      <c r="AI56" s="65">
        <f t="shared" ca="1" si="26"/>
        <v>1.74999999999946</v>
      </c>
      <c r="AJ56" s="65">
        <f t="shared" ca="1" si="27"/>
        <v>-3.25</v>
      </c>
      <c r="AK56" s="67">
        <f t="shared" ca="1" si="28"/>
        <v>-4050.0000000014579</v>
      </c>
    </row>
    <row r="57" spans="1:37" x14ac:dyDescent="0.25">
      <c r="A57" s="1">
        <v>54</v>
      </c>
      <c r="B57" s="25">
        <v>44007</v>
      </c>
      <c r="C57" s="10" t="s">
        <v>313</v>
      </c>
      <c r="D57" s="1">
        <v>316.8</v>
      </c>
      <c r="E57" s="30">
        <v>600</v>
      </c>
      <c r="F57" s="1">
        <v>350</v>
      </c>
      <c r="G57" s="1">
        <v>12</v>
      </c>
      <c r="H57" s="1">
        <v>400</v>
      </c>
      <c r="I57" s="1">
        <v>3.3</v>
      </c>
      <c r="J57" s="1">
        <v>106800</v>
      </c>
      <c r="K57" s="1">
        <v>600</v>
      </c>
      <c r="L57" s="1">
        <v>3.3</v>
      </c>
      <c r="M57" s="1">
        <v>3.6</v>
      </c>
      <c r="N57" s="1">
        <v>1200</v>
      </c>
      <c r="O57" s="9"/>
      <c r="P57" s="7">
        <f t="shared" ca="1" si="5"/>
        <v>0.17399999999999999</v>
      </c>
      <c r="Q57" s="7">
        <f t="shared" ca="1" si="18"/>
        <v>8.6999999999999994E-3</v>
      </c>
      <c r="R57" s="33">
        <f t="shared" ca="1" si="0"/>
        <v>5220</v>
      </c>
      <c r="S57" s="33">
        <f t="shared" ca="1" si="1"/>
        <v>-24780</v>
      </c>
      <c r="T57" s="33">
        <f t="shared" ca="1" si="19"/>
        <v>5220</v>
      </c>
      <c r="U57" s="7">
        <f t="shared" ca="1" si="2"/>
        <v>0.21065375302663439</v>
      </c>
      <c r="V57" s="7">
        <f t="shared" ca="1" si="3"/>
        <v>-0.974393388958679</v>
      </c>
      <c r="W57" s="33">
        <f t="shared" ca="1" si="20"/>
        <v>5220</v>
      </c>
      <c r="X57" s="7">
        <f t="shared" ca="1" si="21"/>
        <v>1</v>
      </c>
      <c r="Y57" s="7">
        <f t="shared" ca="1" si="22"/>
        <v>1.2106537530266344</v>
      </c>
      <c r="Z57" s="7">
        <f t="shared" ca="1" si="4"/>
        <v>-0.25490664077308545</v>
      </c>
      <c r="AA57" s="33">
        <f t="shared" ca="1" si="23"/>
        <v>5220</v>
      </c>
      <c r="AB57" s="7">
        <f t="shared" ca="1" si="24"/>
        <v>1</v>
      </c>
      <c r="AC57" s="7">
        <f t="shared" ca="1" si="25"/>
        <v>1.2106537530266344</v>
      </c>
      <c r="AD57" s="40"/>
      <c r="AE57" s="40"/>
      <c r="AF57" s="34"/>
      <c r="AH57" s="65">
        <f t="shared" ca="1" si="29"/>
        <v>152.30000000000055</v>
      </c>
      <c r="AI57" s="65">
        <f t="shared" ca="1" si="26"/>
        <v>1.6999999999994486</v>
      </c>
      <c r="AJ57" s="65">
        <f t="shared" ca="1" si="27"/>
        <v>-3.25</v>
      </c>
      <c r="AK57" s="67">
        <f t="shared" ca="1" si="28"/>
        <v>-4185.0000000014888</v>
      </c>
    </row>
    <row r="58" spans="1:37" x14ac:dyDescent="0.25">
      <c r="A58" s="1">
        <v>55</v>
      </c>
      <c r="B58" s="25">
        <v>44007</v>
      </c>
      <c r="C58" s="10" t="s">
        <v>180</v>
      </c>
      <c r="D58" s="1">
        <v>404.05</v>
      </c>
      <c r="E58" s="30">
        <v>1200</v>
      </c>
      <c r="F58" s="1">
        <v>440</v>
      </c>
      <c r="G58" s="1">
        <v>12.15</v>
      </c>
      <c r="H58" s="1">
        <v>450</v>
      </c>
      <c r="I58" s="1">
        <v>9.8000000000000007</v>
      </c>
      <c r="J58" s="1">
        <v>589200</v>
      </c>
      <c r="K58" s="1">
        <v>7200</v>
      </c>
      <c r="L58" s="1">
        <v>9.75</v>
      </c>
      <c r="M58" s="1">
        <v>9.9</v>
      </c>
      <c r="N58" s="1">
        <v>7200</v>
      </c>
      <c r="O58" s="9"/>
      <c r="P58" s="7">
        <f t="shared" ca="1" si="5"/>
        <v>0.23499999999999996</v>
      </c>
      <c r="Q58" s="7">
        <f t="shared" ca="1" si="18"/>
        <v>1.1749999999999998E-2</v>
      </c>
      <c r="R58" s="33">
        <f t="shared" ca="1" si="0"/>
        <v>2819.9999999999995</v>
      </c>
      <c r="S58" s="33">
        <f t="shared" ca="1" si="1"/>
        <v>-9180</v>
      </c>
      <c r="T58" s="33">
        <f t="shared" ca="1" si="19"/>
        <v>2819.9999999999995</v>
      </c>
      <c r="U58" s="7">
        <f t="shared" ca="1" si="2"/>
        <v>0.30718954248366009</v>
      </c>
      <c r="V58" s="7">
        <f t="shared" ca="1" si="3"/>
        <v>-0.8982164468481254</v>
      </c>
      <c r="W58" s="33">
        <f t="shared" ca="1" si="20"/>
        <v>2819.9999999999995</v>
      </c>
      <c r="X58" s="7">
        <f t="shared" ca="1" si="21"/>
        <v>1</v>
      </c>
      <c r="Y58" s="7">
        <f t="shared" ca="1" si="22"/>
        <v>1.3071895424836601</v>
      </c>
      <c r="Z58" s="7">
        <f t="shared" ca="1" si="4"/>
        <v>-0.13407319062091957</v>
      </c>
      <c r="AA58" s="33">
        <f t="shared" ca="1" si="23"/>
        <v>2819.9999999999995</v>
      </c>
      <c r="AB58" s="7">
        <f t="shared" ca="1" si="24"/>
        <v>1</v>
      </c>
      <c r="AC58" s="7">
        <f t="shared" ca="1" si="25"/>
        <v>1.3071895424836601</v>
      </c>
      <c r="AD58" s="40"/>
      <c r="AE58" s="40"/>
      <c r="AF58" s="34"/>
      <c r="AH58" s="65">
        <f t="shared" ca="1" si="29"/>
        <v>152.35000000000056</v>
      </c>
      <c r="AI58" s="65">
        <f t="shared" ca="1" si="26"/>
        <v>1.6499999999994373</v>
      </c>
      <c r="AJ58" s="65">
        <f t="shared" ca="1" si="27"/>
        <v>-3.25</v>
      </c>
      <c r="AK58" s="67">
        <f t="shared" ca="1" si="28"/>
        <v>-4320.0000000015198</v>
      </c>
    </row>
    <row r="59" spans="1:37" x14ac:dyDescent="0.25">
      <c r="A59" s="1">
        <v>56</v>
      </c>
      <c r="B59" s="25">
        <v>44007</v>
      </c>
      <c r="C59" s="10" t="s">
        <v>180</v>
      </c>
      <c r="D59" s="1">
        <v>404.05</v>
      </c>
      <c r="E59" s="30">
        <v>1200</v>
      </c>
      <c r="F59" s="1">
        <v>440</v>
      </c>
      <c r="G59" s="1">
        <v>12.15</v>
      </c>
      <c r="H59" s="1">
        <v>460</v>
      </c>
      <c r="I59" s="1">
        <v>7.65</v>
      </c>
      <c r="J59" s="1">
        <v>1134000</v>
      </c>
      <c r="K59" s="1">
        <v>4800</v>
      </c>
      <c r="L59" s="1">
        <v>7.55</v>
      </c>
      <c r="M59" s="1">
        <v>7.65</v>
      </c>
      <c r="N59" s="1">
        <v>3600</v>
      </c>
      <c r="O59" s="9"/>
      <c r="P59" s="7">
        <f t="shared" ca="1" si="5"/>
        <v>0.22500000000000001</v>
      </c>
      <c r="Q59" s="7">
        <f t="shared" ca="1" si="18"/>
        <v>1.125E-2</v>
      </c>
      <c r="R59" s="33">
        <f t="shared" ca="1" si="0"/>
        <v>5400</v>
      </c>
      <c r="S59" s="33">
        <f t="shared" ca="1" si="1"/>
        <v>-18600</v>
      </c>
      <c r="T59" s="33">
        <f t="shared" ca="1" si="19"/>
        <v>5400</v>
      </c>
      <c r="U59" s="7">
        <f t="shared" ca="1" si="2"/>
        <v>0.29032258064516131</v>
      </c>
      <c r="V59" s="7">
        <f t="shared" ca="1" si="3"/>
        <v>-0.8982164468481254</v>
      </c>
      <c r="W59" s="33">
        <f t="shared" ca="1" si="20"/>
        <v>5400</v>
      </c>
      <c r="X59" s="7">
        <f t="shared" ca="1" si="21"/>
        <v>1</v>
      </c>
      <c r="Y59" s="7">
        <f t="shared" ca="1" si="22"/>
        <v>1.2903225806451613</v>
      </c>
      <c r="Z59" s="7">
        <f t="shared" ca="1" si="4"/>
        <v>-0.13407319062091957</v>
      </c>
      <c r="AA59" s="33">
        <f t="shared" ca="1" si="23"/>
        <v>5400</v>
      </c>
      <c r="AB59" s="7">
        <f t="shared" ca="1" si="24"/>
        <v>1</v>
      </c>
      <c r="AC59" s="7">
        <f t="shared" ca="1" si="25"/>
        <v>1.2903225806451613</v>
      </c>
      <c r="AD59" s="40"/>
      <c r="AE59" s="40"/>
      <c r="AF59" s="34"/>
      <c r="AH59" s="65">
        <f t="shared" ca="1" si="29"/>
        <v>152.40000000000057</v>
      </c>
      <c r="AI59" s="65">
        <f t="shared" ca="1" si="26"/>
        <v>1.5999999999994259</v>
      </c>
      <c r="AJ59" s="65">
        <f t="shared" ca="1" si="27"/>
        <v>-3.25</v>
      </c>
      <c r="AK59" s="67">
        <f t="shared" ca="1" si="28"/>
        <v>-4455.0000000015498</v>
      </c>
    </row>
    <row r="60" spans="1:37" x14ac:dyDescent="0.25">
      <c r="A60" s="1">
        <v>57</v>
      </c>
      <c r="B60" s="25">
        <v>44007</v>
      </c>
      <c r="C60" s="10" t="s">
        <v>180</v>
      </c>
      <c r="D60" s="1">
        <v>404.05</v>
      </c>
      <c r="E60" s="30">
        <v>1200</v>
      </c>
      <c r="F60" s="1">
        <v>440</v>
      </c>
      <c r="G60" s="1">
        <v>12.15</v>
      </c>
      <c r="H60" s="1">
        <v>470</v>
      </c>
      <c r="I60" s="1">
        <v>6.1</v>
      </c>
      <c r="J60" s="1">
        <v>134400</v>
      </c>
      <c r="K60" s="1">
        <v>1200</v>
      </c>
      <c r="L60" s="1">
        <v>6.05</v>
      </c>
      <c r="M60" s="1">
        <v>6.15</v>
      </c>
      <c r="N60" s="1">
        <v>1200</v>
      </c>
      <c r="O60" s="9"/>
      <c r="P60" s="7">
        <f t="shared" ca="1" si="5"/>
        <v>0.20166666666666669</v>
      </c>
      <c r="Q60" s="7">
        <f t="shared" ca="1" si="18"/>
        <v>1.0083333333333335E-2</v>
      </c>
      <c r="R60" s="33">
        <f t="shared" ca="1" si="0"/>
        <v>7260.0000000000009</v>
      </c>
      <c r="S60" s="33">
        <f t="shared" ca="1" si="1"/>
        <v>-28740</v>
      </c>
      <c r="T60" s="33">
        <f t="shared" ca="1" si="19"/>
        <v>7260.0000000000009</v>
      </c>
      <c r="U60" s="7">
        <f t="shared" ca="1" si="2"/>
        <v>0.25260960334029231</v>
      </c>
      <c r="V60" s="7">
        <f t="shared" ca="1" si="3"/>
        <v>-0.8982164468481254</v>
      </c>
      <c r="W60" s="33">
        <f t="shared" ca="1" si="20"/>
        <v>7260.0000000000009</v>
      </c>
      <c r="X60" s="7">
        <f t="shared" ca="1" si="21"/>
        <v>1</v>
      </c>
      <c r="Y60" s="7">
        <f t="shared" ca="1" si="22"/>
        <v>1.2526096033402923</v>
      </c>
      <c r="Z60" s="7">
        <f t="shared" ca="1" si="4"/>
        <v>-0.13407319062091957</v>
      </c>
      <c r="AA60" s="33">
        <f t="shared" ca="1" si="23"/>
        <v>7260.0000000000009</v>
      </c>
      <c r="AB60" s="7">
        <f t="shared" ca="1" si="24"/>
        <v>1</v>
      </c>
      <c r="AC60" s="7">
        <f t="shared" ca="1" si="25"/>
        <v>1.2526096033402923</v>
      </c>
      <c r="AD60" s="40"/>
      <c r="AE60" s="40"/>
      <c r="AF60" s="34"/>
      <c r="AH60" s="65">
        <f t="shared" ca="1" si="29"/>
        <v>152.45000000000059</v>
      </c>
      <c r="AI60" s="65">
        <f t="shared" ca="1" si="26"/>
        <v>1.5499999999994145</v>
      </c>
      <c r="AJ60" s="65">
        <f t="shared" ca="1" si="27"/>
        <v>-3.25</v>
      </c>
      <c r="AK60" s="67">
        <f t="shared" ca="1" si="28"/>
        <v>-4590.0000000015807</v>
      </c>
    </row>
    <row r="61" spans="1:37" x14ac:dyDescent="0.25">
      <c r="A61" s="1">
        <v>58</v>
      </c>
      <c r="B61" s="25">
        <v>44007</v>
      </c>
      <c r="C61" s="10" t="s">
        <v>180</v>
      </c>
      <c r="D61" s="1">
        <v>404.05</v>
      </c>
      <c r="E61" s="30">
        <v>1200</v>
      </c>
      <c r="F61" s="1">
        <v>440</v>
      </c>
      <c r="G61" s="1">
        <v>12.15</v>
      </c>
      <c r="H61" s="1">
        <v>480</v>
      </c>
      <c r="I61" s="1">
        <v>4.8</v>
      </c>
      <c r="J61" s="1">
        <v>574800</v>
      </c>
      <c r="K61" s="1">
        <v>2400</v>
      </c>
      <c r="L61" s="1">
        <v>4.75</v>
      </c>
      <c r="M61" s="1">
        <v>4.9000000000000004</v>
      </c>
      <c r="N61" s="1">
        <v>7200</v>
      </c>
      <c r="O61" s="9"/>
      <c r="P61" s="7">
        <f t="shared" ca="1" si="5"/>
        <v>0.18375000000000002</v>
      </c>
      <c r="Q61" s="7">
        <f t="shared" ca="1" si="18"/>
        <v>9.1875000000000012E-3</v>
      </c>
      <c r="R61" s="33">
        <f t="shared" ca="1" si="0"/>
        <v>8820</v>
      </c>
      <c r="S61" s="33">
        <f t="shared" ca="1" si="1"/>
        <v>-39180</v>
      </c>
      <c r="T61" s="33">
        <f t="shared" ca="1" si="19"/>
        <v>8820</v>
      </c>
      <c r="U61" s="7">
        <f t="shared" ca="1" si="2"/>
        <v>0.22511485451761101</v>
      </c>
      <c r="V61" s="7">
        <f t="shared" ca="1" si="3"/>
        <v>-0.8982164468481254</v>
      </c>
      <c r="W61" s="33">
        <f t="shared" ca="1" si="20"/>
        <v>8820</v>
      </c>
      <c r="X61" s="7">
        <f t="shared" ca="1" si="21"/>
        <v>1</v>
      </c>
      <c r="Y61" s="7">
        <f t="shared" ca="1" si="22"/>
        <v>1.2251148545176109</v>
      </c>
      <c r="Z61" s="7">
        <f t="shared" ca="1" si="4"/>
        <v>-0.13407319062091957</v>
      </c>
      <c r="AA61" s="33">
        <f t="shared" ca="1" si="23"/>
        <v>8820</v>
      </c>
      <c r="AB61" s="7">
        <f t="shared" ca="1" si="24"/>
        <v>1</v>
      </c>
      <c r="AC61" s="7">
        <f t="shared" ca="1" si="25"/>
        <v>1.2251148545176109</v>
      </c>
      <c r="AD61" s="40"/>
      <c r="AE61" s="40"/>
      <c r="AF61" s="34"/>
      <c r="AH61" s="65">
        <f t="shared" ca="1" si="29"/>
        <v>152.5000000000006</v>
      </c>
      <c r="AI61" s="65">
        <f t="shared" ca="1" si="26"/>
        <v>1.4999999999994031</v>
      </c>
      <c r="AJ61" s="65">
        <f t="shared" ca="1" si="27"/>
        <v>-3.2499999999994031</v>
      </c>
      <c r="AK61" s="67">
        <f t="shared" ca="1" si="28"/>
        <v>-4725</v>
      </c>
    </row>
    <row r="62" spans="1:37" x14ac:dyDescent="0.25">
      <c r="A62" s="1">
        <v>59</v>
      </c>
      <c r="B62" s="25">
        <v>44007</v>
      </c>
      <c r="C62" s="10" t="s">
        <v>180</v>
      </c>
      <c r="D62" s="1">
        <v>404.05</v>
      </c>
      <c r="E62" s="30">
        <v>1200</v>
      </c>
      <c r="F62" s="1">
        <v>440</v>
      </c>
      <c r="G62" s="1">
        <v>12.15</v>
      </c>
      <c r="H62" s="1">
        <v>490</v>
      </c>
      <c r="I62" s="1">
        <v>4.05</v>
      </c>
      <c r="J62" s="1">
        <v>25200</v>
      </c>
      <c r="K62" s="1">
        <v>1200</v>
      </c>
      <c r="L62" s="1">
        <v>3.75</v>
      </c>
      <c r="M62" s="1">
        <v>4.0999999999999996</v>
      </c>
      <c r="N62" s="1">
        <v>1200</v>
      </c>
      <c r="O62" s="9"/>
      <c r="P62" s="7">
        <f t="shared" ca="1" si="5"/>
        <v>0.16200000000000003</v>
      </c>
      <c r="Q62" s="7">
        <f t="shared" ca="1" si="18"/>
        <v>8.1000000000000013E-3</v>
      </c>
      <c r="R62" s="33">
        <f t="shared" ca="1" si="0"/>
        <v>9720.0000000000018</v>
      </c>
      <c r="S62" s="33">
        <f t="shared" ca="1" si="1"/>
        <v>-50280</v>
      </c>
      <c r="T62" s="33">
        <f t="shared" ca="1" si="19"/>
        <v>9720.0000000000018</v>
      </c>
      <c r="U62" s="7">
        <f t="shared" ca="1" si="2"/>
        <v>0.19331742243436759</v>
      </c>
      <c r="V62" s="7">
        <f t="shared" ca="1" si="3"/>
        <v>-0.8982164468481254</v>
      </c>
      <c r="W62" s="33">
        <f t="shared" ca="1" si="20"/>
        <v>9720.0000000000018</v>
      </c>
      <c r="X62" s="7">
        <f t="shared" ca="1" si="21"/>
        <v>1</v>
      </c>
      <c r="Y62" s="7">
        <f t="shared" ca="1" si="22"/>
        <v>1.1933174224343677</v>
      </c>
      <c r="Z62" s="7">
        <f t="shared" ca="1" si="4"/>
        <v>-0.13407319062091957</v>
      </c>
      <c r="AA62" s="33">
        <f t="shared" ca="1" si="23"/>
        <v>9720.0000000000018</v>
      </c>
      <c r="AB62" s="7">
        <f t="shared" ca="1" si="24"/>
        <v>1</v>
      </c>
      <c r="AC62" s="7">
        <f t="shared" ca="1" si="25"/>
        <v>1.1933174224343677</v>
      </c>
      <c r="AD62" s="40"/>
      <c r="AE62" s="40"/>
      <c r="AF62" s="34"/>
      <c r="AH62" s="65">
        <f t="shared" ca="1" si="29"/>
        <v>152.55000000000061</v>
      </c>
      <c r="AI62" s="65">
        <f t="shared" ca="1" si="26"/>
        <v>1.4499999999993918</v>
      </c>
      <c r="AJ62" s="65">
        <f t="shared" ca="1" si="27"/>
        <v>-3.1999999999993918</v>
      </c>
      <c r="AK62" s="67">
        <f t="shared" ca="1" si="28"/>
        <v>-4725</v>
      </c>
    </row>
    <row r="63" spans="1:37" x14ac:dyDescent="0.25">
      <c r="A63" s="1">
        <v>60</v>
      </c>
      <c r="B63" s="25">
        <v>44007</v>
      </c>
      <c r="C63" s="10" t="s">
        <v>180</v>
      </c>
      <c r="D63" s="1">
        <v>404.05</v>
      </c>
      <c r="E63" s="30">
        <v>1200</v>
      </c>
      <c r="F63" s="1">
        <v>440</v>
      </c>
      <c r="G63" s="1">
        <v>12.15</v>
      </c>
      <c r="H63" s="1">
        <v>500</v>
      </c>
      <c r="I63" s="1">
        <v>3.1</v>
      </c>
      <c r="J63" s="1">
        <v>1011600</v>
      </c>
      <c r="K63" s="1">
        <v>3600</v>
      </c>
      <c r="L63" s="1">
        <v>3</v>
      </c>
      <c r="M63" s="1">
        <v>3.1</v>
      </c>
      <c r="N63" s="1">
        <v>4800</v>
      </c>
      <c r="O63" s="9"/>
      <c r="P63" s="7">
        <f t="shared" ca="1" si="5"/>
        <v>0.15083333333333335</v>
      </c>
      <c r="Q63" s="7">
        <f t="shared" ca="1" si="18"/>
        <v>7.541666666666667E-3</v>
      </c>
      <c r="R63" s="33">
        <f t="shared" ca="1" si="0"/>
        <v>10860</v>
      </c>
      <c r="S63" s="33">
        <f t="shared" ca="1" si="1"/>
        <v>-61140</v>
      </c>
      <c r="T63" s="33">
        <f t="shared" ca="1" si="19"/>
        <v>10860</v>
      </c>
      <c r="U63" s="7">
        <f t="shared" ca="1" si="2"/>
        <v>0.17762512266928362</v>
      </c>
      <c r="V63" s="7">
        <f t="shared" ca="1" si="3"/>
        <v>-0.8982164468481254</v>
      </c>
      <c r="W63" s="33">
        <f t="shared" ca="1" si="20"/>
        <v>10860</v>
      </c>
      <c r="X63" s="7">
        <f t="shared" ca="1" si="21"/>
        <v>1</v>
      </c>
      <c r="Y63" s="7">
        <f t="shared" ca="1" si="22"/>
        <v>1.1776251226692835</v>
      </c>
      <c r="Z63" s="7">
        <f t="shared" ca="1" si="4"/>
        <v>-0.13407319062091957</v>
      </c>
      <c r="AA63" s="33">
        <f t="shared" ca="1" si="23"/>
        <v>10860</v>
      </c>
      <c r="AB63" s="7">
        <f t="shared" ca="1" si="24"/>
        <v>1</v>
      </c>
      <c r="AC63" s="7">
        <f t="shared" ca="1" si="25"/>
        <v>1.1776251226692835</v>
      </c>
      <c r="AD63" s="40"/>
      <c r="AE63" s="40"/>
      <c r="AF63" s="34"/>
      <c r="AH63" s="65">
        <f t="shared" ca="1" si="29"/>
        <v>152.60000000000062</v>
      </c>
      <c r="AI63" s="65">
        <f t="shared" ca="1" si="26"/>
        <v>1.3999999999993804</v>
      </c>
      <c r="AJ63" s="65">
        <f t="shared" ca="1" si="27"/>
        <v>-3.1499999999993804</v>
      </c>
      <c r="AK63" s="67">
        <f t="shared" ca="1" si="28"/>
        <v>-4725</v>
      </c>
    </row>
    <row r="64" spans="1:37" x14ac:dyDescent="0.25">
      <c r="A64" s="1">
        <v>61</v>
      </c>
      <c r="B64" s="25">
        <v>44007</v>
      </c>
      <c r="C64" s="10" t="s">
        <v>180</v>
      </c>
      <c r="D64" s="1">
        <v>404.05</v>
      </c>
      <c r="E64" s="30">
        <v>1200</v>
      </c>
      <c r="F64" s="1">
        <v>440</v>
      </c>
      <c r="G64" s="1">
        <v>12.15</v>
      </c>
      <c r="H64" s="1">
        <v>520</v>
      </c>
      <c r="I64" s="1">
        <v>2</v>
      </c>
      <c r="J64" s="1">
        <v>176400</v>
      </c>
      <c r="K64" s="1">
        <v>12000</v>
      </c>
      <c r="L64" s="1">
        <v>1.85</v>
      </c>
      <c r="M64" s="1">
        <v>1.95</v>
      </c>
      <c r="N64" s="1">
        <v>1200</v>
      </c>
      <c r="O64" s="9"/>
      <c r="P64" s="7">
        <f t="shared" ca="1" si="5"/>
        <v>0.12687500000000002</v>
      </c>
      <c r="Q64" s="7">
        <f t="shared" ca="1" si="18"/>
        <v>6.3437500000000004E-3</v>
      </c>
      <c r="R64" s="33">
        <f t="shared" ca="1" si="0"/>
        <v>12180</v>
      </c>
      <c r="S64" s="33">
        <f t="shared" ca="1" si="1"/>
        <v>-83820</v>
      </c>
      <c r="T64" s="33">
        <f t="shared" ca="1" si="19"/>
        <v>12180</v>
      </c>
      <c r="U64" s="7">
        <f t="shared" ca="1" si="2"/>
        <v>0.14531138153185397</v>
      </c>
      <c r="V64" s="7">
        <f t="shared" ca="1" si="3"/>
        <v>-0.8982164468481254</v>
      </c>
      <c r="W64" s="33">
        <f t="shared" ca="1" si="20"/>
        <v>12180</v>
      </c>
      <c r="X64" s="7">
        <f t="shared" ca="1" si="21"/>
        <v>1</v>
      </c>
      <c r="Y64" s="7">
        <f t="shared" ca="1" si="22"/>
        <v>1.1453113815318541</v>
      </c>
      <c r="Z64" s="7">
        <f t="shared" ca="1" si="4"/>
        <v>-0.13407319062091957</v>
      </c>
      <c r="AA64" s="33">
        <f t="shared" ca="1" si="23"/>
        <v>12180</v>
      </c>
      <c r="AB64" s="7">
        <f t="shared" ca="1" si="24"/>
        <v>1</v>
      </c>
      <c r="AC64" s="7">
        <f t="shared" ca="1" si="25"/>
        <v>1.1453113815318541</v>
      </c>
      <c r="AD64" s="40"/>
      <c r="AE64" s="40"/>
      <c r="AF64" s="34"/>
      <c r="AH64" s="65">
        <f t="shared" ca="1" si="29"/>
        <v>152.65000000000063</v>
      </c>
      <c r="AI64" s="65">
        <f t="shared" ca="1" si="26"/>
        <v>1.349999999999369</v>
      </c>
      <c r="AJ64" s="65">
        <f t="shared" ca="1" si="27"/>
        <v>-3.099999999999369</v>
      </c>
      <c r="AK64" s="67">
        <f t="shared" ca="1" si="28"/>
        <v>-4725</v>
      </c>
    </row>
    <row r="65" spans="1:34" x14ac:dyDescent="0.25">
      <c r="A65" s="1">
        <v>62</v>
      </c>
      <c r="B65" s="25">
        <v>44007</v>
      </c>
      <c r="C65" s="10" t="s">
        <v>180</v>
      </c>
      <c r="D65" s="1">
        <v>404.05</v>
      </c>
      <c r="E65" s="30">
        <v>1200</v>
      </c>
      <c r="F65" s="1">
        <v>440</v>
      </c>
      <c r="G65" s="1">
        <v>12.15</v>
      </c>
      <c r="H65" s="1">
        <v>540</v>
      </c>
      <c r="I65" s="1">
        <v>1.25</v>
      </c>
      <c r="J65" s="1">
        <v>120000</v>
      </c>
      <c r="K65" s="1">
        <v>2400</v>
      </c>
      <c r="L65" s="1">
        <v>1.2</v>
      </c>
      <c r="M65" s="1">
        <v>1.3</v>
      </c>
      <c r="N65" s="1">
        <v>1200</v>
      </c>
      <c r="O65" s="9"/>
      <c r="P65" s="7">
        <f t="shared" ca="1" si="5"/>
        <v>0.109</v>
      </c>
      <c r="Q65" s="7">
        <f t="shared" ca="1" si="18"/>
        <v>5.45E-3</v>
      </c>
      <c r="R65" s="33">
        <f t="shared" ca="1" si="0"/>
        <v>13080</v>
      </c>
      <c r="S65" s="33">
        <f t="shared" ca="1" si="1"/>
        <v>-106920</v>
      </c>
      <c r="T65" s="33">
        <f t="shared" ca="1" si="19"/>
        <v>13080</v>
      </c>
      <c r="U65" s="7">
        <f t="shared" ca="1" si="2"/>
        <v>0.122334455667789</v>
      </c>
      <c r="V65" s="7">
        <f t="shared" ca="1" si="3"/>
        <v>-0.8982164468481254</v>
      </c>
      <c r="W65" s="33">
        <f t="shared" ca="1" si="20"/>
        <v>13080</v>
      </c>
      <c r="X65" s="7">
        <f t="shared" ca="1" si="21"/>
        <v>1</v>
      </c>
      <c r="Y65" s="7">
        <f t="shared" ca="1" si="22"/>
        <v>1.122334455667789</v>
      </c>
      <c r="Z65" s="7">
        <f t="shared" ca="1" si="4"/>
        <v>-0.13407319062091957</v>
      </c>
      <c r="AA65" s="33">
        <f t="shared" ca="1" si="23"/>
        <v>13080</v>
      </c>
      <c r="AB65" s="7">
        <f t="shared" ca="1" si="24"/>
        <v>1</v>
      </c>
      <c r="AC65" s="7">
        <f t="shared" ca="1" si="25"/>
        <v>1.122334455667789</v>
      </c>
      <c r="AD65" s="40"/>
      <c r="AE65" s="40"/>
      <c r="AF65" s="34"/>
    </row>
    <row r="66" spans="1:34" x14ac:dyDescent="0.25">
      <c r="A66" s="1">
        <v>63</v>
      </c>
      <c r="B66" s="25">
        <v>44007</v>
      </c>
      <c r="C66" s="10" t="s">
        <v>1503</v>
      </c>
      <c r="D66" s="1">
        <v>612.95000000000005</v>
      </c>
      <c r="E66" s="30">
        <v>600</v>
      </c>
      <c r="F66" s="1">
        <v>660</v>
      </c>
      <c r="G66" s="1">
        <v>36.5</v>
      </c>
      <c r="H66" s="1">
        <v>680</v>
      </c>
      <c r="I66" s="1">
        <v>31.2</v>
      </c>
      <c r="J66" s="1">
        <v>46200</v>
      </c>
      <c r="K66" s="1">
        <v>1200</v>
      </c>
      <c r="L66" s="1">
        <v>29.9</v>
      </c>
      <c r="M66" s="1">
        <v>31.2</v>
      </c>
      <c r="N66" s="1">
        <v>600</v>
      </c>
      <c r="O66" s="9"/>
      <c r="P66" s="7">
        <f t="shared" ca="1" si="5"/>
        <v>0.26500000000000001</v>
      </c>
      <c r="Q66" s="7">
        <f t="shared" ca="1" si="18"/>
        <v>1.3250000000000001E-2</v>
      </c>
      <c r="R66" s="33">
        <f t="shared" ca="1" si="0"/>
        <v>3180.0000000000005</v>
      </c>
      <c r="S66" s="33">
        <f t="shared" ca="1" si="1"/>
        <v>-8820</v>
      </c>
      <c r="T66" s="33">
        <f t="shared" ca="1" si="19"/>
        <v>3180.0000000000005</v>
      </c>
      <c r="U66" s="7">
        <f t="shared" ca="1" si="2"/>
        <v>0.3605442176870749</v>
      </c>
      <c r="V66" s="7">
        <f t="shared" ca="1" si="3"/>
        <v>-1.0494183265802177</v>
      </c>
      <c r="W66" s="33">
        <f t="shared" ca="1" si="20"/>
        <v>3180.0000000000005</v>
      </c>
      <c r="X66" s="7">
        <f t="shared" ca="1" si="21"/>
        <v>1</v>
      </c>
      <c r="Y66" s="7">
        <f t="shared" ca="1" si="22"/>
        <v>1.360544217687075</v>
      </c>
      <c r="Z66" s="7">
        <f t="shared" ca="1" si="4"/>
        <v>-0.16631871182515243</v>
      </c>
      <c r="AA66" s="33">
        <f t="shared" ca="1" si="23"/>
        <v>3180.0000000000005</v>
      </c>
      <c r="AB66" s="7">
        <f t="shared" ca="1" si="24"/>
        <v>1</v>
      </c>
      <c r="AC66" s="7">
        <f t="shared" ca="1" si="25"/>
        <v>1.360544217687075</v>
      </c>
      <c r="AD66" s="40"/>
      <c r="AE66" s="40"/>
      <c r="AF66" s="34"/>
    </row>
    <row r="67" spans="1:34" x14ac:dyDescent="0.25">
      <c r="A67" s="1">
        <v>64</v>
      </c>
      <c r="B67" s="25">
        <v>44007</v>
      </c>
      <c r="C67" s="10" t="s">
        <v>1503</v>
      </c>
      <c r="D67" s="1">
        <v>612.95000000000005</v>
      </c>
      <c r="E67" s="30">
        <v>600</v>
      </c>
      <c r="F67" s="1">
        <v>660</v>
      </c>
      <c r="G67" s="1">
        <v>36.5</v>
      </c>
      <c r="H67" s="1">
        <v>700</v>
      </c>
      <c r="I67" s="1">
        <v>25.8</v>
      </c>
      <c r="J67" s="1">
        <v>235200</v>
      </c>
      <c r="K67" s="1">
        <v>2400</v>
      </c>
      <c r="L67" s="1">
        <v>25.8</v>
      </c>
      <c r="M67" s="1">
        <v>26.15</v>
      </c>
      <c r="N67" s="1">
        <v>600</v>
      </c>
      <c r="O67" s="9"/>
      <c r="P67" s="7">
        <f t="shared" ca="1" si="5"/>
        <v>0.26749999999999996</v>
      </c>
      <c r="Q67" s="7">
        <f t="shared" ca="1" si="18"/>
        <v>1.3374999999999998E-2</v>
      </c>
      <c r="R67" s="33">
        <f t="shared" ca="1" si="0"/>
        <v>6420</v>
      </c>
      <c r="S67" s="33">
        <f t="shared" ca="1" si="1"/>
        <v>-17580</v>
      </c>
      <c r="T67" s="33">
        <f t="shared" ca="1" si="19"/>
        <v>6420</v>
      </c>
      <c r="U67" s="7">
        <f t="shared" ca="1" si="2"/>
        <v>0.3651877133105802</v>
      </c>
      <c r="V67" s="7">
        <f t="shared" ca="1" si="3"/>
        <v>-1.0494183265802177</v>
      </c>
      <c r="W67" s="33">
        <f t="shared" ca="1" si="20"/>
        <v>6420</v>
      </c>
      <c r="X67" s="7">
        <f t="shared" ca="1" si="21"/>
        <v>1</v>
      </c>
      <c r="Y67" s="7">
        <f t="shared" ca="1" si="22"/>
        <v>1.3651877133105801</v>
      </c>
      <c r="Z67" s="7">
        <f t="shared" ca="1" si="4"/>
        <v>-0.16631871182515243</v>
      </c>
      <c r="AA67" s="33">
        <f t="shared" ca="1" si="23"/>
        <v>6420</v>
      </c>
      <c r="AB67" s="7">
        <f t="shared" ca="1" si="24"/>
        <v>1</v>
      </c>
      <c r="AC67" s="7">
        <f t="shared" ca="1" si="25"/>
        <v>1.3651877133105801</v>
      </c>
      <c r="AD67" s="40"/>
      <c r="AE67" s="40"/>
      <c r="AF67" s="34"/>
    </row>
    <row r="68" spans="1:34" x14ac:dyDescent="0.25">
      <c r="A68" s="1">
        <v>65</v>
      </c>
      <c r="B68" s="25">
        <v>44007</v>
      </c>
      <c r="C68" s="10" t="s">
        <v>1503</v>
      </c>
      <c r="D68" s="1">
        <v>612.95000000000005</v>
      </c>
      <c r="E68" s="30">
        <v>600</v>
      </c>
      <c r="F68" s="1">
        <v>660</v>
      </c>
      <c r="G68" s="1">
        <v>36.5</v>
      </c>
      <c r="H68" s="1">
        <v>720</v>
      </c>
      <c r="I68" s="1">
        <v>19.8</v>
      </c>
      <c r="J68" s="1">
        <v>24600</v>
      </c>
      <c r="K68" s="1">
        <v>600</v>
      </c>
      <c r="L68" s="1">
        <v>20.85</v>
      </c>
      <c r="M68" s="1">
        <v>22.75</v>
      </c>
      <c r="N68" s="1">
        <v>600</v>
      </c>
      <c r="O68" s="9"/>
      <c r="P68" s="7">
        <f t="shared" ca="1" si="5"/>
        <v>0.27833333333333332</v>
      </c>
      <c r="Q68" s="7">
        <f t="shared" ca="1" si="18"/>
        <v>1.3916666666666666E-2</v>
      </c>
      <c r="R68" s="33">
        <f t="shared" ref="R68:R131" ca="1" si="30">$E68*($G68-$I68)</f>
        <v>10020</v>
      </c>
      <c r="S68" s="33">
        <f t="shared" ref="S68:S131" ca="1" si="31">-(($H68-$F68)*$E68-$R68)</f>
        <v>-25980</v>
      </c>
      <c r="T68" s="33">
        <f t="shared" ca="1" si="19"/>
        <v>10020</v>
      </c>
      <c r="U68" s="7">
        <f t="shared" ref="U68:U131" ca="1" si="32">ABS($T68/$S68)</f>
        <v>0.38568129330254042</v>
      </c>
      <c r="V68" s="7">
        <f t="shared" ref="V68:V131" ca="1" si="33">mrigxl_max_drawdown($C68,INT($B68-TODAY()))</f>
        <v>-1.0494183265802177</v>
      </c>
      <c r="W68" s="33">
        <f t="shared" ca="1" si="20"/>
        <v>10020</v>
      </c>
      <c r="X68" s="7">
        <f t="shared" ca="1" si="21"/>
        <v>1</v>
      </c>
      <c r="Y68" s="7">
        <f t="shared" ca="1" si="22"/>
        <v>1.3856812933025404</v>
      </c>
      <c r="Z68" s="7">
        <f t="shared" ref="Z68:Z131" ca="1" si="34">mrigxl_avg_drawdown($C68,INT($B68-TODAY()))</f>
        <v>-0.16631871182515243</v>
      </c>
      <c r="AA68" s="33">
        <f t="shared" ca="1" si="23"/>
        <v>10020</v>
      </c>
      <c r="AB68" s="7">
        <f t="shared" ca="1" si="24"/>
        <v>1</v>
      </c>
      <c r="AC68" s="7">
        <f t="shared" ca="1" si="25"/>
        <v>1.3856812933025404</v>
      </c>
      <c r="AD68" s="40"/>
      <c r="AE68" s="40"/>
      <c r="AF68" s="34"/>
    </row>
    <row r="69" spans="1:34" x14ac:dyDescent="0.25">
      <c r="A69" s="1">
        <v>66</v>
      </c>
      <c r="B69" s="25">
        <v>44007</v>
      </c>
      <c r="C69" s="10" t="s">
        <v>1503</v>
      </c>
      <c r="D69" s="1">
        <v>612.95000000000005</v>
      </c>
      <c r="E69" s="30">
        <v>600</v>
      </c>
      <c r="F69" s="1">
        <v>660</v>
      </c>
      <c r="G69" s="1">
        <v>36.5</v>
      </c>
      <c r="H69" s="1">
        <v>740</v>
      </c>
      <c r="I69" s="1">
        <v>17</v>
      </c>
      <c r="J69" s="1">
        <v>32400</v>
      </c>
      <c r="K69" s="1">
        <v>5400</v>
      </c>
      <c r="L69" s="1">
        <v>16.5</v>
      </c>
      <c r="M69" s="1">
        <v>18.899999999999999</v>
      </c>
      <c r="N69" s="1">
        <v>1200</v>
      </c>
      <c r="O69" s="9"/>
      <c r="P69" s="7">
        <f t="shared" ref="P69:P132" ca="1" si="35">($G69-$I69)/($H69-$F69)</f>
        <v>0.24374999999999999</v>
      </c>
      <c r="Q69" s="7">
        <f t="shared" ca="1" si="18"/>
        <v>1.21875E-2</v>
      </c>
      <c r="R69" s="33">
        <f t="shared" ca="1" si="30"/>
        <v>11700</v>
      </c>
      <c r="S69" s="33">
        <f t="shared" ca="1" si="31"/>
        <v>-36300</v>
      </c>
      <c r="T69" s="33">
        <f t="shared" ca="1" si="19"/>
        <v>11700</v>
      </c>
      <c r="U69" s="7">
        <f t="shared" ca="1" si="32"/>
        <v>0.32231404958677684</v>
      </c>
      <c r="V69" s="7">
        <f t="shared" ca="1" si="33"/>
        <v>-1.0494183265802177</v>
      </c>
      <c r="W69" s="33">
        <f t="shared" ca="1" si="20"/>
        <v>11700</v>
      </c>
      <c r="X69" s="7">
        <f t="shared" ca="1" si="21"/>
        <v>1</v>
      </c>
      <c r="Y69" s="7">
        <f t="shared" ca="1" si="22"/>
        <v>1.3223140495867769</v>
      </c>
      <c r="Z69" s="7">
        <f t="shared" ca="1" si="34"/>
        <v>-0.16631871182515243</v>
      </c>
      <c r="AA69" s="33">
        <f t="shared" ca="1" si="23"/>
        <v>11700</v>
      </c>
      <c r="AB69" s="7">
        <f t="shared" ca="1" si="24"/>
        <v>1</v>
      </c>
      <c r="AC69" s="7">
        <f t="shared" ca="1" si="25"/>
        <v>1.3223140495867769</v>
      </c>
      <c r="AD69" s="40"/>
      <c r="AE69" s="40"/>
      <c r="AF69" s="34"/>
      <c r="AH69" s="34"/>
    </row>
    <row r="70" spans="1:34" x14ac:dyDescent="0.25">
      <c r="A70" s="1">
        <v>67</v>
      </c>
      <c r="B70" s="25">
        <v>44007</v>
      </c>
      <c r="C70" s="10" t="s">
        <v>1503</v>
      </c>
      <c r="D70" s="1">
        <v>612.95000000000005</v>
      </c>
      <c r="E70" s="30">
        <v>600</v>
      </c>
      <c r="F70" s="1">
        <v>660</v>
      </c>
      <c r="G70" s="1">
        <v>36.5</v>
      </c>
      <c r="H70" s="1">
        <v>800</v>
      </c>
      <c r="I70" s="1">
        <v>10.7</v>
      </c>
      <c r="J70" s="1">
        <v>129600</v>
      </c>
      <c r="K70" s="1">
        <v>600</v>
      </c>
      <c r="L70" s="1">
        <v>10.050000000000001</v>
      </c>
      <c r="M70" s="1">
        <v>11.05</v>
      </c>
      <c r="N70" s="1">
        <v>1200</v>
      </c>
      <c r="O70" s="9"/>
      <c r="P70" s="7">
        <f t="shared" ca="1" si="35"/>
        <v>0.1842857142857143</v>
      </c>
      <c r="Q70" s="7">
        <f t="shared" ca="1" si="18"/>
        <v>9.2142857142857148E-3</v>
      </c>
      <c r="R70" s="33">
        <f t="shared" ca="1" si="30"/>
        <v>15480</v>
      </c>
      <c r="S70" s="33">
        <f t="shared" ca="1" si="31"/>
        <v>-68520</v>
      </c>
      <c r="T70" s="33">
        <f t="shared" ca="1" si="19"/>
        <v>15480</v>
      </c>
      <c r="U70" s="7">
        <f t="shared" ca="1" si="32"/>
        <v>0.22591943957968477</v>
      </c>
      <c r="V70" s="7">
        <f t="shared" ca="1" si="33"/>
        <v>-1.0494183265802177</v>
      </c>
      <c r="W70" s="33">
        <f t="shared" ca="1" si="20"/>
        <v>15480</v>
      </c>
      <c r="X70" s="7">
        <f t="shared" ca="1" si="21"/>
        <v>1</v>
      </c>
      <c r="Y70" s="7">
        <f t="shared" ca="1" si="22"/>
        <v>1.2259194395796849</v>
      </c>
      <c r="Z70" s="7">
        <f t="shared" ca="1" si="34"/>
        <v>-0.16631871182515243</v>
      </c>
      <c r="AA70" s="33">
        <f t="shared" ca="1" si="23"/>
        <v>15480</v>
      </c>
      <c r="AB70" s="7">
        <f t="shared" ca="1" si="24"/>
        <v>1</v>
      </c>
      <c r="AC70" s="7">
        <f t="shared" ca="1" si="25"/>
        <v>1.2259194395796849</v>
      </c>
      <c r="AD70" s="40"/>
      <c r="AE70" s="40"/>
      <c r="AF70" s="34"/>
      <c r="AH70" s="34"/>
    </row>
    <row r="71" spans="1:34" x14ac:dyDescent="0.25">
      <c r="A71" s="1">
        <v>68</v>
      </c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1"/>
      <c r="N71" s="1"/>
      <c r="O71" s="9"/>
      <c r="P71" s="7"/>
      <c r="Q71" s="7"/>
      <c r="R71" s="33"/>
      <c r="S71" s="33"/>
      <c r="T71" s="33"/>
      <c r="U71" s="7"/>
      <c r="V71" s="7"/>
      <c r="W71" s="33"/>
      <c r="X71" s="7"/>
      <c r="Y71" s="7"/>
      <c r="Z71" s="7"/>
      <c r="AA71" s="33"/>
      <c r="AB71" s="7"/>
      <c r="AC71" s="7"/>
      <c r="AD71" s="40"/>
      <c r="AE71" s="40"/>
      <c r="AF71" s="34"/>
      <c r="AH71" s="34"/>
    </row>
    <row r="72" spans="1:34" x14ac:dyDescent="0.25">
      <c r="A72" s="1">
        <v>69</v>
      </c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1"/>
      <c r="N72" s="1"/>
      <c r="O72" s="9"/>
      <c r="P72" s="7"/>
      <c r="Q72" s="7"/>
      <c r="R72" s="33"/>
      <c r="S72" s="33"/>
      <c r="T72" s="33"/>
      <c r="U72" s="7"/>
      <c r="V72" s="7"/>
      <c r="W72" s="33"/>
      <c r="X72" s="7"/>
      <c r="Y72" s="7"/>
      <c r="Z72" s="7"/>
      <c r="AA72" s="33"/>
      <c r="AB72" s="7"/>
      <c r="AC72" s="7"/>
      <c r="AD72" s="40"/>
      <c r="AE72" s="40"/>
      <c r="AF72" s="34"/>
      <c r="AH72" s="34"/>
    </row>
    <row r="73" spans="1:34" x14ac:dyDescent="0.25">
      <c r="A73" s="1">
        <v>70</v>
      </c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1"/>
      <c r="N73" s="1"/>
      <c r="O73" s="9"/>
      <c r="P73" s="7"/>
      <c r="Q73" s="7"/>
      <c r="R73" s="33"/>
      <c r="S73" s="33"/>
      <c r="T73" s="33"/>
      <c r="U73" s="7"/>
      <c r="V73" s="7"/>
      <c r="W73" s="33"/>
      <c r="X73" s="7"/>
      <c r="Y73" s="7"/>
      <c r="Z73" s="7"/>
      <c r="AA73" s="33"/>
      <c r="AB73" s="7"/>
      <c r="AC73" s="7"/>
      <c r="AD73" s="40"/>
      <c r="AE73" s="40"/>
      <c r="AF73" s="34"/>
      <c r="AH73" s="34"/>
    </row>
    <row r="74" spans="1:34" x14ac:dyDescent="0.25">
      <c r="A74" s="1">
        <v>71</v>
      </c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1"/>
      <c r="N74" s="1"/>
      <c r="O74" s="9"/>
      <c r="P74" s="7"/>
      <c r="Q74" s="7"/>
      <c r="R74" s="33"/>
      <c r="S74" s="33"/>
      <c r="T74" s="33"/>
      <c r="U74" s="7"/>
      <c r="V74" s="7"/>
      <c r="W74" s="33"/>
      <c r="X74" s="7"/>
      <c r="Y74" s="7"/>
      <c r="Z74" s="7"/>
      <c r="AA74" s="33"/>
      <c r="AB74" s="7"/>
      <c r="AC74" s="7"/>
      <c r="AD74" s="40"/>
      <c r="AE74" s="40"/>
      <c r="AF74" s="34"/>
      <c r="AH74" s="34"/>
    </row>
    <row r="75" spans="1:34" x14ac:dyDescent="0.25">
      <c r="A75" s="1">
        <v>72</v>
      </c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1"/>
      <c r="N75" s="1"/>
      <c r="O75" s="9"/>
      <c r="P75" s="7"/>
      <c r="Q75" s="7"/>
      <c r="R75" s="33"/>
      <c r="S75" s="33"/>
      <c r="T75" s="33"/>
      <c r="U75" s="7"/>
      <c r="V75" s="7"/>
      <c r="W75" s="33"/>
      <c r="X75" s="7"/>
      <c r="Y75" s="7"/>
      <c r="Z75" s="7"/>
      <c r="AA75" s="33"/>
      <c r="AB75" s="7"/>
      <c r="AC75" s="7"/>
      <c r="AD75" s="40"/>
      <c r="AE75" s="40"/>
      <c r="AF75" s="34"/>
      <c r="AH75" s="34"/>
    </row>
    <row r="76" spans="1:34" x14ac:dyDescent="0.25">
      <c r="A76" s="1">
        <v>73</v>
      </c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1"/>
      <c r="N76" s="1"/>
      <c r="O76" s="9"/>
      <c r="P76" s="7"/>
      <c r="Q76" s="7"/>
      <c r="R76" s="33"/>
      <c r="S76" s="33"/>
      <c r="T76" s="33"/>
      <c r="U76" s="7"/>
      <c r="V76" s="7"/>
      <c r="W76" s="33"/>
      <c r="X76" s="7"/>
      <c r="Y76" s="7"/>
      <c r="Z76" s="7"/>
      <c r="AA76" s="33"/>
      <c r="AB76" s="7"/>
      <c r="AC76" s="7"/>
      <c r="AD76" s="40"/>
      <c r="AE76" s="40"/>
      <c r="AF76" s="34"/>
      <c r="AH76" s="34"/>
    </row>
    <row r="77" spans="1:34" x14ac:dyDescent="0.25">
      <c r="A77" s="1">
        <v>74</v>
      </c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1"/>
      <c r="N77" s="1"/>
      <c r="O77" s="9"/>
      <c r="P77" s="7"/>
      <c r="Q77" s="7"/>
      <c r="R77" s="33"/>
      <c r="S77" s="33"/>
      <c r="T77" s="33"/>
      <c r="U77" s="7"/>
      <c r="V77" s="7"/>
      <c r="W77" s="33"/>
      <c r="X77" s="7"/>
      <c r="Y77" s="7"/>
      <c r="Z77" s="7"/>
      <c r="AA77" s="33"/>
      <c r="AB77" s="7"/>
      <c r="AC77" s="7"/>
      <c r="AD77" s="40"/>
      <c r="AE77" s="40"/>
      <c r="AF77" s="34"/>
      <c r="AH77" s="34"/>
    </row>
    <row r="78" spans="1:34" x14ac:dyDescent="0.25">
      <c r="A78" s="1">
        <v>75</v>
      </c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1"/>
      <c r="N78" s="1"/>
      <c r="O78" s="9"/>
      <c r="P78" s="7"/>
      <c r="Q78" s="7"/>
      <c r="R78" s="33"/>
      <c r="S78" s="33"/>
      <c r="T78" s="33"/>
      <c r="U78" s="7"/>
      <c r="V78" s="7"/>
      <c r="W78" s="33"/>
      <c r="X78" s="7"/>
      <c r="Y78" s="7"/>
      <c r="Z78" s="7"/>
      <c r="AA78" s="33"/>
      <c r="AB78" s="7"/>
      <c r="AC78" s="7"/>
      <c r="AD78" s="40"/>
      <c r="AE78" s="40"/>
      <c r="AF78" s="34"/>
      <c r="AH78" s="34"/>
    </row>
    <row r="79" spans="1:34" x14ac:dyDescent="0.25">
      <c r="A79" s="1">
        <v>76</v>
      </c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1"/>
      <c r="N79" s="1"/>
      <c r="O79" s="9"/>
      <c r="P79" s="7"/>
      <c r="Q79" s="7"/>
      <c r="R79" s="33"/>
      <c r="S79" s="33"/>
      <c r="T79" s="33"/>
      <c r="U79" s="7"/>
      <c r="V79" s="7"/>
      <c r="W79" s="33"/>
      <c r="X79" s="7"/>
      <c r="Y79" s="7"/>
      <c r="Z79" s="7"/>
      <c r="AA79" s="33"/>
      <c r="AB79" s="7"/>
      <c r="AC79" s="7"/>
      <c r="AD79" s="40"/>
      <c r="AE79" s="40"/>
      <c r="AF79" s="34"/>
      <c r="AH79" s="34"/>
    </row>
    <row r="80" spans="1:34" x14ac:dyDescent="0.25">
      <c r="A80" s="1">
        <v>77</v>
      </c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1"/>
      <c r="N80" s="1"/>
      <c r="O80" s="9"/>
      <c r="P80" s="7"/>
      <c r="Q80" s="7"/>
      <c r="R80" s="33"/>
      <c r="S80" s="33"/>
      <c r="T80" s="33"/>
      <c r="U80" s="7"/>
      <c r="V80" s="7"/>
      <c r="W80" s="33"/>
      <c r="X80" s="7"/>
      <c r="Y80" s="7"/>
      <c r="Z80" s="7"/>
      <c r="AA80" s="33"/>
      <c r="AB80" s="7"/>
      <c r="AC80" s="7"/>
      <c r="AD80" s="40"/>
      <c r="AE80" s="40"/>
      <c r="AF80" s="34"/>
      <c r="AH80" s="34"/>
    </row>
    <row r="81" spans="1:34" x14ac:dyDescent="0.25">
      <c r="A81" s="1">
        <v>78</v>
      </c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1"/>
      <c r="N81" s="1"/>
      <c r="O81" s="9"/>
      <c r="P81" s="7"/>
      <c r="Q81" s="7"/>
      <c r="R81" s="33"/>
      <c r="S81" s="33"/>
      <c r="T81" s="33"/>
      <c r="U81" s="7"/>
      <c r="V81" s="7"/>
      <c r="W81" s="33"/>
      <c r="X81" s="7"/>
      <c r="Y81" s="7"/>
      <c r="Z81" s="7"/>
      <c r="AA81" s="33"/>
      <c r="AB81" s="7"/>
      <c r="AC81" s="7"/>
      <c r="AD81" s="40"/>
      <c r="AE81" s="40"/>
      <c r="AF81" s="34"/>
      <c r="AH81" s="34"/>
    </row>
    <row r="82" spans="1:34" x14ac:dyDescent="0.25">
      <c r="A82" s="1">
        <v>79</v>
      </c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1"/>
      <c r="N82" s="1"/>
      <c r="O82" s="9"/>
      <c r="P82" s="7"/>
      <c r="Q82" s="7"/>
      <c r="R82" s="33"/>
      <c r="S82" s="33"/>
      <c r="T82" s="33"/>
      <c r="U82" s="7"/>
      <c r="V82" s="7"/>
      <c r="W82" s="33"/>
      <c r="X82" s="7"/>
      <c r="Y82" s="7"/>
      <c r="Z82" s="7"/>
      <c r="AA82" s="33"/>
      <c r="AB82" s="7"/>
      <c r="AC82" s="7"/>
      <c r="AD82" s="40"/>
      <c r="AE82" s="40"/>
      <c r="AF82" s="34"/>
      <c r="AH82" s="34"/>
    </row>
    <row r="83" spans="1:34" x14ac:dyDescent="0.25">
      <c r="A83" s="1">
        <v>80</v>
      </c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1"/>
      <c r="N83" s="1"/>
      <c r="O83" s="9"/>
      <c r="P83" s="7"/>
      <c r="Q83" s="7"/>
      <c r="R83" s="33"/>
      <c r="S83" s="33"/>
      <c r="T83" s="33"/>
      <c r="U83" s="7"/>
      <c r="V83" s="7"/>
      <c r="W83" s="33"/>
      <c r="X83" s="7"/>
      <c r="Y83" s="7"/>
      <c r="Z83" s="7"/>
      <c r="AA83" s="33"/>
      <c r="AB83" s="7"/>
      <c r="AC83" s="7"/>
      <c r="AD83" s="40"/>
      <c r="AE83" s="40"/>
      <c r="AF83" s="34"/>
      <c r="AH83" s="34"/>
    </row>
    <row r="84" spans="1:34" x14ac:dyDescent="0.25">
      <c r="A84" s="1">
        <v>81</v>
      </c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1"/>
      <c r="N84" s="1"/>
      <c r="O84" s="9"/>
      <c r="P84" s="7"/>
      <c r="Q84" s="7"/>
      <c r="R84" s="33"/>
      <c r="S84" s="33"/>
      <c r="T84" s="33"/>
      <c r="U84" s="7"/>
      <c r="V84" s="7"/>
      <c r="W84" s="33"/>
      <c r="X84" s="7"/>
      <c r="Y84" s="7"/>
      <c r="Z84" s="7"/>
      <c r="AA84" s="33"/>
      <c r="AB84" s="7"/>
      <c r="AC84" s="7"/>
      <c r="AD84" s="40"/>
      <c r="AE84" s="40"/>
      <c r="AF84" s="34"/>
      <c r="AH84" s="34"/>
    </row>
    <row r="85" spans="1:34" x14ac:dyDescent="0.25">
      <c r="A85" s="1">
        <v>82</v>
      </c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1"/>
      <c r="N85" s="1"/>
      <c r="O85" s="9"/>
      <c r="P85" s="7"/>
      <c r="Q85" s="7"/>
      <c r="R85" s="33"/>
      <c r="S85" s="33"/>
      <c r="T85" s="33"/>
      <c r="U85" s="7"/>
      <c r="V85" s="7"/>
      <c r="W85" s="33"/>
      <c r="X85" s="7"/>
      <c r="Y85" s="7"/>
      <c r="Z85" s="7"/>
      <c r="AA85" s="33"/>
      <c r="AB85" s="7"/>
      <c r="AC85" s="7"/>
      <c r="AD85" s="40"/>
      <c r="AE85" s="40"/>
      <c r="AF85" s="34"/>
      <c r="AH85" s="34"/>
    </row>
    <row r="86" spans="1:34" x14ac:dyDescent="0.25">
      <c r="A86" s="1">
        <v>83</v>
      </c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1"/>
      <c r="N86" s="1"/>
      <c r="O86" s="9"/>
      <c r="P86" s="7"/>
      <c r="Q86" s="7"/>
      <c r="R86" s="33"/>
      <c r="S86" s="33"/>
      <c r="T86" s="33"/>
      <c r="U86" s="7"/>
      <c r="V86" s="7"/>
      <c r="W86" s="33"/>
      <c r="X86" s="7"/>
      <c r="Y86" s="7"/>
      <c r="Z86" s="7"/>
      <c r="AA86" s="33"/>
      <c r="AB86" s="7"/>
      <c r="AC86" s="7"/>
      <c r="AD86" s="40"/>
      <c r="AE86" s="40"/>
      <c r="AF86" s="34"/>
      <c r="AH86" s="34"/>
    </row>
    <row r="87" spans="1:34" x14ac:dyDescent="0.25">
      <c r="A87" s="1">
        <v>84</v>
      </c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1"/>
      <c r="N87" s="1"/>
      <c r="O87" s="9"/>
      <c r="P87" s="7"/>
      <c r="Q87" s="7"/>
      <c r="R87" s="33"/>
      <c r="S87" s="33"/>
      <c r="T87" s="33"/>
      <c r="U87" s="7"/>
      <c r="V87" s="7"/>
      <c r="W87" s="33"/>
      <c r="X87" s="7"/>
      <c r="Y87" s="7"/>
      <c r="Z87" s="7"/>
      <c r="AA87" s="33"/>
      <c r="AB87" s="7"/>
      <c r="AC87" s="7"/>
      <c r="AD87" s="40"/>
      <c r="AE87" s="40"/>
      <c r="AF87" s="34"/>
      <c r="AH87" s="34"/>
    </row>
    <row r="88" spans="1:34" x14ac:dyDescent="0.25">
      <c r="A88" s="1">
        <v>85</v>
      </c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1"/>
      <c r="N88" s="1"/>
      <c r="O88" s="9"/>
      <c r="P88" s="7"/>
      <c r="Q88" s="7"/>
      <c r="R88" s="33"/>
      <c r="S88" s="33"/>
      <c r="T88" s="33"/>
      <c r="U88" s="7"/>
      <c r="V88" s="7"/>
      <c r="W88" s="33"/>
      <c r="X88" s="7"/>
      <c r="Y88" s="7"/>
      <c r="Z88" s="7"/>
      <c r="AA88" s="33"/>
      <c r="AB88" s="7"/>
      <c r="AC88" s="7"/>
      <c r="AD88" s="40"/>
      <c r="AE88" s="40"/>
      <c r="AF88" s="34"/>
      <c r="AH88" s="34"/>
    </row>
    <row r="89" spans="1:34" x14ac:dyDescent="0.25">
      <c r="A89" s="1">
        <v>86</v>
      </c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1"/>
      <c r="N89" s="1"/>
      <c r="O89" s="9"/>
      <c r="P89" s="7"/>
      <c r="Q89" s="7"/>
      <c r="R89" s="33"/>
      <c r="S89" s="33"/>
      <c r="T89" s="33"/>
      <c r="U89" s="7"/>
      <c r="V89" s="7"/>
      <c r="W89" s="33"/>
      <c r="X89" s="7"/>
      <c r="Y89" s="7"/>
      <c r="Z89" s="7"/>
      <c r="AA89" s="33"/>
      <c r="AB89" s="7"/>
      <c r="AC89" s="7"/>
      <c r="AD89" s="40"/>
      <c r="AE89" s="40"/>
      <c r="AF89" s="34"/>
      <c r="AH89" s="34"/>
    </row>
    <row r="90" spans="1:34" x14ac:dyDescent="0.25">
      <c r="A90" s="1">
        <v>87</v>
      </c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1"/>
      <c r="N90" s="1"/>
      <c r="O90" s="9"/>
      <c r="P90" s="7"/>
      <c r="Q90" s="7"/>
      <c r="R90" s="33"/>
      <c r="S90" s="33"/>
      <c r="T90" s="33"/>
      <c r="U90" s="7"/>
      <c r="V90" s="7"/>
      <c r="W90" s="33"/>
      <c r="X90" s="7"/>
      <c r="Y90" s="7"/>
      <c r="Z90" s="7"/>
      <c r="AA90" s="33"/>
      <c r="AB90" s="7"/>
      <c r="AC90" s="7"/>
      <c r="AD90" s="40"/>
      <c r="AE90" s="40"/>
      <c r="AF90" s="34"/>
      <c r="AH90" s="34"/>
    </row>
    <row r="91" spans="1:34" x14ac:dyDescent="0.25">
      <c r="A91" s="1">
        <v>88</v>
      </c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1"/>
      <c r="N91" s="1"/>
      <c r="O91" s="9"/>
      <c r="P91" s="7"/>
      <c r="Q91" s="7"/>
      <c r="R91" s="33"/>
      <c r="S91" s="33"/>
      <c r="T91" s="33"/>
      <c r="U91" s="7"/>
      <c r="V91" s="7"/>
      <c r="W91" s="33"/>
      <c r="X91" s="7"/>
      <c r="Y91" s="7"/>
      <c r="Z91" s="7"/>
      <c r="AA91" s="33"/>
      <c r="AB91" s="7"/>
      <c r="AC91" s="7"/>
      <c r="AD91" s="40"/>
      <c r="AE91" s="40"/>
      <c r="AF91" s="34"/>
      <c r="AH91" s="34"/>
    </row>
    <row r="92" spans="1:34" x14ac:dyDescent="0.25">
      <c r="A92" s="1">
        <v>89</v>
      </c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1"/>
      <c r="N92" s="1"/>
      <c r="O92" s="9"/>
      <c r="P92" s="7"/>
      <c r="Q92" s="7"/>
      <c r="R92" s="33"/>
      <c r="S92" s="33"/>
      <c r="T92" s="33"/>
      <c r="U92" s="7"/>
      <c r="V92" s="7"/>
      <c r="W92" s="33"/>
      <c r="X92" s="7"/>
      <c r="Y92" s="7"/>
      <c r="Z92" s="7"/>
      <c r="AA92" s="33"/>
      <c r="AB92" s="7"/>
      <c r="AC92" s="7"/>
      <c r="AD92" s="40"/>
      <c r="AE92" s="40"/>
      <c r="AF92" s="34"/>
      <c r="AH92" s="34"/>
    </row>
    <row r="93" spans="1:34" x14ac:dyDescent="0.25">
      <c r="A93" s="1">
        <v>90</v>
      </c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1"/>
      <c r="N93" s="1"/>
      <c r="O93" s="9"/>
      <c r="P93" s="7"/>
      <c r="Q93" s="7"/>
      <c r="R93" s="33"/>
      <c r="S93" s="33"/>
      <c r="T93" s="33"/>
      <c r="U93" s="7"/>
      <c r="V93" s="7"/>
      <c r="W93" s="33"/>
      <c r="X93" s="7"/>
      <c r="Y93" s="7"/>
      <c r="Z93" s="7"/>
      <c r="AA93" s="33"/>
      <c r="AB93" s="7"/>
      <c r="AC93" s="7"/>
      <c r="AD93" s="40"/>
      <c r="AE93" s="40"/>
      <c r="AF93" s="34"/>
      <c r="AH93" s="34"/>
    </row>
    <row r="94" spans="1:34" x14ac:dyDescent="0.25">
      <c r="A94" s="1">
        <v>91</v>
      </c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1"/>
      <c r="N94" s="1"/>
      <c r="O94" s="9"/>
      <c r="P94" s="7"/>
      <c r="Q94" s="7"/>
      <c r="R94" s="33"/>
      <c r="S94" s="33"/>
      <c r="T94" s="33"/>
      <c r="U94" s="7"/>
      <c r="V94" s="7"/>
      <c r="W94" s="33"/>
      <c r="X94" s="7"/>
      <c r="Y94" s="7"/>
      <c r="Z94" s="7"/>
      <c r="AA94" s="33"/>
      <c r="AB94" s="7"/>
      <c r="AC94" s="7"/>
      <c r="AD94" s="40"/>
      <c r="AE94" s="40"/>
      <c r="AF94" s="34"/>
      <c r="AH94" s="34"/>
    </row>
    <row r="95" spans="1:34" x14ac:dyDescent="0.25">
      <c r="A95" s="1">
        <v>92</v>
      </c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1"/>
      <c r="N95" s="1"/>
      <c r="O95" s="9"/>
      <c r="P95" s="7"/>
      <c r="Q95" s="7"/>
      <c r="R95" s="33"/>
      <c r="S95" s="33"/>
      <c r="T95" s="33"/>
      <c r="U95" s="7"/>
      <c r="V95" s="7"/>
      <c r="W95" s="33"/>
      <c r="X95" s="7"/>
      <c r="Y95" s="7"/>
      <c r="Z95" s="7"/>
      <c r="AA95" s="33"/>
      <c r="AB95" s="7"/>
      <c r="AC95" s="7"/>
      <c r="AD95" s="40"/>
      <c r="AE95" s="40"/>
      <c r="AF95" s="34"/>
      <c r="AH95" s="34"/>
    </row>
    <row r="96" spans="1:34" x14ac:dyDescent="0.25">
      <c r="A96" s="1">
        <v>93</v>
      </c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1"/>
      <c r="N96" s="1"/>
      <c r="O96" s="9"/>
      <c r="P96" s="7"/>
      <c r="Q96" s="7"/>
      <c r="R96" s="33"/>
      <c r="S96" s="33"/>
      <c r="T96" s="33"/>
      <c r="U96" s="7"/>
      <c r="V96" s="7"/>
      <c r="W96" s="33"/>
      <c r="X96" s="7"/>
      <c r="Y96" s="7"/>
      <c r="Z96" s="7"/>
      <c r="AA96" s="33"/>
      <c r="AB96" s="7"/>
      <c r="AC96" s="7"/>
      <c r="AD96" s="40"/>
      <c r="AE96" s="40"/>
      <c r="AF96" s="34"/>
      <c r="AH96" s="34"/>
    </row>
    <row r="97" spans="1:34" x14ac:dyDescent="0.25">
      <c r="A97" s="1">
        <v>94</v>
      </c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1"/>
      <c r="N97" s="1"/>
      <c r="O97" s="9"/>
      <c r="P97" s="7"/>
      <c r="Q97" s="7"/>
      <c r="R97" s="33"/>
      <c r="S97" s="33"/>
      <c r="T97" s="33"/>
      <c r="U97" s="7"/>
      <c r="V97" s="7"/>
      <c r="W97" s="33"/>
      <c r="X97" s="7"/>
      <c r="Y97" s="7"/>
      <c r="Z97" s="7"/>
      <c r="AA97" s="33"/>
      <c r="AB97" s="7"/>
      <c r="AC97" s="7"/>
      <c r="AD97" s="40"/>
      <c r="AE97" s="40"/>
      <c r="AF97" s="34"/>
      <c r="AH97" s="34"/>
    </row>
    <row r="98" spans="1:34" x14ac:dyDescent="0.25">
      <c r="A98" s="1">
        <v>95</v>
      </c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1"/>
      <c r="N98" s="1"/>
      <c r="O98" s="9"/>
      <c r="P98" s="7"/>
      <c r="Q98" s="7"/>
      <c r="R98" s="33"/>
      <c r="S98" s="33"/>
      <c r="T98" s="33"/>
      <c r="U98" s="7"/>
      <c r="V98" s="7"/>
      <c r="W98" s="33"/>
      <c r="X98" s="7"/>
      <c r="Y98" s="7"/>
      <c r="Z98" s="7"/>
      <c r="AA98" s="33"/>
      <c r="AB98" s="7"/>
      <c r="AC98" s="7"/>
      <c r="AD98" s="40"/>
      <c r="AE98" s="40"/>
      <c r="AF98" s="34"/>
      <c r="AH98" s="34"/>
    </row>
    <row r="99" spans="1:34" x14ac:dyDescent="0.25">
      <c r="A99" s="1">
        <v>96</v>
      </c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1"/>
      <c r="N99" s="1"/>
      <c r="O99" s="9"/>
      <c r="P99" s="7"/>
      <c r="Q99" s="7"/>
      <c r="R99" s="33"/>
      <c r="S99" s="33"/>
      <c r="T99" s="33"/>
      <c r="U99" s="7"/>
      <c r="V99" s="7"/>
      <c r="W99" s="33"/>
      <c r="X99" s="7"/>
      <c r="Y99" s="7"/>
      <c r="Z99" s="7"/>
      <c r="AA99" s="33"/>
      <c r="AB99" s="7"/>
      <c r="AC99" s="7"/>
      <c r="AD99" s="40"/>
      <c r="AE99" s="40"/>
      <c r="AF99" s="34"/>
      <c r="AH99" s="34"/>
    </row>
    <row r="100" spans="1:34" x14ac:dyDescent="0.25">
      <c r="A100" s="1">
        <v>97</v>
      </c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1"/>
      <c r="N100" s="1"/>
      <c r="O100" s="9"/>
      <c r="P100" s="7"/>
      <c r="Q100" s="7"/>
      <c r="R100" s="33"/>
      <c r="S100" s="33"/>
      <c r="T100" s="33"/>
      <c r="U100" s="7"/>
      <c r="V100" s="7"/>
      <c r="W100" s="33"/>
      <c r="X100" s="7"/>
      <c r="Y100" s="7"/>
      <c r="Z100" s="7"/>
      <c r="AA100" s="33"/>
      <c r="AB100" s="7"/>
      <c r="AC100" s="7"/>
      <c r="AD100" s="40"/>
      <c r="AE100" s="40"/>
      <c r="AF100" s="34"/>
      <c r="AH100" s="34"/>
    </row>
    <row r="101" spans="1:34" x14ac:dyDescent="0.25">
      <c r="A101" s="1">
        <v>98</v>
      </c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1"/>
      <c r="N101" s="1"/>
      <c r="O101" s="9"/>
      <c r="P101" s="7"/>
      <c r="Q101" s="7"/>
      <c r="R101" s="33"/>
      <c r="S101" s="33"/>
      <c r="T101" s="33"/>
      <c r="U101" s="7"/>
      <c r="V101" s="7"/>
      <c r="W101" s="33"/>
      <c r="X101" s="7"/>
      <c r="Y101" s="7"/>
      <c r="Z101" s="7"/>
      <c r="AA101" s="33"/>
      <c r="AB101" s="7"/>
      <c r="AC101" s="7"/>
      <c r="AD101" s="40"/>
      <c r="AE101" s="40"/>
      <c r="AF101" s="34"/>
      <c r="AH101" s="34"/>
    </row>
    <row r="102" spans="1:34" x14ac:dyDescent="0.25">
      <c r="A102" s="1">
        <v>99</v>
      </c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1"/>
      <c r="N102" s="1"/>
      <c r="O102" s="9"/>
      <c r="P102" s="7"/>
      <c r="Q102" s="7"/>
      <c r="R102" s="33"/>
      <c r="S102" s="33"/>
      <c r="T102" s="33"/>
      <c r="U102" s="7"/>
      <c r="V102" s="7"/>
      <c r="W102" s="33"/>
      <c r="X102" s="7"/>
      <c r="Y102" s="7"/>
      <c r="Z102" s="7"/>
      <c r="AA102" s="33"/>
      <c r="AB102" s="7"/>
      <c r="AC102" s="7"/>
      <c r="AD102" s="40"/>
      <c r="AE102" s="40"/>
      <c r="AF102" s="34"/>
      <c r="AH102" s="34"/>
    </row>
    <row r="103" spans="1:34" x14ac:dyDescent="0.25">
      <c r="A103" s="1">
        <v>100</v>
      </c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1"/>
      <c r="N103" s="1"/>
      <c r="O103" s="9"/>
      <c r="P103" s="7"/>
      <c r="Q103" s="7"/>
      <c r="R103" s="33"/>
      <c r="S103" s="33"/>
      <c r="T103" s="33"/>
      <c r="U103" s="7"/>
      <c r="V103" s="7"/>
      <c r="W103" s="33"/>
      <c r="X103" s="7"/>
      <c r="Y103" s="7"/>
      <c r="Z103" s="7"/>
      <c r="AA103" s="33"/>
      <c r="AB103" s="7"/>
      <c r="AC103" s="7"/>
      <c r="AD103" s="40"/>
      <c r="AE103" s="40"/>
      <c r="AF103" s="34"/>
      <c r="AH103" s="34"/>
    </row>
    <row r="104" spans="1:34" x14ac:dyDescent="0.25">
      <c r="A104" s="1">
        <v>101</v>
      </c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1"/>
      <c r="N104" s="1"/>
      <c r="O104" s="9"/>
      <c r="P104" s="7"/>
      <c r="Q104" s="7"/>
      <c r="R104" s="33"/>
      <c r="S104" s="33"/>
      <c r="T104" s="33"/>
      <c r="U104" s="7"/>
      <c r="V104" s="7"/>
      <c r="W104" s="33"/>
      <c r="X104" s="7"/>
      <c r="Y104" s="7"/>
      <c r="Z104" s="7"/>
      <c r="AA104" s="33"/>
      <c r="AB104" s="7"/>
      <c r="AC104" s="7"/>
      <c r="AD104" s="40"/>
      <c r="AE104" s="40"/>
      <c r="AF104" s="34"/>
      <c r="AH104" s="34"/>
    </row>
    <row r="105" spans="1:34" x14ac:dyDescent="0.25">
      <c r="A105" s="1">
        <v>102</v>
      </c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1"/>
      <c r="N105" s="1"/>
      <c r="O105" s="9"/>
      <c r="P105" s="7"/>
      <c r="Q105" s="7"/>
      <c r="R105" s="33"/>
      <c r="S105" s="33"/>
      <c r="T105" s="33"/>
      <c r="U105" s="7"/>
      <c r="V105" s="7"/>
      <c r="W105" s="33"/>
      <c r="X105" s="7"/>
      <c r="Y105" s="7"/>
      <c r="Z105" s="7"/>
      <c r="AA105" s="33"/>
      <c r="AB105" s="7"/>
      <c r="AC105" s="7"/>
      <c r="AD105" s="40"/>
      <c r="AE105" s="40"/>
      <c r="AF105" s="34"/>
      <c r="AH105" s="34"/>
    </row>
    <row r="106" spans="1:34" x14ac:dyDescent="0.25">
      <c r="A106" s="1">
        <v>103</v>
      </c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1"/>
      <c r="N106" s="1"/>
      <c r="O106" s="9"/>
      <c r="P106" s="7"/>
      <c r="Q106" s="7"/>
      <c r="R106" s="33"/>
      <c r="S106" s="33"/>
      <c r="T106" s="33"/>
      <c r="U106" s="7"/>
      <c r="V106" s="7"/>
      <c r="W106" s="33"/>
      <c r="X106" s="7"/>
      <c r="Y106" s="7"/>
      <c r="Z106" s="7"/>
      <c r="AA106" s="33"/>
      <c r="AB106" s="7"/>
      <c r="AC106" s="7"/>
      <c r="AD106" s="40"/>
      <c r="AE106" s="40"/>
      <c r="AF106" s="34"/>
      <c r="AH106" s="34"/>
    </row>
    <row r="107" spans="1:34" x14ac:dyDescent="0.25">
      <c r="A107" s="1">
        <v>104</v>
      </c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1"/>
      <c r="N107" s="1"/>
      <c r="O107" s="9"/>
      <c r="P107" s="7"/>
      <c r="Q107" s="7"/>
      <c r="R107" s="33"/>
      <c r="S107" s="33"/>
      <c r="T107" s="33"/>
      <c r="U107" s="7"/>
      <c r="V107" s="7"/>
      <c r="W107" s="33"/>
      <c r="X107" s="7"/>
      <c r="Y107" s="7"/>
      <c r="Z107" s="7"/>
      <c r="AA107" s="33"/>
      <c r="AB107" s="7"/>
      <c r="AC107" s="7"/>
      <c r="AD107" s="40"/>
      <c r="AE107" s="40"/>
      <c r="AF107" s="34"/>
      <c r="AH107" s="34"/>
    </row>
    <row r="108" spans="1:34" x14ac:dyDescent="0.25">
      <c r="A108" s="1">
        <v>105</v>
      </c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1"/>
      <c r="N108" s="1"/>
      <c r="O108" s="9"/>
      <c r="P108" s="7"/>
      <c r="Q108" s="7"/>
      <c r="R108" s="33"/>
      <c r="S108" s="33"/>
      <c r="T108" s="33"/>
      <c r="U108" s="7"/>
      <c r="V108" s="7"/>
      <c r="W108" s="33"/>
      <c r="X108" s="7"/>
      <c r="Y108" s="7"/>
      <c r="Z108" s="7"/>
      <c r="AA108" s="33"/>
      <c r="AB108" s="7"/>
      <c r="AC108" s="7"/>
      <c r="AD108" s="40"/>
      <c r="AE108" s="40"/>
      <c r="AF108" s="34"/>
      <c r="AH108" s="34"/>
    </row>
    <row r="109" spans="1:34" x14ac:dyDescent="0.25">
      <c r="A109" s="1">
        <v>106</v>
      </c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1"/>
      <c r="N109" s="1"/>
      <c r="O109" s="9"/>
      <c r="P109" s="7"/>
      <c r="Q109" s="7"/>
      <c r="R109" s="33"/>
      <c r="S109" s="33"/>
      <c r="T109" s="33"/>
      <c r="U109" s="7"/>
      <c r="V109" s="7"/>
      <c r="W109" s="33"/>
      <c r="X109" s="7"/>
      <c r="Y109" s="7"/>
      <c r="Z109" s="7"/>
      <c r="AA109" s="33"/>
      <c r="AB109" s="7"/>
      <c r="AC109" s="7"/>
      <c r="AD109" s="40"/>
      <c r="AE109" s="40"/>
      <c r="AF109" s="34"/>
      <c r="AH109" s="34"/>
    </row>
    <row r="110" spans="1:34" x14ac:dyDescent="0.25">
      <c r="A110" s="1">
        <v>107</v>
      </c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1"/>
      <c r="N110" s="1"/>
      <c r="O110" s="9"/>
      <c r="P110" s="7"/>
      <c r="Q110" s="7"/>
      <c r="R110" s="33"/>
      <c r="S110" s="33"/>
      <c r="T110" s="33"/>
      <c r="U110" s="7"/>
      <c r="V110" s="7"/>
      <c r="W110" s="33"/>
      <c r="X110" s="7"/>
      <c r="Y110" s="7"/>
      <c r="Z110" s="7"/>
      <c r="AA110" s="33"/>
      <c r="AB110" s="7"/>
      <c r="AC110" s="7"/>
      <c r="AD110" s="40"/>
      <c r="AE110" s="40"/>
      <c r="AF110" s="34"/>
      <c r="AH110" s="34"/>
    </row>
    <row r="111" spans="1:34" x14ac:dyDescent="0.25">
      <c r="A111" s="1">
        <v>108</v>
      </c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1"/>
      <c r="N111" s="1"/>
      <c r="O111" s="9"/>
      <c r="P111" s="7"/>
      <c r="Q111" s="7"/>
      <c r="R111" s="33"/>
      <c r="S111" s="33"/>
      <c r="T111" s="33"/>
      <c r="U111" s="7"/>
      <c r="V111" s="7"/>
      <c r="W111" s="33"/>
      <c r="X111" s="7"/>
      <c r="Y111" s="7"/>
      <c r="Z111" s="7"/>
      <c r="AA111" s="33"/>
      <c r="AB111" s="7"/>
      <c r="AC111" s="7"/>
      <c r="AD111" s="40"/>
      <c r="AE111" s="40"/>
      <c r="AF111" s="34"/>
      <c r="AH111" s="34"/>
    </row>
    <row r="112" spans="1:34" x14ac:dyDescent="0.25">
      <c r="A112" s="1">
        <v>109</v>
      </c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1"/>
      <c r="N112" s="1"/>
      <c r="O112" s="9"/>
      <c r="P112" s="7"/>
      <c r="Q112" s="7"/>
      <c r="R112" s="33"/>
      <c r="S112" s="33"/>
      <c r="T112" s="33"/>
      <c r="U112" s="7"/>
      <c r="V112" s="7"/>
      <c r="W112" s="33"/>
      <c r="X112" s="7"/>
      <c r="Y112" s="7"/>
      <c r="Z112" s="7"/>
      <c r="AA112" s="33"/>
      <c r="AB112" s="7"/>
      <c r="AC112" s="7"/>
      <c r="AD112" s="40"/>
      <c r="AE112" s="40"/>
      <c r="AF112" s="34"/>
      <c r="AH112" s="34"/>
    </row>
    <row r="113" spans="1:34" x14ac:dyDescent="0.25">
      <c r="A113" s="1">
        <v>110</v>
      </c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1"/>
      <c r="N113" s="1"/>
      <c r="O113" s="9"/>
      <c r="P113" s="7"/>
      <c r="Q113" s="7"/>
      <c r="R113" s="33"/>
      <c r="S113" s="33"/>
      <c r="T113" s="33"/>
      <c r="U113" s="7"/>
      <c r="V113" s="7"/>
      <c r="W113" s="33"/>
      <c r="X113" s="7"/>
      <c r="Y113" s="7"/>
      <c r="Z113" s="7"/>
      <c r="AA113" s="33"/>
      <c r="AB113" s="7"/>
      <c r="AC113" s="7"/>
      <c r="AD113" s="40"/>
      <c r="AE113" s="40"/>
      <c r="AF113" s="34"/>
      <c r="AH113" s="34"/>
    </row>
    <row r="114" spans="1:34" x14ac:dyDescent="0.25">
      <c r="A114" s="1">
        <v>111</v>
      </c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1"/>
      <c r="N114" s="1"/>
      <c r="O114" s="9"/>
      <c r="P114" s="7"/>
      <c r="Q114" s="7"/>
      <c r="R114" s="33"/>
      <c r="S114" s="33"/>
      <c r="T114" s="33"/>
      <c r="U114" s="7"/>
      <c r="V114" s="7"/>
      <c r="W114" s="33"/>
      <c r="X114" s="7"/>
      <c r="Y114" s="7"/>
      <c r="Z114" s="7"/>
      <c r="AA114" s="33"/>
      <c r="AB114" s="7"/>
      <c r="AC114" s="7"/>
      <c r="AD114" s="40"/>
      <c r="AE114" s="40"/>
      <c r="AF114" s="34"/>
      <c r="AH114" s="34"/>
    </row>
    <row r="115" spans="1:34" x14ac:dyDescent="0.25">
      <c r="A115" s="1">
        <v>112</v>
      </c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1"/>
      <c r="N115" s="1"/>
      <c r="O115" s="9"/>
      <c r="P115" s="7"/>
      <c r="Q115" s="7"/>
      <c r="R115" s="33"/>
      <c r="S115" s="33"/>
      <c r="T115" s="33"/>
      <c r="U115" s="7"/>
      <c r="V115" s="7"/>
      <c r="W115" s="33"/>
      <c r="X115" s="7"/>
      <c r="Y115" s="7"/>
      <c r="Z115" s="7"/>
      <c r="AA115" s="33"/>
      <c r="AB115" s="7"/>
      <c r="AC115" s="7"/>
      <c r="AD115" s="40"/>
      <c r="AE115" s="40"/>
      <c r="AF115" s="34"/>
      <c r="AH115" s="34"/>
    </row>
    <row r="116" spans="1:34" x14ac:dyDescent="0.25">
      <c r="A116" s="1">
        <v>113</v>
      </c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1"/>
      <c r="N116" s="1"/>
      <c r="O116" s="9"/>
      <c r="P116" s="7"/>
      <c r="Q116" s="7"/>
      <c r="R116" s="33"/>
      <c r="S116" s="33"/>
      <c r="T116" s="33"/>
      <c r="U116" s="7"/>
      <c r="V116" s="7"/>
      <c r="W116" s="33"/>
      <c r="X116" s="7"/>
      <c r="Y116" s="7"/>
      <c r="Z116" s="7"/>
      <c r="AA116" s="33"/>
      <c r="AB116" s="7"/>
      <c r="AC116" s="7"/>
      <c r="AD116" s="40"/>
      <c r="AE116" s="40"/>
      <c r="AF116" s="34"/>
      <c r="AH116" s="34"/>
    </row>
    <row r="117" spans="1:34" x14ac:dyDescent="0.25">
      <c r="A117" s="1">
        <v>114</v>
      </c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1"/>
      <c r="N117" s="1"/>
      <c r="O117" s="9"/>
      <c r="P117" s="7"/>
      <c r="Q117" s="7"/>
      <c r="R117" s="33"/>
      <c r="S117" s="33"/>
      <c r="T117" s="33"/>
      <c r="U117" s="7"/>
      <c r="V117" s="7"/>
      <c r="W117" s="33"/>
      <c r="X117" s="7"/>
      <c r="Y117" s="7"/>
      <c r="Z117" s="7"/>
      <c r="AA117" s="33"/>
      <c r="AB117" s="7"/>
      <c r="AC117" s="7"/>
      <c r="AD117" s="40"/>
      <c r="AE117" s="40"/>
      <c r="AF117" s="34"/>
      <c r="AH117" s="34"/>
    </row>
    <row r="118" spans="1:34" x14ac:dyDescent="0.25">
      <c r="A118" s="1">
        <v>115</v>
      </c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1"/>
      <c r="N118" s="1"/>
      <c r="O118" s="9"/>
      <c r="P118" s="7"/>
      <c r="Q118" s="7"/>
      <c r="R118" s="33"/>
      <c r="S118" s="33"/>
      <c r="T118" s="33"/>
      <c r="U118" s="7"/>
      <c r="V118" s="7"/>
      <c r="W118" s="33"/>
      <c r="X118" s="7"/>
      <c r="Y118" s="7"/>
      <c r="Z118" s="7"/>
      <c r="AA118" s="33"/>
      <c r="AB118" s="7"/>
      <c r="AC118" s="7"/>
      <c r="AD118" s="40"/>
      <c r="AE118" s="40"/>
      <c r="AF118" s="34"/>
      <c r="AH118" s="34"/>
    </row>
    <row r="119" spans="1:34" x14ac:dyDescent="0.25">
      <c r="A119" s="1">
        <v>116</v>
      </c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1"/>
      <c r="N119" s="1"/>
      <c r="O119" s="9"/>
      <c r="P119" s="7"/>
      <c r="Q119" s="7"/>
      <c r="R119" s="33"/>
      <c r="S119" s="33"/>
      <c r="T119" s="33"/>
      <c r="U119" s="7"/>
      <c r="V119" s="7"/>
      <c r="W119" s="33"/>
      <c r="X119" s="7"/>
      <c r="Y119" s="7"/>
      <c r="Z119" s="7"/>
      <c r="AA119" s="33"/>
      <c r="AB119" s="7"/>
      <c r="AC119" s="7"/>
      <c r="AD119" s="40"/>
      <c r="AE119" s="40"/>
      <c r="AF119" s="34"/>
      <c r="AH119" s="34"/>
    </row>
    <row r="120" spans="1:34" x14ac:dyDescent="0.25">
      <c r="A120" s="1">
        <v>117</v>
      </c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1"/>
      <c r="N120" s="1"/>
      <c r="O120" s="9"/>
      <c r="P120" s="7"/>
      <c r="Q120" s="7"/>
      <c r="R120" s="33"/>
      <c r="S120" s="33"/>
      <c r="T120" s="33"/>
      <c r="U120" s="7"/>
      <c r="V120" s="7"/>
      <c r="W120" s="33"/>
      <c r="X120" s="7"/>
      <c r="Y120" s="7"/>
      <c r="Z120" s="7"/>
      <c r="AA120" s="33"/>
      <c r="AB120" s="7"/>
      <c r="AC120" s="7"/>
      <c r="AD120" s="40"/>
      <c r="AE120" s="40"/>
      <c r="AF120" s="34"/>
      <c r="AH120" s="34"/>
    </row>
    <row r="121" spans="1:34" x14ac:dyDescent="0.25">
      <c r="A121" s="1">
        <v>118</v>
      </c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1"/>
      <c r="N121" s="1"/>
      <c r="O121" s="9"/>
      <c r="P121" s="7"/>
      <c r="Q121" s="7"/>
      <c r="R121" s="33"/>
      <c r="S121" s="33"/>
      <c r="T121" s="33"/>
      <c r="U121" s="7"/>
      <c r="V121" s="7"/>
      <c r="W121" s="33"/>
      <c r="X121" s="7"/>
      <c r="Y121" s="7"/>
      <c r="Z121" s="7"/>
      <c r="AA121" s="33"/>
      <c r="AB121" s="7"/>
      <c r="AC121" s="7"/>
      <c r="AD121" s="40"/>
      <c r="AE121" s="40"/>
      <c r="AF121" s="34"/>
      <c r="AH121" s="34"/>
    </row>
    <row r="122" spans="1:34" x14ac:dyDescent="0.25">
      <c r="A122" s="1">
        <v>119</v>
      </c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9"/>
      <c r="P122" s="7"/>
      <c r="Q122" s="7"/>
      <c r="R122" s="33"/>
      <c r="S122" s="33"/>
      <c r="T122" s="33"/>
      <c r="U122" s="7"/>
      <c r="V122" s="7"/>
      <c r="W122" s="33"/>
      <c r="X122" s="7"/>
      <c r="Y122" s="7"/>
      <c r="Z122" s="7"/>
      <c r="AA122" s="33"/>
      <c r="AB122" s="7"/>
      <c r="AC122" s="7"/>
      <c r="AD122" s="40"/>
      <c r="AE122" s="40"/>
      <c r="AF122" s="34"/>
      <c r="AH122" s="34"/>
    </row>
    <row r="123" spans="1:34" x14ac:dyDescent="0.25">
      <c r="A123" s="1">
        <v>120</v>
      </c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9"/>
      <c r="P123" s="7"/>
      <c r="Q123" s="7"/>
      <c r="R123" s="33"/>
      <c r="S123" s="33"/>
      <c r="T123" s="33"/>
      <c r="U123" s="7"/>
      <c r="V123" s="7"/>
      <c r="W123" s="33"/>
      <c r="X123" s="7"/>
      <c r="Y123" s="7"/>
      <c r="Z123" s="7"/>
      <c r="AA123" s="33"/>
      <c r="AB123" s="7"/>
      <c r="AC123" s="7"/>
      <c r="AD123" s="40"/>
      <c r="AE123" s="40"/>
      <c r="AF123" s="34"/>
      <c r="AH123" s="34"/>
    </row>
    <row r="124" spans="1:34" x14ac:dyDescent="0.25">
      <c r="A124" s="1">
        <v>121</v>
      </c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9"/>
      <c r="P124" s="7"/>
      <c r="Q124" s="7"/>
      <c r="R124" s="33"/>
      <c r="S124" s="33"/>
      <c r="T124" s="33"/>
      <c r="U124" s="7"/>
      <c r="V124" s="7"/>
      <c r="W124" s="33"/>
      <c r="X124" s="7"/>
      <c r="Y124" s="7"/>
      <c r="Z124" s="7"/>
      <c r="AA124" s="33"/>
      <c r="AB124" s="7"/>
      <c r="AC124" s="7"/>
      <c r="AD124" s="40"/>
      <c r="AE124" s="40"/>
      <c r="AF124" s="34"/>
      <c r="AH124" s="34"/>
    </row>
    <row r="125" spans="1:34" x14ac:dyDescent="0.25">
      <c r="A125" s="1">
        <v>122</v>
      </c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9"/>
      <c r="P125" s="7"/>
      <c r="Q125" s="7"/>
      <c r="R125" s="33"/>
      <c r="S125" s="33"/>
      <c r="T125" s="33"/>
      <c r="U125" s="7"/>
      <c r="V125" s="7"/>
      <c r="W125" s="33"/>
      <c r="X125" s="7"/>
      <c r="Y125" s="7"/>
      <c r="Z125" s="7"/>
      <c r="AA125" s="33"/>
      <c r="AB125" s="7"/>
      <c r="AC125" s="7"/>
      <c r="AD125" s="40"/>
      <c r="AE125" s="40"/>
      <c r="AF125" s="34"/>
      <c r="AH125" s="34"/>
    </row>
    <row r="126" spans="1:34" x14ac:dyDescent="0.25">
      <c r="A126" s="1">
        <v>123</v>
      </c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9"/>
      <c r="P126" s="7"/>
      <c r="Q126" s="7"/>
      <c r="R126" s="33"/>
      <c r="S126" s="33"/>
      <c r="T126" s="33"/>
      <c r="U126" s="7"/>
      <c r="V126" s="7"/>
      <c r="W126" s="33"/>
      <c r="X126" s="7"/>
      <c r="Y126" s="7"/>
      <c r="Z126" s="7"/>
      <c r="AA126" s="33"/>
      <c r="AB126" s="7"/>
      <c r="AC126" s="7"/>
      <c r="AD126" s="40"/>
      <c r="AE126" s="40"/>
      <c r="AF126" s="34"/>
      <c r="AH126" s="34"/>
    </row>
    <row r="127" spans="1:34" x14ac:dyDescent="0.25">
      <c r="A127" s="1">
        <v>124</v>
      </c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9"/>
      <c r="P127" s="7"/>
      <c r="Q127" s="7"/>
      <c r="R127" s="33"/>
      <c r="S127" s="33"/>
      <c r="T127" s="33"/>
      <c r="U127" s="7"/>
      <c r="V127" s="7"/>
      <c r="W127" s="33"/>
      <c r="X127" s="7"/>
      <c r="Y127" s="7"/>
      <c r="Z127" s="7"/>
      <c r="AA127" s="33"/>
      <c r="AB127" s="7"/>
      <c r="AC127" s="7"/>
      <c r="AD127" s="40"/>
      <c r="AE127" s="40"/>
      <c r="AF127" s="34"/>
      <c r="AH127" s="34"/>
    </row>
    <row r="128" spans="1:34" x14ac:dyDescent="0.25">
      <c r="A128" s="1">
        <v>125</v>
      </c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9"/>
      <c r="P128" s="7"/>
      <c r="Q128" s="7"/>
      <c r="R128" s="33"/>
      <c r="S128" s="33"/>
      <c r="T128" s="33"/>
      <c r="U128" s="7"/>
      <c r="V128" s="7"/>
      <c r="W128" s="33"/>
      <c r="X128" s="7"/>
      <c r="Y128" s="7"/>
      <c r="Z128" s="7"/>
      <c r="AA128" s="33"/>
      <c r="AB128" s="7"/>
      <c r="AC128" s="7"/>
      <c r="AD128" s="40"/>
      <c r="AE128" s="40"/>
      <c r="AF128" s="34"/>
      <c r="AH128" s="34"/>
    </row>
    <row r="129" spans="1:34" x14ac:dyDescent="0.25">
      <c r="A129" s="1">
        <v>126</v>
      </c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9"/>
      <c r="P129" s="7"/>
      <c r="Q129" s="7"/>
      <c r="R129" s="33"/>
      <c r="S129" s="33"/>
      <c r="T129" s="33"/>
      <c r="U129" s="7"/>
      <c r="V129" s="7"/>
      <c r="W129" s="33"/>
      <c r="X129" s="7"/>
      <c r="Y129" s="7"/>
      <c r="Z129" s="7"/>
      <c r="AA129" s="33"/>
      <c r="AB129" s="7"/>
      <c r="AC129" s="7"/>
      <c r="AD129" s="40"/>
      <c r="AE129" s="40"/>
      <c r="AF129" s="34"/>
      <c r="AH129" s="34"/>
    </row>
    <row r="130" spans="1:34" x14ac:dyDescent="0.25">
      <c r="A130" s="1">
        <v>127</v>
      </c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9"/>
      <c r="P130" s="7"/>
      <c r="Q130" s="7"/>
      <c r="R130" s="33"/>
      <c r="S130" s="33"/>
      <c r="T130" s="33"/>
      <c r="U130" s="7"/>
      <c r="V130" s="7"/>
      <c r="W130" s="33"/>
      <c r="X130" s="7"/>
      <c r="Y130" s="7"/>
      <c r="Z130" s="7"/>
      <c r="AA130" s="33"/>
      <c r="AB130" s="7"/>
      <c r="AC130" s="7"/>
      <c r="AD130" s="40"/>
      <c r="AE130" s="40"/>
      <c r="AF130" s="34"/>
      <c r="AH130" s="34"/>
    </row>
    <row r="131" spans="1:34" x14ac:dyDescent="0.25">
      <c r="A131" s="1">
        <v>128</v>
      </c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9"/>
      <c r="P131" s="7"/>
      <c r="Q131" s="7"/>
      <c r="R131" s="33"/>
      <c r="S131" s="33"/>
      <c r="T131" s="33"/>
      <c r="U131" s="7"/>
      <c r="V131" s="7"/>
      <c r="W131" s="33"/>
      <c r="X131" s="7"/>
      <c r="Y131" s="7"/>
      <c r="Z131" s="7"/>
      <c r="AA131" s="33"/>
      <c r="AB131" s="7"/>
      <c r="AC131" s="7"/>
      <c r="AD131" s="40"/>
      <c r="AE131" s="40"/>
      <c r="AF131" s="34"/>
      <c r="AH131" s="34"/>
    </row>
    <row r="132" spans="1:34" x14ac:dyDescent="0.25">
      <c r="A132" s="1">
        <v>129</v>
      </c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9"/>
      <c r="P132" s="7"/>
      <c r="Q132" s="7"/>
      <c r="R132" s="33"/>
      <c r="S132" s="33"/>
      <c r="T132" s="33"/>
      <c r="U132" s="7"/>
      <c r="V132" s="7"/>
      <c r="W132" s="33"/>
      <c r="X132" s="7"/>
      <c r="Y132" s="7"/>
      <c r="Z132" s="7"/>
      <c r="AA132" s="33"/>
      <c r="AB132" s="7"/>
      <c r="AC132" s="7"/>
      <c r="AD132" s="40"/>
      <c r="AE132" s="40"/>
      <c r="AF132" s="34"/>
      <c r="AH132" s="34"/>
    </row>
    <row r="133" spans="1:34" x14ac:dyDescent="0.25">
      <c r="A133" s="1">
        <v>130</v>
      </c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9"/>
      <c r="P133" s="7"/>
      <c r="Q133" s="7"/>
      <c r="R133" s="33"/>
      <c r="S133" s="33"/>
      <c r="T133" s="33"/>
      <c r="U133" s="7"/>
      <c r="V133" s="7"/>
      <c r="W133" s="33"/>
      <c r="X133" s="7"/>
      <c r="Y133" s="7"/>
      <c r="Z133" s="7"/>
      <c r="AA133" s="33"/>
      <c r="AB133" s="7"/>
      <c r="AC133" s="7"/>
      <c r="AD133" s="40"/>
      <c r="AE133" s="40"/>
      <c r="AF133" s="34"/>
      <c r="AH133" s="34"/>
    </row>
    <row r="134" spans="1:34" x14ac:dyDescent="0.25">
      <c r="A134" s="1">
        <v>131</v>
      </c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9"/>
      <c r="P134" s="7"/>
      <c r="Q134" s="7"/>
      <c r="R134" s="33"/>
      <c r="S134" s="33"/>
      <c r="T134" s="33"/>
      <c r="U134" s="7"/>
      <c r="V134" s="7"/>
      <c r="W134" s="33"/>
      <c r="X134" s="7"/>
      <c r="Y134" s="7"/>
      <c r="Z134" s="7"/>
      <c r="AA134" s="33"/>
      <c r="AB134" s="7"/>
      <c r="AC134" s="7"/>
      <c r="AD134" s="40"/>
      <c r="AE134" s="40"/>
      <c r="AF134" s="34"/>
      <c r="AH134" s="34"/>
    </row>
    <row r="135" spans="1:34" x14ac:dyDescent="0.25">
      <c r="A135" s="1">
        <v>132</v>
      </c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9"/>
      <c r="P135" s="7"/>
      <c r="Q135" s="7"/>
      <c r="R135" s="33"/>
      <c r="S135" s="33"/>
      <c r="T135" s="33"/>
      <c r="U135" s="7"/>
      <c r="V135" s="7"/>
      <c r="W135" s="33"/>
      <c r="X135" s="7"/>
      <c r="Y135" s="7"/>
      <c r="Z135" s="7"/>
      <c r="AA135" s="33"/>
      <c r="AB135" s="7"/>
      <c r="AC135" s="7"/>
      <c r="AD135" s="40"/>
      <c r="AE135" s="40"/>
      <c r="AF135" s="34"/>
      <c r="AH135" s="34"/>
    </row>
    <row r="136" spans="1:34" x14ac:dyDescent="0.25">
      <c r="A136" s="1">
        <v>133</v>
      </c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9"/>
      <c r="P136" s="7"/>
      <c r="Q136" s="7"/>
      <c r="R136" s="33"/>
      <c r="S136" s="33"/>
      <c r="T136" s="33"/>
      <c r="U136" s="7"/>
      <c r="V136" s="7"/>
      <c r="W136" s="33"/>
      <c r="X136" s="7"/>
      <c r="Y136" s="7"/>
      <c r="Z136" s="7"/>
      <c r="AA136" s="33"/>
      <c r="AB136" s="7"/>
      <c r="AC136" s="7"/>
      <c r="AD136" s="40"/>
      <c r="AE136" s="40"/>
      <c r="AF136" s="34"/>
      <c r="AH136" s="34"/>
    </row>
    <row r="137" spans="1:34" x14ac:dyDescent="0.25">
      <c r="A137" s="1">
        <v>134</v>
      </c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9"/>
      <c r="P137" s="7"/>
      <c r="Q137" s="7"/>
      <c r="R137" s="33"/>
      <c r="S137" s="33"/>
      <c r="T137" s="33"/>
      <c r="U137" s="7"/>
      <c r="V137" s="7"/>
      <c r="W137" s="33"/>
      <c r="X137" s="7"/>
      <c r="Y137" s="7"/>
      <c r="Z137" s="7"/>
      <c r="AA137" s="33"/>
      <c r="AB137" s="7"/>
      <c r="AC137" s="7"/>
      <c r="AD137" s="40"/>
      <c r="AE137" s="40"/>
      <c r="AF137" s="34"/>
      <c r="AH137" s="34"/>
    </row>
    <row r="138" spans="1:34" x14ac:dyDescent="0.25">
      <c r="A138" s="1">
        <v>135</v>
      </c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9"/>
      <c r="P138" s="7"/>
      <c r="Q138" s="7"/>
      <c r="R138" s="33"/>
      <c r="S138" s="33"/>
      <c r="T138" s="33"/>
      <c r="U138" s="7"/>
      <c r="V138" s="7"/>
      <c r="W138" s="33"/>
      <c r="X138" s="7"/>
      <c r="Y138" s="7"/>
      <c r="Z138" s="7"/>
      <c r="AA138" s="33"/>
      <c r="AB138" s="7"/>
      <c r="AC138" s="7"/>
      <c r="AD138" s="40"/>
      <c r="AE138" s="40"/>
      <c r="AF138" s="34"/>
      <c r="AH138" s="34"/>
    </row>
    <row r="139" spans="1:34" x14ac:dyDescent="0.25">
      <c r="A139" s="1">
        <v>136</v>
      </c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9"/>
      <c r="P139" s="7"/>
      <c r="Q139" s="7"/>
      <c r="R139" s="33"/>
      <c r="S139" s="33"/>
      <c r="T139" s="33"/>
      <c r="U139" s="7"/>
      <c r="V139" s="7"/>
      <c r="W139" s="33"/>
      <c r="X139" s="7"/>
      <c r="Y139" s="7"/>
      <c r="Z139" s="7"/>
      <c r="AA139" s="33"/>
      <c r="AB139" s="7"/>
      <c r="AC139" s="7"/>
      <c r="AD139" s="40"/>
      <c r="AE139" s="40"/>
      <c r="AF139" s="34"/>
      <c r="AH139" s="34"/>
    </row>
    <row r="140" spans="1:34" x14ac:dyDescent="0.25">
      <c r="A140" s="1">
        <v>137</v>
      </c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9"/>
      <c r="P140" s="7"/>
      <c r="Q140" s="7"/>
      <c r="R140" s="33"/>
      <c r="S140" s="33"/>
      <c r="T140" s="33"/>
      <c r="U140" s="7"/>
      <c r="V140" s="7"/>
      <c r="W140" s="33"/>
      <c r="X140" s="7"/>
      <c r="Y140" s="7"/>
      <c r="Z140" s="7"/>
      <c r="AA140" s="33"/>
      <c r="AB140" s="7"/>
      <c r="AC140" s="7"/>
      <c r="AD140" s="40"/>
      <c r="AE140" s="40"/>
      <c r="AF140" s="34"/>
      <c r="AH140" s="34"/>
    </row>
    <row r="141" spans="1:34" x14ac:dyDescent="0.25">
      <c r="A141" s="1">
        <v>138</v>
      </c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9"/>
      <c r="P141" s="7"/>
      <c r="Q141" s="7"/>
      <c r="R141" s="33"/>
      <c r="S141" s="33"/>
      <c r="T141" s="33"/>
      <c r="U141" s="7"/>
      <c r="V141" s="7"/>
      <c r="W141" s="33"/>
      <c r="X141" s="7"/>
      <c r="Y141" s="7"/>
      <c r="Z141" s="7"/>
      <c r="AA141" s="33"/>
      <c r="AB141" s="7"/>
      <c r="AC141" s="7"/>
      <c r="AD141" s="40"/>
      <c r="AE141" s="40"/>
      <c r="AF141" s="34"/>
      <c r="AH141" s="34"/>
    </row>
    <row r="142" spans="1:34" x14ac:dyDescent="0.25">
      <c r="A142" s="1">
        <v>139</v>
      </c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9"/>
      <c r="P142" s="7"/>
      <c r="Q142" s="7"/>
      <c r="R142" s="33"/>
      <c r="S142" s="33"/>
      <c r="T142" s="33"/>
      <c r="U142" s="7"/>
      <c r="V142" s="7"/>
      <c r="W142" s="33"/>
      <c r="X142" s="7"/>
      <c r="Y142" s="7"/>
      <c r="Z142" s="7"/>
      <c r="AA142" s="33"/>
      <c r="AB142" s="7"/>
      <c r="AC142" s="7"/>
      <c r="AD142" s="40"/>
      <c r="AE142" s="40"/>
      <c r="AF142" s="34"/>
      <c r="AH142" s="34"/>
    </row>
    <row r="143" spans="1:34" x14ac:dyDescent="0.25">
      <c r="A143" s="1">
        <v>140</v>
      </c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9"/>
      <c r="P143" s="7"/>
      <c r="Q143" s="7"/>
      <c r="R143" s="33"/>
      <c r="S143" s="33"/>
      <c r="T143" s="33"/>
      <c r="U143" s="7"/>
      <c r="V143" s="7"/>
      <c r="W143" s="33"/>
      <c r="X143" s="7"/>
      <c r="Y143" s="7"/>
      <c r="Z143" s="7"/>
      <c r="AA143" s="33"/>
      <c r="AB143" s="7"/>
      <c r="AC143" s="7"/>
      <c r="AD143" s="40"/>
      <c r="AE143" s="40"/>
      <c r="AF143" s="34"/>
      <c r="AH143" s="34"/>
    </row>
    <row r="144" spans="1:34" x14ac:dyDescent="0.25">
      <c r="A144" s="1">
        <v>141</v>
      </c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9"/>
      <c r="P144" s="7"/>
      <c r="Q144" s="7"/>
      <c r="R144" s="33"/>
      <c r="S144" s="33"/>
      <c r="T144" s="33"/>
      <c r="U144" s="7"/>
      <c r="V144" s="7"/>
      <c r="W144" s="33"/>
      <c r="X144" s="7"/>
      <c r="Y144" s="7"/>
      <c r="Z144" s="7"/>
      <c r="AA144" s="33"/>
      <c r="AB144" s="7"/>
      <c r="AC144" s="7"/>
      <c r="AD144" s="40"/>
      <c r="AE144" s="40"/>
      <c r="AF144" s="34"/>
      <c r="AH144" s="34"/>
    </row>
    <row r="145" spans="1:34" x14ac:dyDescent="0.25">
      <c r="A145" s="1">
        <v>142</v>
      </c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9"/>
      <c r="P145" s="7"/>
      <c r="Q145" s="7"/>
      <c r="R145" s="33"/>
      <c r="S145" s="33"/>
      <c r="T145" s="33"/>
      <c r="U145" s="7"/>
      <c r="V145" s="7"/>
      <c r="W145" s="33"/>
      <c r="X145" s="7"/>
      <c r="Y145" s="7"/>
      <c r="Z145" s="7"/>
      <c r="AA145" s="33"/>
      <c r="AB145" s="7"/>
      <c r="AC145" s="7"/>
      <c r="AD145" s="40"/>
      <c r="AE145" s="40"/>
      <c r="AF145" s="34"/>
      <c r="AH145" s="34"/>
    </row>
    <row r="146" spans="1:34" x14ac:dyDescent="0.25">
      <c r="A146" s="1">
        <v>143</v>
      </c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7"/>
      <c r="Q146" s="7"/>
      <c r="R146" s="33"/>
      <c r="S146" s="33"/>
      <c r="T146" s="33"/>
      <c r="U146" s="7"/>
      <c r="V146" s="7"/>
      <c r="W146" s="33"/>
      <c r="X146" s="7"/>
      <c r="Y146" s="7"/>
      <c r="Z146" s="7"/>
      <c r="AA146" s="33"/>
      <c r="AB146" s="7"/>
      <c r="AC146" s="7"/>
      <c r="AD146" s="40"/>
      <c r="AE146" s="40"/>
      <c r="AF146" s="34"/>
      <c r="AH146" s="34"/>
    </row>
    <row r="147" spans="1:34" x14ac:dyDescent="0.25">
      <c r="A147" s="1">
        <v>144</v>
      </c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7"/>
      <c r="Q147" s="7"/>
      <c r="R147" s="33"/>
      <c r="S147" s="33"/>
      <c r="T147" s="33"/>
      <c r="U147" s="7"/>
      <c r="V147" s="7"/>
      <c r="W147" s="33"/>
      <c r="X147" s="7"/>
      <c r="Y147" s="7"/>
      <c r="Z147" s="7"/>
      <c r="AA147" s="33"/>
      <c r="AB147" s="7"/>
      <c r="AC147" s="7"/>
      <c r="AD147" s="40"/>
      <c r="AE147" s="40"/>
      <c r="AF147" s="34"/>
      <c r="AH147" s="34"/>
    </row>
    <row r="148" spans="1:34" x14ac:dyDescent="0.25">
      <c r="A148" s="1">
        <v>145</v>
      </c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7"/>
      <c r="Q148" s="7"/>
      <c r="R148" s="33"/>
      <c r="S148" s="33"/>
      <c r="T148" s="33"/>
      <c r="U148" s="7"/>
      <c r="V148" s="7"/>
      <c r="W148" s="33"/>
      <c r="X148" s="7"/>
      <c r="Y148" s="7"/>
      <c r="Z148" s="7"/>
      <c r="AA148" s="33"/>
      <c r="AB148" s="7"/>
      <c r="AC148" s="7"/>
      <c r="AD148" s="40"/>
      <c r="AE148" s="40"/>
      <c r="AF148" s="34"/>
      <c r="AH148" s="34"/>
    </row>
    <row r="149" spans="1:34" x14ac:dyDescent="0.25">
      <c r="A149" s="1">
        <v>146</v>
      </c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7"/>
      <c r="Q149" s="7"/>
      <c r="R149" s="33"/>
      <c r="S149" s="33"/>
      <c r="T149" s="33"/>
      <c r="U149" s="7"/>
      <c r="V149" s="7"/>
      <c r="W149" s="33"/>
      <c r="X149" s="7"/>
      <c r="Y149" s="7"/>
      <c r="Z149" s="7"/>
      <c r="AA149" s="33"/>
      <c r="AB149" s="7"/>
      <c r="AC149" s="7"/>
      <c r="AD149" s="40"/>
      <c r="AE149" s="40"/>
      <c r="AF149" s="34"/>
      <c r="AH149" s="34"/>
    </row>
    <row r="150" spans="1:34" x14ac:dyDescent="0.25">
      <c r="A150" s="1">
        <v>147</v>
      </c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7"/>
      <c r="Q150" s="7"/>
      <c r="R150" s="33"/>
      <c r="S150" s="33"/>
      <c r="T150" s="33"/>
      <c r="U150" s="7"/>
      <c r="V150" s="7"/>
      <c r="W150" s="33"/>
      <c r="X150" s="7"/>
      <c r="Y150" s="7"/>
      <c r="Z150" s="7"/>
      <c r="AA150" s="33"/>
      <c r="AB150" s="7"/>
      <c r="AC150" s="7"/>
      <c r="AD150" s="40"/>
      <c r="AE150" s="40"/>
      <c r="AF150" s="34"/>
      <c r="AH150" s="34"/>
    </row>
    <row r="151" spans="1:34" x14ac:dyDescent="0.25">
      <c r="A151" s="1">
        <v>148</v>
      </c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7"/>
      <c r="Q151" s="7"/>
      <c r="R151" s="33"/>
      <c r="S151" s="33"/>
      <c r="T151" s="33"/>
      <c r="U151" s="7"/>
      <c r="V151" s="7"/>
      <c r="W151" s="33"/>
      <c r="X151" s="7"/>
      <c r="Y151" s="7"/>
      <c r="Z151" s="7"/>
      <c r="AA151" s="33"/>
      <c r="AB151" s="7"/>
      <c r="AC151" s="7"/>
      <c r="AD151" s="40"/>
      <c r="AE151" s="40"/>
      <c r="AF151" s="34"/>
      <c r="AH151" s="34"/>
    </row>
    <row r="152" spans="1:34" x14ac:dyDescent="0.25">
      <c r="A152" s="1">
        <v>149</v>
      </c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7"/>
      <c r="Q152" s="7"/>
      <c r="R152" s="33"/>
      <c r="S152" s="33"/>
      <c r="T152" s="33"/>
      <c r="U152" s="7"/>
      <c r="V152" s="7"/>
      <c r="W152" s="33"/>
      <c r="X152" s="7"/>
      <c r="Y152" s="7"/>
      <c r="Z152" s="7"/>
      <c r="AA152" s="33"/>
      <c r="AB152" s="7"/>
      <c r="AC152" s="7"/>
      <c r="AD152" s="40"/>
      <c r="AE152" s="40"/>
      <c r="AF152" s="34"/>
      <c r="AH152" s="34"/>
    </row>
    <row r="153" spans="1:34" x14ac:dyDescent="0.25">
      <c r="A153" s="1">
        <v>150</v>
      </c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7"/>
      <c r="Q153" s="7"/>
      <c r="R153" s="33"/>
      <c r="S153" s="33"/>
      <c r="T153" s="33"/>
      <c r="U153" s="7"/>
      <c r="V153" s="7"/>
      <c r="W153" s="33"/>
      <c r="X153" s="7"/>
      <c r="Y153" s="7"/>
      <c r="Z153" s="7"/>
      <c r="AA153" s="33"/>
      <c r="AB153" s="7"/>
      <c r="AC153" s="7"/>
      <c r="AD153" s="40"/>
      <c r="AE153" s="40"/>
      <c r="AF153" s="34"/>
      <c r="AH153" s="34"/>
    </row>
    <row r="154" spans="1:34" x14ac:dyDescent="0.25">
      <c r="A154" s="1">
        <v>151</v>
      </c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7"/>
      <c r="Q154" s="7"/>
      <c r="R154" s="33"/>
      <c r="S154" s="33"/>
      <c r="T154" s="33"/>
      <c r="U154" s="7"/>
      <c r="V154" s="7"/>
      <c r="W154" s="33"/>
      <c r="X154" s="7"/>
      <c r="Y154" s="7"/>
      <c r="Z154" s="7"/>
      <c r="AA154" s="33"/>
      <c r="AB154" s="7"/>
      <c r="AC154" s="7"/>
      <c r="AD154" s="40"/>
      <c r="AE154" s="40"/>
      <c r="AF154" s="34"/>
      <c r="AH154" s="34"/>
    </row>
    <row r="155" spans="1:34" x14ac:dyDescent="0.25">
      <c r="A155" s="1">
        <v>152</v>
      </c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7"/>
      <c r="Q155" s="7"/>
      <c r="R155" s="33"/>
      <c r="S155" s="33"/>
      <c r="T155" s="33"/>
      <c r="U155" s="7"/>
      <c r="V155" s="7"/>
      <c r="W155" s="33"/>
      <c r="X155" s="7"/>
      <c r="Y155" s="7"/>
      <c r="Z155" s="7"/>
      <c r="AA155" s="33"/>
      <c r="AB155" s="7"/>
      <c r="AC155" s="7"/>
      <c r="AD155" s="40"/>
      <c r="AE155" s="40"/>
      <c r="AF155" s="34"/>
      <c r="AH155" s="34"/>
    </row>
    <row r="156" spans="1:34" x14ac:dyDescent="0.25">
      <c r="A156" s="1">
        <v>153</v>
      </c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7"/>
      <c r="Q156" s="7"/>
      <c r="R156" s="33"/>
      <c r="S156" s="33"/>
      <c r="T156" s="33"/>
      <c r="U156" s="7"/>
      <c r="V156" s="7"/>
      <c r="W156" s="33"/>
      <c r="X156" s="7"/>
      <c r="Y156" s="7"/>
      <c r="Z156" s="7"/>
      <c r="AA156" s="33"/>
      <c r="AB156" s="7"/>
      <c r="AC156" s="7"/>
      <c r="AD156" s="40"/>
      <c r="AE156" s="40"/>
      <c r="AF156" s="34"/>
      <c r="AH156" s="34"/>
    </row>
    <row r="157" spans="1:34" x14ac:dyDescent="0.25">
      <c r="A157" s="1">
        <v>154</v>
      </c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7"/>
      <c r="Q157" s="7"/>
      <c r="R157" s="33"/>
      <c r="S157" s="33"/>
      <c r="T157" s="33"/>
      <c r="U157" s="7"/>
      <c r="V157" s="7"/>
      <c r="W157" s="33"/>
      <c r="X157" s="7"/>
      <c r="Y157" s="7"/>
      <c r="Z157" s="7"/>
      <c r="AA157" s="33"/>
      <c r="AB157" s="7"/>
      <c r="AC157" s="7"/>
      <c r="AD157" s="40"/>
      <c r="AE157" s="40"/>
      <c r="AF157" s="34"/>
      <c r="AH157" s="34"/>
    </row>
    <row r="158" spans="1:34" x14ac:dyDescent="0.25">
      <c r="A158" s="1">
        <v>155</v>
      </c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7"/>
      <c r="Q158" s="7"/>
      <c r="R158" s="33"/>
      <c r="S158" s="33"/>
      <c r="T158" s="33"/>
      <c r="U158" s="7"/>
      <c r="V158" s="7"/>
      <c r="W158" s="33"/>
      <c r="X158" s="7"/>
      <c r="Y158" s="7"/>
      <c r="Z158" s="7"/>
      <c r="AA158" s="33"/>
      <c r="AB158" s="7"/>
      <c r="AC158" s="7"/>
      <c r="AD158" s="40"/>
      <c r="AE158" s="40"/>
      <c r="AF158" s="34"/>
      <c r="AH158" s="34"/>
    </row>
    <row r="159" spans="1:34" x14ac:dyDescent="0.25">
      <c r="A159" s="1">
        <v>156</v>
      </c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7"/>
      <c r="Q159" s="7"/>
      <c r="R159" s="33"/>
      <c r="S159" s="33"/>
      <c r="T159" s="33"/>
      <c r="U159" s="7"/>
      <c r="V159" s="7"/>
      <c r="W159" s="33"/>
      <c r="X159" s="7"/>
      <c r="Y159" s="7"/>
      <c r="Z159" s="7"/>
      <c r="AA159" s="33"/>
      <c r="AB159" s="7"/>
      <c r="AC159" s="7"/>
      <c r="AD159" s="40"/>
      <c r="AE159" s="40"/>
      <c r="AF159" s="34"/>
      <c r="AH159" s="34"/>
    </row>
    <row r="160" spans="1:34" x14ac:dyDescent="0.25">
      <c r="A160" s="1">
        <v>157</v>
      </c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7"/>
      <c r="Q160" s="7"/>
      <c r="R160" s="33"/>
      <c r="S160" s="33"/>
      <c r="T160" s="33"/>
      <c r="U160" s="7"/>
      <c r="V160" s="7"/>
      <c r="W160" s="33"/>
      <c r="X160" s="7"/>
      <c r="Y160" s="7"/>
      <c r="Z160" s="7"/>
      <c r="AA160" s="33"/>
      <c r="AB160" s="7"/>
      <c r="AC160" s="7"/>
      <c r="AD160" s="40"/>
      <c r="AE160" s="40"/>
      <c r="AF160" s="34"/>
      <c r="AH160" s="34"/>
    </row>
    <row r="161" spans="1:34" x14ac:dyDescent="0.25">
      <c r="A161" s="1">
        <v>158</v>
      </c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7"/>
      <c r="Q161" s="7"/>
      <c r="R161" s="33"/>
      <c r="S161" s="33"/>
      <c r="T161" s="33"/>
      <c r="U161" s="7"/>
      <c r="V161" s="7"/>
      <c r="W161" s="33"/>
      <c r="X161" s="7"/>
      <c r="Y161" s="7"/>
      <c r="Z161" s="7"/>
      <c r="AA161" s="33"/>
      <c r="AB161" s="7"/>
      <c r="AC161" s="7"/>
      <c r="AD161" s="40"/>
      <c r="AE161" s="40"/>
      <c r="AF161" s="34"/>
      <c r="AH161" s="34"/>
    </row>
    <row r="162" spans="1:34" x14ac:dyDescent="0.25">
      <c r="A162" s="1">
        <v>159</v>
      </c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7"/>
      <c r="Q162" s="7"/>
      <c r="R162" s="33"/>
      <c r="S162" s="33"/>
      <c r="T162" s="33"/>
      <c r="U162" s="7"/>
      <c r="V162" s="7"/>
      <c r="W162" s="33"/>
      <c r="X162" s="7"/>
      <c r="Y162" s="7"/>
      <c r="Z162" s="7"/>
      <c r="AA162" s="33"/>
      <c r="AB162" s="7"/>
      <c r="AC162" s="7"/>
      <c r="AD162" s="40"/>
      <c r="AE162" s="40"/>
      <c r="AF162" s="34"/>
      <c r="AH162" s="34"/>
    </row>
    <row r="163" spans="1:34" x14ac:dyDescent="0.25">
      <c r="A163" s="1">
        <v>160</v>
      </c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7"/>
      <c r="Q163" s="7"/>
      <c r="R163" s="33"/>
      <c r="S163" s="33"/>
      <c r="T163" s="33"/>
      <c r="U163" s="7"/>
      <c r="V163" s="7"/>
      <c r="W163" s="33"/>
      <c r="X163" s="7"/>
      <c r="Y163" s="7"/>
      <c r="Z163" s="7"/>
      <c r="AA163" s="33"/>
      <c r="AB163" s="7"/>
      <c r="AC163" s="7"/>
      <c r="AD163" s="40"/>
      <c r="AE163" s="40"/>
      <c r="AF163" s="34"/>
      <c r="AH163" s="34"/>
    </row>
    <row r="164" spans="1:34" x14ac:dyDescent="0.25">
      <c r="A164" s="1">
        <v>161</v>
      </c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7"/>
      <c r="Q164" s="7"/>
      <c r="R164" s="33"/>
      <c r="S164" s="33"/>
      <c r="T164" s="33"/>
      <c r="U164" s="7"/>
      <c r="V164" s="7"/>
      <c r="W164" s="33"/>
      <c r="X164" s="7"/>
      <c r="Y164" s="7"/>
      <c r="Z164" s="7"/>
      <c r="AA164" s="33"/>
      <c r="AB164" s="7"/>
      <c r="AC164" s="7"/>
      <c r="AD164" s="40"/>
      <c r="AE164" s="40"/>
      <c r="AF164" s="34"/>
      <c r="AH164" s="34"/>
    </row>
    <row r="165" spans="1:34" x14ac:dyDescent="0.25">
      <c r="A165" s="1">
        <v>162</v>
      </c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7"/>
      <c r="Q165" s="7"/>
      <c r="R165" s="33"/>
      <c r="S165" s="33"/>
      <c r="T165" s="33"/>
      <c r="U165" s="7"/>
      <c r="V165" s="7"/>
      <c r="W165" s="33"/>
      <c r="X165" s="7"/>
      <c r="Y165" s="7"/>
      <c r="Z165" s="7"/>
      <c r="AA165" s="33"/>
      <c r="AB165" s="7"/>
      <c r="AC165" s="7"/>
      <c r="AD165" s="40"/>
      <c r="AE165" s="40"/>
      <c r="AF165" s="34"/>
      <c r="AH165" s="34"/>
    </row>
    <row r="166" spans="1:34" x14ac:dyDescent="0.25">
      <c r="A166" s="1">
        <v>163</v>
      </c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7"/>
      <c r="Q166" s="7"/>
      <c r="R166" s="33"/>
      <c r="S166" s="33"/>
      <c r="T166" s="33"/>
      <c r="U166" s="7"/>
      <c r="V166" s="7"/>
      <c r="W166" s="33"/>
      <c r="X166" s="7"/>
      <c r="Y166" s="7"/>
      <c r="Z166" s="7"/>
      <c r="AA166" s="33"/>
      <c r="AB166" s="7"/>
      <c r="AC166" s="7"/>
      <c r="AD166" s="40"/>
      <c r="AE166" s="40"/>
      <c r="AF166" s="34"/>
      <c r="AH166" s="34"/>
    </row>
    <row r="167" spans="1:34" x14ac:dyDescent="0.25">
      <c r="A167" s="1">
        <v>164</v>
      </c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7"/>
      <c r="Q167" s="7"/>
      <c r="R167" s="33"/>
      <c r="S167" s="33"/>
      <c r="T167" s="33"/>
      <c r="U167" s="7"/>
      <c r="V167" s="7"/>
      <c r="W167" s="33"/>
      <c r="X167" s="7"/>
      <c r="Y167" s="7"/>
      <c r="Z167" s="7"/>
      <c r="AA167" s="33"/>
      <c r="AB167" s="7"/>
      <c r="AC167" s="7"/>
      <c r="AD167" s="40"/>
      <c r="AE167" s="40"/>
      <c r="AF167" s="34"/>
      <c r="AH167" s="34"/>
    </row>
    <row r="168" spans="1:34" x14ac:dyDescent="0.25">
      <c r="A168" s="1">
        <v>165</v>
      </c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7"/>
      <c r="Q168" s="7"/>
      <c r="R168" s="33"/>
      <c r="S168" s="33"/>
      <c r="T168" s="33"/>
      <c r="U168" s="7"/>
      <c r="V168" s="7"/>
      <c r="W168" s="33"/>
      <c r="X168" s="7"/>
      <c r="Y168" s="7"/>
      <c r="Z168" s="7"/>
      <c r="AA168" s="33"/>
      <c r="AB168" s="7"/>
      <c r="AC168" s="7"/>
      <c r="AD168" s="40"/>
      <c r="AE168" s="40"/>
      <c r="AF168" s="34"/>
      <c r="AH168" s="34"/>
    </row>
    <row r="169" spans="1:34" x14ac:dyDescent="0.25">
      <c r="A169" s="1">
        <v>166</v>
      </c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7"/>
      <c r="Q169" s="7"/>
      <c r="R169" s="33"/>
      <c r="S169" s="33"/>
      <c r="T169" s="33"/>
      <c r="U169" s="7"/>
      <c r="V169" s="7"/>
      <c r="W169" s="33"/>
      <c r="X169" s="7"/>
      <c r="Y169" s="7"/>
      <c r="Z169" s="7"/>
      <c r="AA169" s="33"/>
      <c r="AB169" s="7"/>
      <c r="AC169" s="7"/>
      <c r="AD169" s="40"/>
      <c r="AE169" s="40"/>
      <c r="AF169" s="34"/>
      <c r="AH169" s="34"/>
    </row>
    <row r="170" spans="1:34" x14ac:dyDescent="0.25">
      <c r="A170" s="1">
        <v>167</v>
      </c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7"/>
      <c r="Q170" s="7"/>
      <c r="R170" s="33"/>
      <c r="S170" s="33"/>
      <c r="T170" s="33"/>
      <c r="U170" s="7"/>
      <c r="V170" s="7"/>
      <c r="W170" s="33"/>
      <c r="X170" s="7"/>
      <c r="Y170" s="7"/>
      <c r="Z170" s="7"/>
      <c r="AA170" s="33"/>
      <c r="AB170" s="7"/>
      <c r="AC170" s="7"/>
      <c r="AD170" s="40"/>
      <c r="AE170" s="40"/>
      <c r="AF170" s="34"/>
      <c r="AH170" s="34"/>
    </row>
    <row r="171" spans="1:34" x14ac:dyDescent="0.25">
      <c r="A171" s="1">
        <v>168</v>
      </c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7"/>
      <c r="Q171" s="7"/>
      <c r="R171" s="33"/>
      <c r="S171" s="33"/>
      <c r="T171" s="33"/>
      <c r="U171" s="7"/>
      <c r="V171" s="7"/>
      <c r="W171" s="33"/>
      <c r="X171" s="7"/>
      <c r="Y171" s="7"/>
      <c r="Z171" s="7"/>
      <c r="AA171" s="33"/>
      <c r="AB171" s="7"/>
      <c r="AC171" s="7"/>
      <c r="AD171" s="40"/>
      <c r="AE171" s="40"/>
      <c r="AF171" s="34"/>
      <c r="AH171" s="34"/>
    </row>
    <row r="172" spans="1:34" x14ac:dyDescent="0.25">
      <c r="A172" s="1">
        <v>169</v>
      </c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7"/>
      <c r="Q172" s="7"/>
      <c r="R172" s="33"/>
      <c r="S172" s="33"/>
      <c r="T172" s="33"/>
      <c r="U172" s="7"/>
      <c r="V172" s="7"/>
      <c r="W172" s="33"/>
      <c r="X172" s="7"/>
      <c r="Y172" s="7"/>
      <c r="Z172" s="7"/>
      <c r="AA172" s="33"/>
      <c r="AB172" s="7"/>
      <c r="AC172" s="7"/>
      <c r="AD172" s="40"/>
      <c r="AE172" s="40"/>
      <c r="AF172" s="34"/>
      <c r="AH172" s="34"/>
    </row>
    <row r="173" spans="1:34" x14ac:dyDescent="0.25">
      <c r="A173" s="1">
        <v>170</v>
      </c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7"/>
      <c r="Q173" s="7"/>
      <c r="R173" s="33"/>
      <c r="S173" s="33"/>
      <c r="T173" s="33"/>
      <c r="U173" s="7"/>
      <c r="V173" s="7"/>
      <c r="W173" s="33"/>
      <c r="X173" s="7"/>
      <c r="Y173" s="7"/>
      <c r="Z173" s="7"/>
      <c r="AA173" s="33"/>
      <c r="AB173" s="7"/>
      <c r="AC173" s="7"/>
      <c r="AD173" s="40"/>
      <c r="AE173" s="40"/>
      <c r="AF173" s="34"/>
      <c r="AH173" s="34"/>
    </row>
    <row r="174" spans="1:34" x14ac:dyDescent="0.25">
      <c r="A174" s="1">
        <v>171</v>
      </c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7"/>
      <c r="Q174" s="7"/>
      <c r="R174" s="33"/>
      <c r="S174" s="33"/>
      <c r="T174" s="33"/>
      <c r="U174" s="7"/>
      <c r="V174" s="7"/>
      <c r="W174" s="33"/>
      <c r="X174" s="7"/>
      <c r="Y174" s="7"/>
      <c r="Z174" s="7"/>
      <c r="AA174" s="33"/>
      <c r="AB174" s="7"/>
      <c r="AC174" s="7"/>
      <c r="AD174" s="40"/>
      <c r="AE174" s="40"/>
      <c r="AF174" s="34"/>
      <c r="AH174" s="34"/>
    </row>
    <row r="175" spans="1:34" x14ac:dyDescent="0.25">
      <c r="A175" s="1">
        <v>172</v>
      </c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7"/>
      <c r="Q175" s="7"/>
      <c r="R175" s="33"/>
      <c r="S175" s="33"/>
      <c r="T175" s="33"/>
      <c r="U175" s="7"/>
      <c r="V175" s="7"/>
      <c r="W175" s="33"/>
      <c r="X175" s="7"/>
      <c r="Y175" s="7"/>
      <c r="Z175" s="7"/>
      <c r="AA175" s="33"/>
      <c r="AB175" s="7"/>
      <c r="AC175" s="7"/>
      <c r="AD175" s="40"/>
      <c r="AE175" s="40"/>
      <c r="AF175" s="34"/>
      <c r="AH175" s="34"/>
    </row>
    <row r="176" spans="1:34" x14ac:dyDescent="0.25">
      <c r="A176" s="1">
        <v>173</v>
      </c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7"/>
      <c r="Q176" s="7"/>
      <c r="R176" s="33"/>
      <c r="S176" s="33"/>
      <c r="T176" s="33"/>
      <c r="U176" s="7"/>
      <c r="V176" s="7"/>
      <c r="W176" s="33"/>
      <c r="X176" s="7"/>
      <c r="Y176" s="7"/>
      <c r="Z176" s="7"/>
      <c r="AA176" s="33"/>
      <c r="AB176" s="7"/>
      <c r="AC176" s="7"/>
      <c r="AD176" s="40"/>
      <c r="AE176" s="40"/>
      <c r="AF176" s="34"/>
      <c r="AH176" s="34"/>
    </row>
    <row r="177" spans="1:34" x14ac:dyDescent="0.25">
      <c r="A177" s="1">
        <v>174</v>
      </c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7"/>
      <c r="Q177" s="7"/>
      <c r="R177" s="33"/>
      <c r="S177" s="33"/>
      <c r="T177" s="33"/>
      <c r="U177" s="7"/>
      <c r="V177" s="7"/>
      <c r="W177" s="33"/>
      <c r="X177" s="7"/>
      <c r="Y177" s="7"/>
      <c r="Z177" s="7"/>
      <c r="AA177" s="33"/>
      <c r="AB177" s="7"/>
      <c r="AC177" s="7"/>
      <c r="AD177" s="40"/>
      <c r="AE177" s="40"/>
      <c r="AF177" s="34"/>
      <c r="AH177" s="34"/>
    </row>
    <row r="178" spans="1:34" x14ac:dyDescent="0.25">
      <c r="A178" s="1">
        <v>175</v>
      </c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7"/>
      <c r="Q178" s="7"/>
      <c r="R178" s="33"/>
      <c r="S178" s="33"/>
      <c r="T178" s="33"/>
      <c r="U178" s="7"/>
      <c r="V178" s="7"/>
      <c r="W178" s="33"/>
      <c r="X178" s="7"/>
      <c r="Y178" s="7"/>
      <c r="Z178" s="7"/>
      <c r="AA178" s="33"/>
      <c r="AB178" s="7"/>
      <c r="AC178" s="7"/>
      <c r="AD178" s="40"/>
      <c r="AE178" s="40"/>
      <c r="AF178" s="34"/>
      <c r="AH178" s="34"/>
    </row>
    <row r="179" spans="1:34" x14ac:dyDescent="0.25">
      <c r="A179" s="1">
        <v>176</v>
      </c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7"/>
      <c r="Q179" s="7"/>
      <c r="R179" s="33"/>
      <c r="S179" s="33"/>
      <c r="T179" s="33"/>
      <c r="U179" s="7"/>
      <c r="V179" s="7"/>
      <c r="W179" s="33"/>
      <c r="X179" s="7"/>
      <c r="Y179" s="7"/>
      <c r="Z179" s="7"/>
      <c r="AA179" s="33"/>
      <c r="AB179" s="7"/>
      <c r="AC179" s="7"/>
      <c r="AD179" s="40"/>
      <c r="AE179" s="40"/>
      <c r="AF179" s="34"/>
      <c r="AH179" s="34"/>
    </row>
    <row r="180" spans="1:34" x14ac:dyDescent="0.25">
      <c r="A180" s="1">
        <v>177</v>
      </c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7"/>
      <c r="Q180" s="7"/>
      <c r="R180" s="33"/>
      <c r="S180" s="33"/>
      <c r="T180" s="33"/>
      <c r="U180" s="7"/>
      <c r="V180" s="7"/>
      <c r="W180" s="33"/>
      <c r="X180" s="7"/>
      <c r="Y180" s="7"/>
      <c r="Z180" s="7"/>
      <c r="AA180" s="33"/>
      <c r="AB180" s="7"/>
      <c r="AC180" s="7"/>
      <c r="AD180" s="40"/>
      <c r="AE180" s="40"/>
      <c r="AF180" s="34"/>
      <c r="AH180" s="34"/>
    </row>
    <row r="181" spans="1:34" x14ac:dyDescent="0.25">
      <c r="A181" s="1">
        <v>178</v>
      </c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7"/>
      <c r="Q181" s="7"/>
      <c r="R181" s="33"/>
      <c r="S181" s="33"/>
      <c r="T181" s="33"/>
      <c r="U181" s="7"/>
      <c r="V181" s="7"/>
      <c r="W181" s="33"/>
      <c r="X181" s="7"/>
      <c r="Y181" s="7"/>
      <c r="Z181" s="7"/>
      <c r="AA181" s="33"/>
      <c r="AB181" s="7"/>
      <c r="AC181" s="7"/>
      <c r="AD181" s="40"/>
      <c r="AE181" s="40"/>
      <c r="AF181" s="34"/>
      <c r="AH181" s="34"/>
    </row>
    <row r="182" spans="1:34" x14ac:dyDescent="0.25">
      <c r="A182" s="1">
        <v>179</v>
      </c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7"/>
      <c r="Q182" s="7"/>
      <c r="R182" s="33"/>
      <c r="S182" s="33"/>
      <c r="T182" s="33"/>
      <c r="U182" s="7"/>
      <c r="V182" s="7"/>
      <c r="W182" s="33"/>
      <c r="X182" s="7"/>
      <c r="Y182" s="7"/>
      <c r="Z182" s="7"/>
      <c r="AA182" s="33"/>
      <c r="AB182" s="7"/>
      <c r="AC182" s="7"/>
      <c r="AD182" s="40"/>
      <c r="AE182" s="40"/>
      <c r="AF182" s="34"/>
      <c r="AH182" s="34"/>
    </row>
    <row r="183" spans="1:34" x14ac:dyDescent="0.25">
      <c r="A183" s="1">
        <v>180</v>
      </c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7"/>
      <c r="Q183" s="7"/>
      <c r="R183" s="33"/>
      <c r="S183" s="33"/>
      <c r="T183" s="33"/>
      <c r="U183" s="7"/>
      <c r="V183" s="7"/>
      <c r="W183" s="33"/>
      <c r="X183" s="7"/>
      <c r="Y183" s="7"/>
      <c r="Z183" s="7"/>
      <c r="AA183" s="33"/>
      <c r="AB183" s="7"/>
      <c r="AC183" s="7"/>
      <c r="AD183" s="40"/>
      <c r="AE183" s="40"/>
      <c r="AF183" s="34"/>
      <c r="AH183" s="34"/>
    </row>
    <row r="184" spans="1:34" x14ac:dyDescent="0.25">
      <c r="A184" s="1">
        <v>181</v>
      </c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7"/>
      <c r="Q184" s="7"/>
      <c r="R184" s="33"/>
      <c r="S184" s="33"/>
      <c r="T184" s="33"/>
      <c r="U184" s="7"/>
      <c r="V184" s="7"/>
      <c r="W184" s="33"/>
      <c r="X184" s="7"/>
      <c r="Y184" s="7"/>
      <c r="Z184" s="7"/>
      <c r="AA184" s="33"/>
      <c r="AB184" s="7"/>
      <c r="AC184" s="7"/>
      <c r="AD184" s="40"/>
      <c r="AE184" s="40"/>
      <c r="AF184" s="34"/>
      <c r="AH184" s="34"/>
    </row>
    <row r="185" spans="1:34" x14ac:dyDescent="0.25">
      <c r="A185" s="1">
        <v>182</v>
      </c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7"/>
      <c r="Q185" s="7"/>
      <c r="R185" s="33"/>
      <c r="S185" s="33"/>
      <c r="T185" s="33"/>
      <c r="U185" s="7"/>
      <c r="V185" s="7"/>
      <c r="W185" s="33"/>
      <c r="X185" s="7"/>
      <c r="Y185" s="7"/>
      <c r="Z185" s="7"/>
      <c r="AA185" s="33"/>
      <c r="AB185" s="7"/>
      <c r="AC185" s="7"/>
      <c r="AD185" s="40"/>
      <c r="AE185" s="40"/>
      <c r="AF185" s="34"/>
      <c r="AH185" s="34"/>
    </row>
    <row r="186" spans="1:34" x14ac:dyDescent="0.25">
      <c r="A186" s="1">
        <v>183</v>
      </c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7"/>
      <c r="Q186" s="7"/>
      <c r="R186" s="33"/>
      <c r="S186" s="33"/>
      <c r="T186" s="33"/>
      <c r="U186" s="7"/>
      <c r="V186" s="7"/>
      <c r="W186" s="33"/>
      <c r="X186" s="7"/>
      <c r="Y186" s="7"/>
      <c r="Z186" s="7"/>
      <c r="AA186" s="33"/>
      <c r="AB186" s="7"/>
      <c r="AC186" s="7"/>
      <c r="AD186" s="40"/>
      <c r="AE186" s="40"/>
      <c r="AF186" s="34"/>
      <c r="AH186" s="34"/>
    </row>
    <row r="187" spans="1:34" x14ac:dyDescent="0.25">
      <c r="A187" s="1">
        <v>184</v>
      </c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7"/>
      <c r="Q187" s="7"/>
      <c r="R187" s="33"/>
      <c r="S187" s="33"/>
      <c r="T187" s="33"/>
      <c r="U187" s="7"/>
      <c r="V187" s="7"/>
      <c r="W187" s="33"/>
      <c r="X187" s="7"/>
      <c r="Y187" s="7"/>
      <c r="Z187" s="7"/>
      <c r="AA187" s="33"/>
      <c r="AB187" s="7"/>
      <c r="AC187" s="7"/>
      <c r="AD187" s="40"/>
      <c r="AE187" s="40"/>
      <c r="AF187" s="34"/>
      <c r="AH187" s="34"/>
    </row>
    <row r="188" spans="1:34" x14ac:dyDescent="0.25">
      <c r="A188" s="1">
        <v>185</v>
      </c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7"/>
      <c r="Q188" s="7"/>
      <c r="R188" s="33"/>
      <c r="S188" s="33"/>
      <c r="T188" s="33"/>
      <c r="U188" s="7"/>
      <c r="V188" s="7"/>
      <c r="W188" s="33"/>
      <c r="X188" s="7"/>
      <c r="Y188" s="7"/>
      <c r="Z188" s="7"/>
      <c r="AA188" s="33"/>
      <c r="AB188" s="7"/>
      <c r="AC188" s="7"/>
      <c r="AD188" s="40"/>
      <c r="AE188" s="40"/>
      <c r="AF188" s="34"/>
      <c r="AH188" s="34"/>
    </row>
    <row r="189" spans="1:34" x14ac:dyDescent="0.25">
      <c r="A189" s="1">
        <v>186</v>
      </c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7"/>
      <c r="Q189" s="7"/>
      <c r="R189" s="33"/>
      <c r="S189" s="33"/>
      <c r="T189" s="33"/>
      <c r="U189" s="7"/>
      <c r="V189" s="7"/>
      <c r="W189" s="33"/>
      <c r="X189" s="7"/>
      <c r="Y189" s="7"/>
      <c r="Z189" s="7"/>
      <c r="AA189" s="33"/>
      <c r="AB189" s="7"/>
      <c r="AC189" s="7"/>
      <c r="AD189" s="40"/>
      <c r="AE189" s="40"/>
      <c r="AF189" s="34"/>
      <c r="AH189" s="34"/>
    </row>
    <row r="190" spans="1:34" x14ac:dyDescent="0.25">
      <c r="A190" s="1">
        <v>187</v>
      </c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7"/>
      <c r="Q190" s="7"/>
      <c r="R190" s="33"/>
      <c r="S190" s="33"/>
      <c r="T190" s="33"/>
      <c r="U190" s="7"/>
      <c r="V190" s="7"/>
      <c r="W190" s="33"/>
      <c r="X190" s="7"/>
      <c r="Y190" s="7"/>
      <c r="Z190" s="7"/>
      <c r="AA190" s="33"/>
      <c r="AB190" s="7"/>
      <c r="AC190" s="7"/>
      <c r="AD190" s="40"/>
      <c r="AE190" s="40"/>
      <c r="AF190" s="34"/>
      <c r="AH190" s="34"/>
    </row>
    <row r="191" spans="1:34" x14ac:dyDescent="0.25">
      <c r="A191" s="1">
        <v>188</v>
      </c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7"/>
      <c r="Q191" s="7"/>
      <c r="R191" s="33"/>
      <c r="S191" s="33"/>
      <c r="T191" s="33"/>
      <c r="U191" s="7"/>
      <c r="V191" s="7"/>
      <c r="W191" s="33"/>
      <c r="X191" s="7"/>
      <c r="Y191" s="7"/>
      <c r="Z191" s="7"/>
      <c r="AA191" s="33"/>
      <c r="AB191" s="7"/>
      <c r="AC191" s="7"/>
      <c r="AD191" s="40"/>
      <c r="AE191" s="40"/>
      <c r="AF191" s="34"/>
      <c r="AH191" s="34"/>
    </row>
    <row r="192" spans="1:34" x14ac:dyDescent="0.25">
      <c r="A192" s="1">
        <v>189</v>
      </c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7"/>
      <c r="Q192" s="7"/>
      <c r="R192" s="33"/>
      <c r="S192" s="33"/>
      <c r="T192" s="33"/>
      <c r="U192" s="7"/>
      <c r="V192" s="7"/>
      <c r="W192" s="33"/>
      <c r="X192" s="7"/>
      <c r="Y192" s="7"/>
      <c r="Z192" s="7"/>
      <c r="AA192" s="33"/>
      <c r="AB192" s="7"/>
      <c r="AC192" s="7"/>
      <c r="AD192" s="40"/>
      <c r="AE192" s="40"/>
      <c r="AF192" s="34"/>
      <c r="AH192" s="34"/>
    </row>
    <row r="193" spans="1:34" x14ac:dyDescent="0.25">
      <c r="A193" s="1">
        <v>190</v>
      </c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7"/>
      <c r="Q193" s="7"/>
      <c r="R193" s="33"/>
      <c r="S193" s="33"/>
      <c r="T193" s="33"/>
      <c r="U193" s="7"/>
      <c r="V193" s="7"/>
      <c r="W193" s="33"/>
      <c r="X193" s="7"/>
      <c r="Y193" s="7"/>
      <c r="Z193" s="7"/>
      <c r="AA193" s="33"/>
      <c r="AB193" s="7"/>
      <c r="AC193" s="7"/>
      <c r="AD193" s="40"/>
      <c r="AE193" s="40"/>
      <c r="AF193" s="34"/>
      <c r="AH193" s="34"/>
    </row>
    <row r="194" spans="1:34" x14ac:dyDescent="0.25">
      <c r="A194" s="1">
        <v>191</v>
      </c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7"/>
      <c r="Q194" s="7"/>
      <c r="R194" s="33"/>
      <c r="S194" s="33"/>
      <c r="T194" s="33"/>
      <c r="U194" s="7"/>
      <c r="V194" s="7"/>
      <c r="W194" s="33"/>
      <c r="X194" s="7"/>
      <c r="Y194" s="7"/>
      <c r="Z194" s="7"/>
      <c r="AA194" s="33"/>
      <c r="AB194" s="7"/>
      <c r="AC194" s="7"/>
      <c r="AD194" s="40"/>
      <c r="AE194" s="40"/>
      <c r="AF194" s="34"/>
      <c r="AH194" s="34"/>
    </row>
    <row r="195" spans="1:34" x14ac:dyDescent="0.25">
      <c r="A195" s="1">
        <v>192</v>
      </c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7"/>
      <c r="Q195" s="7"/>
      <c r="R195" s="33"/>
      <c r="S195" s="33"/>
      <c r="T195" s="33"/>
      <c r="U195" s="7"/>
      <c r="V195" s="7"/>
      <c r="W195" s="33"/>
      <c r="X195" s="7"/>
      <c r="Y195" s="7"/>
      <c r="Z195" s="7"/>
      <c r="AA195" s="33"/>
      <c r="AB195" s="7"/>
      <c r="AC195" s="7"/>
      <c r="AD195" s="40"/>
      <c r="AE195" s="40"/>
      <c r="AF195" s="34"/>
      <c r="AH195" s="34"/>
    </row>
    <row r="196" spans="1:34" x14ac:dyDescent="0.25">
      <c r="A196" s="1">
        <v>193</v>
      </c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7"/>
      <c r="Q196" s="7"/>
      <c r="R196" s="33"/>
      <c r="S196" s="33"/>
      <c r="T196" s="33"/>
      <c r="U196" s="7"/>
      <c r="V196" s="7"/>
      <c r="W196" s="33"/>
      <c r="X196" s="7"/>
      <c r="Y196" s="7"/>
      <c r="Z196" s="7"/>
      <c r="AA196" s="33"/>
      <c r="AB196" s="7"/>
      <c r="AC196" s="7"/>
      <c r="AD196" s="40"/>
      <c r="AE196" s="40"/>
      <c r="AF196" s="34"/>
      <c r="AH196" s="34"/>
    </row>
    <row r="197" spans="1:34" x14ac:dyDescent="0.25">
      <c r="A197" s="1">
        <v>194</v>
      </c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7"/>
      <c r="Q197" s="7"/>
      <c r="R197" s="33"/>
      <c r="S197" s="33"/>
      <c r="T197" s="33"/>
      <c r="U197" s="7"/>
      <c r="V197" s="7"/>
      <c r="W197" s="33"/>
      <c r="X197" s="7"/>
      <c r="Y197" s="7"/>
      <c r="Z197" s="7"/>
      <c r="AA197" s="33"/>
      <c r="AB197" s="7"/>
      <c r="AC197" s="7"/>
      <c r="AD197" s="40"/>
      <c r="AE197" s="40"/>
      <c r="AF197" s="34"/>
      <c r="AH197" s="34"/>
    </row>
    <row r="198" spans="1:34" x14ac:dyDescent="0.25">
      <c r="A198" s="1">
        <v>195</v>
      </c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7"/>
      <c r="Q198" s="7"/>
      <c r="R198" s="33"/>
      <c r="S198" s="33"/>
      <c r="T198" s="33"/>
      <c r="U198" s="7"/>
      <c r="V198" s="7"/>
      <c r="W198" s="33"/>
      <c r="X198" s="7"/>
      <c r="Y198" s="7"/>
      <c r="Z198" s="7"/>
      <c r="AA198" s="33"/>
      <c r="AB198" s="7"/>
      <c r="AC198" s="7"/>
      <c r="AD198" s="40"/>
      <c r="AE198" s="40"/>
      <c r="AF198" s="34"/>
      <c r="AH198" s="34"/>
    </row>
    <row r="199" spans="1:34" x14ac:dyDescent="0.25">
      <c r="A199" s="1">
        <v>196</v>
      </c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7"/>
      <c r="Q199" s="7"/>
      <c r="R199" s="33"/>
      <c r="S199" s="33"/>
      <c r="T199" s="33"/>
      <c r="U199" s="7"/>
      <c r="V199" s="7"/>
      <c r="W199" s="33"/>
      <c r="X199" s="7"/>
      <c r="Y199" s="7"/>
      <c r="Z199" s="7"/>
      <c r="AA199" s="33"/>
      <c r="AB199" s="7"/>
      <c r="AC199" s="7"/>
      <c r="AD199" s="40"/>
      <c r="AE199" s="40"/>
      <c r="AF199" s="34"/>
      <c r="AH199" s="34"/>
    </row>
    <row r="200" spans="1:34" x14ac:dyDescent="0.25">
      <c r="A200" s="1">
        <v>197</v>
      </c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7"/>
      <c r="Q200" s="7"/>
      <c r="R200" s="33"/>
      <c r="S200" s="33"/>
      <c r="T200" s="33"/>
      <c r="U200" s="7"/>
      <c r="V200" s="7"/>
      <c r="W200" s="33"/>
      <c r="X200" s="7"/>
      <c r="Y200" s="7"/>
      <c r="Z200" s="7"/>
      <c r="AA200" s="33"/>
      <c r="AB200" s="7"/>
      <c r="AC200" s="7"/>
      <c r="AD200" s="40"/>
      <c r="AE200" s="40"/>
      <c r="AF200" s="34"/>
      <c r="AH200" s="34"/>
    </row>
    <row r="201" spans="1:34" x14ac:dyDescent="0.25">
      <c r="A201" s="1">
        <v>198</v>
      </c>
      <c r="B201" s="25"/>
      <c r="C201" s="10"/>
      <c r="D201" s="1"/>
      <c r="E201" s="30"/>
      <c r="F201" s="1"/>
      <c r="G201" s="1"/>
      <c r="H201" s="1"/>
      <c r="I201" s="1"/>
      <c r="J201" s="1"/>
      <c r="K201" s="1"/>
      <c r="L201" s="1"/>
      <c r="M201" s="1"/>
      <c r="N201" s="1"/>
      <c r="O201" s="9"/>
      <c r="P201" s="7"/>
      <c r="Q201" s="7"/>
      <c r="R201" s="33"/>
      <c r="S201" s="33"/>
      <c r="T201" s="33"/>
      <c r="U201" s="7"/>
      <c r="V201" s="7"/>
      <c r="W201" s="33"/>
      <c r="X201" s="7"/>
      <c r="Y201" s="7"/>
      <c r="Z201" s="7"/>
      <c r="AA201" s="33"/>
      <c r="AB201" s="7"/>
      <c r="AC201" s="7"/>
      <c r="AD201" s="40"/>
      <c r="AE201" s="40"/>
      <c r="AF201" s="34"/>
      <c r="AH201" s="34"/>
    </row>
    <row r="202" spans="1:34" x14ac:dyDescent="0.25">
      <c r="A202" s="1">
        <v>199</v>
      </c>
      <c r="B202" s="25"/>
      <c r="C202" s="10"/>
      <c r="D202" s="1"/>
      <c r="E202" s="30"/>
      <c r="F202" s="1"/>
      <c r="G202" s="1"/>
      <c r="H202" s="1"/>
      <c r="I202" s="1"/>
      <c r="J202" s="1"/>
      <c r="K202" s="1"/>
      <c r="L202" s="1"/>
      <c r="M202" s="1"/>
      <c r="N202" s="1"/>
      <c r="O202" s="9"/>
      <c r="P202" s="7"/>
      <c r="Q202" s="7"/>
      <c r="R202" s="33"/>
      <c r="S202" s="33"/>
      <c r="T202" s="33"/>
      <c r="U202" s="7"/>
      <c r="V202" s="7"/>
      <c r="W202" s="33"/>
      <c r="X202" s="7"/>
      <c r="Y202" s="7"/>
      <c r="Z202" s="7"/>
      <c r="AA202" s="33"/>
      <c r="AB202" s="7"/>
      <c r="AC202" s="7"/>
      <c r="AD202" s="40"/>
      <c r="AE202" s="40"/>
      <c r="AF202" s="34"/>
      <c r="AH202" s="34"/>
    </row>
    <row r="203" spans="1:34" x14ac:dyDescent="0.25">
      <c r="A203" s="1">
        <v>200</v>
      </c>
      <c r="B203" s="25"/>
      <c r="C203" s="10"/>
      <c r="D203" s="1"/>
      <c r="E203" s="30"/>
      <c r="F203" s="1"/>
      <c r="G203" s="1"/>
      <c r="H203" s="1"/>
      <c r="I203" s="1"/>
      <c r="J203" s="1"/>
      <c r="K203" s="1"/>
      <c r="L203" s="1"/>
      <c r="M203" s="1"/>
      <c r="N203" s="1"/>
      <c r="O203" s="9"/>
      <c r="P203" s="7"/>
      <c r="Q203" s="7"/>
      <c r="R203" s="33"/>
      <c r="S203" s="33"/>
      <c r="T203" s="33"/>
      <c r="U203" s="7"/>
      <c r="V203" s="7"/>
      <c r="W203" s="33"/>
      <c r="X203" s="7"/>
      <c r="Y203" s="7"/>
      <c r="Z203" s="7"/>
      <c r="AA203" s="33"/>
      <c r="AB203" s="7"/>
      <c r="AC203" s="7"/>
      <c r="AD203" s="40"/>
      <c r="AE203" s="40"/>
      <c r="AF203" s="34"/>
      <c r="AH203" s="34"/>
    </row>
    <row r="204" spans="1:34" x14ac:dyDescent="0.25">
      <c r="A204" s="1">
        <v>201</v>
      </c>
      <c r="B204" s="25"/>
      <c r="C204" s="10"/>
      <c r="D204" s="1"/>
      <c r="E204" s="30"/>
      <c r="F204" s="1"/>
      <c r="G204" s="1"/>
      <c r="H204" s="1"/>
      <c r="I204" s="1"/>
      <c r="J204" s="1"/>
      <c r="K204" s="1"/>
      <c r="L204" s="1"/>
      <c r="M204" s="1"/>
      <c r="N204" s="1"/>
      <c r="O204" s="9"/>
      <c r="P204" s="7"/>
      <c r="Q204" s="7"/>
      <c r="R204" s="33"/>
      <c r="S204" s="33"/>
      <c r="T204" s="33"/>
      <c r="U204" s="7"/>
      <c r="V204" s="7"/>
      <c r="W204" s="33"/>
      <c r="X204" s="7"/>
      <c r="Y204" s="7"/>
      <c r="Z204" s="7"/>
      <c r="AA204" s="33"/>
      <c r="AB204" s="7"/>
      <c r="AC204" s="7"/>
      <c r="AD204" s="40"/>
      <c r="AE204" s="40"/>
      <c r="AF204" s="34"/>
      <c r="AH204" s="34"/>
    </row>
    <row r="205" spans="1:34" x14ac:dyDescent="0.25">
      <c r="A205" s="1">
        <v>202</v>
      </c>
      <c r="B205" s="25"/>
      <c r="C205" s="10"/>
      <c r="D205" s="1"/>
      <c r="E205" s="30"/>
      <c r="F205" s="1"/>
      <c r="G205" s="1"/>
      <c r="H205" s="1"/>
      <c r="I205" s="1"/>
      <c r="J205" s="1"/>
      <c r="K205" s="1"/>
      <c r="L205" s="1"/>
      <c r="M205" s="1"/>
      <c r="N205" s="1"/>
      <c r="O205" s="9"/>
      <c r="P205" s="7"/>
      <c r="Q205" s="7"/>
      <c r="R205" s="33"/>
      <c r="S205" s="33"/>
      <c r="T205" s="33"/>
      <c r="U205" s="7"/>
      <c r="V205" s="7"/>
      <c r="W205" s="33"/>
      <c r="X205" s="7"/>
      <c r="Y205" s="7"/>
      <c r="Z205" s="7"/>
      <c r="AA205" s="33"/>
      <c r="AB205" s="7"/>
      <c r="AC205" s="7"/>
      <c r="AD205" s="40"/>
      <c r="AE205" s="40"/>
      <c r="AF205" s="34"/>
      <c r="AH205" s="34"/>
    </row>
    <row r="206" spans="1:34" x14ac:dyDescent="0.25">
      <c r="A206" s="1">
        <v>203</v>
      </c>
      <c r="B206" s="25"/>
      <c r="C206" s="10"/>
      <c r="D206" s="1"/>
      <c r="E206" s="30"/>
      <c r="F206" s="1"/>
      <c r="G206" s="1"/>
      <c r="H206" s="1"/>
      <c r="I206" s="1"/>
      <c r="J206" s="1"/>
      <c r="K206" s="1"/>
      <c r="L206" s="1"/>
      <c r="M206" s="1"/>
      <c r="N206" s="1"/>
      <c r="O206" s="9"/>
      <c r="P206" s="7"/>
      <c r="Q206" s="7"/>
      <c r="R206" s="33"/>
      <c r="S206" s="33"/>
      <c r="T206" s="33"/>
      <c r="U206" s="7"/>
      <c r="V206" s="7"/>
      <c r="W206" s="33"/>
      <c r="X206" s="7"/>
      <c r="Y206" s="7"/>
      <c r="Z206" s="7"/>
      <c r="AA206" s="33"/>
      <c r="AB206" s="7"/>
      <c r="AC206" s="7"/>
      <c r="AD206" s="40"/>
      <c r="AE206" s="40"/>
      <c r="AF206" s="34"/>
      <c r="AH206" s="34"/>
    </row>
    <row r="207" spans="1:34" x14ac:dyDescent="0.25">
      <c r="A207" s="1">
        <v>204</v>
      </c>
      <c r="B207" s="25"/>
      <c r="C207" s="10"/>
      <c r="D207" s="1"/>
      <c r="E207" s="30"/>
      <c r="F207" s="1"/>
      <c r="G207" s="1"/>
      <c r="H207" s="1"/>
      <c r="I207" s="1"/>
      <c r="J207" s="1"/>
      <c r="K207" s="1"/>
      <c r="L207" s="1"/>
      <c r="M207" s="1"/>
      <c r="N207" s="1"/>
      <c r="O207" s="9"/>
      <c r="P207" s="7"/>
      <c r="Q207" s="7"/>
      <c r="R207" s="33"/>
      <c r="S207" s="33"/>
      <c r="T207" s="33"/>
      <c r="U207" s="7"/>
      <c r="V207" s="7"/>
      <c r="W207" s="33"/>
      <c r="X207" s="7"/>
      <c r="Y207" s="7"/>
      <c r="Z207" s="7"/>
      <c r="AA207" s="33"/>
      <c r="AB207" s="7"/>
      <c r="AC207" s="7"/>
      <c r="AD207" s="40"/>
      <c r="AE207" s="40"/>
      <c r="AF207" s="34"/>
      <c r="AH207" s="34"/>
    </row>
    <row r="208" spans="1:34" x14ac:dyDescent="0.25">
      <c r="A208" s="1">
        <v>205</v>
      </c>
      <c r="B208" s="25"/>
      <c r="C208" s="10"/>
      <c r="D208" s="1"/>
      <c r="E208" s="30"/>
      <c r="F208" s="1"/>
      <c r="G208" s="1"/>
      <c r="H208" s="1"/>
      <c r="I208" s="1"/>
      <c r="J208" s="1"/>
      <c r="K208" s="1"/>
      <c r="L208" s="1"/>
      <c r="M208" s="1"/>
      <c r="N208" s="1"/>
      <c r="O208" s="9"/>
      <c r="P208" s="7"/>
      <c r="Q208" s="7"/>
      <c r="R208" s="33"/>
      <c r="S208" s="33"/>
      <c r="T208" s="33"/>
      <c r="U208" s="7"/>
      <c r="V208" s="7"/>
      <c r="W208" s="33"/>
      <c r="X208" s="7"/>
      <c r="Y208" s="7"/>
      <c r="Z208" s="7"/>
      <c r="AA208" s="33"/>
      <c r="AB208" s="7"/>
      <c r="AC208" s="7"/>
      <c r="AD208" s="40"/>
      <c r="AE208" s="40"/>
      <c r="AF208" s="34"/>
      <c r="AH208" s="34"/>
    </row>
    <row r="209" spans="1:34" x14ac:dyDescent="0.25">
      <c r="A209" s="1">
        <v>206</v>
      </c>
      <c r="B209" s="25"/>
      <c r="C209" s="10"/>
      <c r="D209" s="1"/>
      <c r="E209" s="30"/>
      <c r="F209" s="1"/>
      <c r="G209" s="1"/>
      <c r="H209" s="1"/>
      <c r="I209" s="1"/>
      <c r="J209" s="1"/>
      <c r="K209" s="1"/>
      <c r="L209" s="1"/>
      <c r="M209" s="1"/>
      <c r="N209" s="1"/>
      <c r="O209" s="9"/>
      <c r="P209" s="7"/>
      <c r="Q209" s="7"/>
      <c r="R209" s="33"/>
      <c r="S209" s="33"/>
      <c r="T209" s="33"/>
      <c r="U209" s="7"/>
      <c r="V209" s="7"/>
      <c r="W209" s="33"/>
      <c r="X209" s="7"/>
      <c r="Y209" s="7"/>
      <c r="Z209" s="7"/>
      <c r="AA209" s="33"/>
      <c r="AB209" s="7"/>
      <c r="AC209" s="7"/>
      <c r="AD209" s="40"/>
      <c r="AE209" s="40"/>
      <c r="AF209" s="34"/>
      <c r="AH209" s="34"/>
    </row>
    <row r="210" spans="1:34" x14ac:dyDescent="0.25">
      <c r="A210" s="1">
        <v>207</v>
      </c>
      <c r="B210" s="25"/>
      <c r="C210" s="10"/>
      <c r="D210" s="1"/>
      <c r="E210" s="30"/>
      <c r="F210" s="1"/>
      <c r="G210" s="1"/>
      <c r="H210" s="1"/>
      <c r="I210" s="1"/>
      <c r="J210" s="1"/>
      <c r="K210" s="1"/>
      <c r="L210" s="1"/>
      <c r="M210" s="1"/>
      <c r="N210" s="1"/>
      <c r="O210" s="9"/>
      <c r="P210" s="7"/>
      <c r="Q210" s="7"/>
      <c r="R210" s="33"/>
      <c r="S210" s="33"/>
      <c r="T210" s="33"/>
      <c r="U210" s="7"/>
      <c r="V210" s="7"/>
      <c r="W210" s="33"/>
      <c r="X210" s="7"/>
      <c r="Y210" s="7"/>
      <c r="Z210" s="7"/>
      <c r="AA210" s="33"/>
      <c r="AB210" s="7"/>
      <c r="AC210" s="7"/>
      <c r="AD210" s="40"/>
      <c r="AE210" s="40"/>
      <c r="AF210" s="34"/>
      <c r="AH210" s="34"/>
    </row>
    <row r="211" spans="1:34" x14ac:dyDescent="0.25">
      <c r="A211" s="1">
        <v>208</v>
      </c>
      <c r="B211" s="25"/>
      <c r="C211" s="10"/>
      <c r="D211" s="1"/>
      <c r="E211" s="30"/>
      <c r="F211" s="1"/>
      <c r="G211" s="1"/>
      <c r="H211" s="1"/>
      <c r="I211" s="1"/>
      <c r="J211" s="1"/>
      <c r="K211" s="1"/>
      <c r="L211" s="1"/>
      <c r="M211" s="1"/>
      <c r="N211" s="1"/>
      <c r="O211" s="9"/>
      <c r="P211" s="7"/>
      <c r="Q211" s="7"/>
      <c r="R211" s="33"/>
      <c r="S211" s="33"/>
      <c r="T211" s="33"/>
      <c r="U211" s="7"/>
      <c r="V211" s="7"/>
      <c r="W211" s="33"/>
      <c r="X211" s="7"/>
      <c r="Y211" s="7"/>
      <c r="Z211" s="7"/>
      <c r="AA211" s="33"/>
      <c r="AB211" s="7"/>
      <c r="AC211" s="7"/>
      <c r="AD211" s="40"/>
      <c r="AE211" s="40"/>
      <c r="AF211" s="34"/>
      <c r="AH211" s="34"/>
    </row>
    <row r="212" spans="1:34" x14ac:dyDescent="0.25">
      <c r="A212" s="1">
        <v>209</v>
      </c>
      <c r="B212" s="25"/>
      <c r="C212" s="10"/>
      <c r="D212" s="1"/>
      <c r="E212" s="30"/>
      <c r="F212" s="1"/>
      <c r="G212" s="1"/>
      <c r="H212" s="1"/>
      <c r="I212" s="1"/>
      <c r="J212" s="1"/>
      <c r="K212" s="1"/>
      <c r="L212" s="1"/>
      <c r="M212" s="1"/>
      <c r="N212" s="1"/>
      <c r="O212" s="9"/>
      <c r="P212" s="7"/>
      <c r="Q212" s="7"/>
      <c r="R212" s="33"/>
      <c r="S212" s="33"/>
      <c r="T212" s="33"/>
      <c r="U212" s="7"/>
      <c r="V212" s="7"/>
      <c r="W212" s="33"/>
      <c r="X212" s="7"/>
      <c r="Y212" s="7"/>
      <c r="Z212" s="7"/>
      <c r="AA212" s="33"/>
      <c r="AB212" s="7"/>
      <c r="AC212" s="7"/>
      <c r="AD212" s="40"/>
      <c r="AE212" s="40"/>
      <c r="AF212" s="34"/>
      <c r="AH212" s="34"/>
    </row>
    <row r="213" spans="1:34" x14ac:dyDescent="0.25">
      <c r="A213" s="1">
        <v>210</v>
      </c>
      <c r="B213" s="25"/>
      <c r="C213" s="10"/>
      <c r="D213" s="1"/>
      <c r="E213" s="30"/>
      <c r="F213" s="1"/>
      <c r="G213" s="1"/>
      <c r="H213" s="1"/>
      <c r="I213" s="1"/>
      <c r="J213" s="1"/>
      <c r="K213" s="1"/>
      <c r="L213" s="1"/>
      <c r="M213" s="1"/>
      <c r="N213" s="1"/>
      <c r="O213" s="9"/>
      <c r="P213" s="7"/>
      <c r="Q213" s="7"/>
      <c r="R213" s="33"/>
      <c r="S213" s="33"/>
      <c r="T213" s="33"/>
      <c r="U213" s="7"/>
      <c r="V213" s="7"/>
      <c r="W213" s="33"/>
      <c r="X213" s="7"/>
      <c r="Y213" s="7"/>
      <c r="Z213" s="7"/>
      <c r="AA213" s="33"/>
      <c r="AB213" s="7"/>
      <c r="AC213" s="7"/>
      <c r="AD213" s="40"/>
      <c r="AE213" s="40"/>
      <c r="AF213" s="34"/>
      <c r="AH213" s="34"/>
    </row>
    <row r="214" spans="1:34" x14ac:dyDescent="0.25">
      <c r="A214" s="1">
        <v>211</v>
      </c>
      <c r="B214" s="25"/>
      <c r="C214" s="10"/>
      <c r="D214" s="1"/>
      <c r="E214" s="30"/>
      <c r="F214" s="1"/>
      <c r="G214" s="1"/>
      <c r="H214" s="1"/>
      <c r="I214" s="1"/>
      <c r="J214" s="1"/>
      <c r="K214" s="1"/>
      <c r="L214" s="1"/>
      <c r="M214" s="1"/>
      <c r="N214" s="1"/>
      <c r="O214" s="9"/>
      <c r="P214" s="7"/>
      <c r="Q214" s="7"/>
      <c r="R214" s="33"/>
      <c r="S214" s="33"/>
      <c r="T214" s="33"/>
      <c r="U214" s="7"/>
      <c r="V214" s="7"/>
      <c r="W214" s="33"/>
      <c r="X214" s="7"/>
      <c r="Y214" s="7"/>
      <c r="Z214" s="7"/>
      <c r="AA214" s="33"/>
      <c r="AB214" s="7"/>
      <c r="AC214" s="7"/>
      <c r="AD214" s="40"/>
      <c r="AE214" s="40"/>
      <c r="AF214" s="34"/>
      <c r="AH214" s="34"/>
    </row>
    <row r="215" spans="1:34" x14ac:dyDescent="0.25">
      <c r="A215" s="1">
        <v>212</v>
      </c>
      <c r="B215" s="25"/>
      <c r="C215" s="10"/>
      <c r="D215" s="1"/>
      <c r="E215" s="30"/>
      <c r="F215" s="1"/>
      <c r="G215" s="1"/>
      <c r="H215" s="1"/>
      <c r="I215" s="1"/>
      <c r="J215" s="1"/>
      <c r="K215" s="1"/>
      <c r="L215" s="1"/>
      <c r="M215" s="1"/>
      <c r="N215" s="1"/>
      <c r="O215" s="9"/>
      <c r="P215" s="7"/>
      <c r="Q215" s="7"/>
      <c r="R215" s="33"/>
      <c r="S215" s="33"/>
      <c r="T215" s="33"/>
      <c r="U215" s="7"/>
      <c r="V215" s="7"/>
      <c r="W215" s="33"/>
      <c r="X215" s="7"/>
      <c r="Y215" s="7"/>
      <c r="Z215" s="7"/>
      <c r="AA215" s="33"/>
      <c r="AB215" s="7"/>
      <c r="AC215" s="7"/>
      <c r="AD215" s="40"/>
      <c r="AE215" s="40"/>
      <c r="AF215" s="34"/>
      <c r="AH215" s="34"/>
    </row>
    <row r="216" spans="1:34" x14ac:dyDescent="0.25">
      <c r="A216" s="1">
        <v>213</v>
      </c>
      <c r="B216" s="25"/>
      <c r="C216" s="10"/>
      <c r="D216" s="1"/>
      <c r="E216" s="30"/>
      <c r="F216" s="1"/>
      <c r="G216" s="1"/>
      <c r="H216" s="1"/>
      <c r="I216" s="1"/>
      <c r="J216" s="1"/>
      <c r="K216" s="1"/>
      <c r="L216" s="1"/>
      <c r="M216" s="1"/>
      <c r="N216" s="1"/>
      <c r="O216" s="9"/>
      <c r="P216" s="7"/>
      <c r="Q216" s="7"/>
      <c r="R216" s="33"/>
      <c r="S216" s="33"/>
      <c r="T216" s="33"/>
      <c r="U216" s="7"/>
      <c r="V216" s="7"/>
      <c r="W216" s="33"/>
      <c r="X216" s="7"/>
      <c r="Y216" s="7"/>
      <c r="Z216" s="7"/>
      <c r="AA216" s="33"/>
      <c r="AB216" s="7"/>
      <c r="AC216" s="7"/>
      <c r="AD216" s="40"/>
      <c r="AE216" s="40"/>
      <c r="AF216" s="34"/>
      <c r="AH216" s="34"/>
    </row>
    <row r="217" spans="1:34" x14ac:dyDescent="0.25">
      <c r="A217" s="1">
        <v>214</v>
      </c>
      <c r="B217" s="25"/>
      <c r="C217" s="10"/>
      <c r="D217" s="1"/>
      <c r="E217" s="30"/>
      <c r="F217" s="1"/>
      <c r="G217" s="1"/>
      <c r="H217" s="1"/>
      <c r="I217" s="1"/>
      <c r="J217" s="1"/>
      <c r="K217" s="1"/>
      <c r="L217" s="1"/>
      <c r="M217" s="1"/>
      <c r="N217" s="1"/>
      <c r="O217" s="9"/>
      <c r="P217" s="7"/>
      <c r="Q217" s="7"/>
      <c r="R217" s="33"/>
      <c r="S217" s="33"/>
      <c r="T217" s="33"/>
      <c r="U217" s="7"/>
      <c r="V217" s="7"/>
      <c r="W217" s="33"/>
      <c r="X217" s="7"/>
      <c r="Y217" s="7"/>
      <c r="Z217" s="7"/>
      <c r="AA217" s="33"/>
      <c r="AB217" s="7"/>
      <c r="AC217" s="7"/>
      <c r="AD217" s="40"/>
      <c r="AE217" s="40"/>
      <c r="AF217" s="34"/>
      <c r="AH217" s="34"/>
    </row>
    <row r="218" spans="1:34" x14ac:dyDescent="0.25">
      <c r="A218" s="1">
        <v>215</v>
      </c>
      <c r="B218" s="25"/>
      <c r="C218" s="10"/>
      <c r="D218" s="1"/>
      <c r="E218" s="30"/>
      <c r="F218" s="1"/>
      <c r="G218" s="1"/>
      <c r="H218" s="1"/>
      <c r="I218" s="1"/>
      <c r="J218" s="1"/>
      <c r="K218" s="1"/>
      <c r="L218" s="1"/>
      <c r="M218" s="1"/>
      <c r="N218" s="1"/>
      <c r="O218" s="9"/>
      <c r="P218" s="7"/>
      <c r="Q218" s="7"/>
      <c r="R218" s="33"/>
      <c r="S218" s="33"/>
      <c r="T218" s="33"/>
      <c r="U218" s="7"/>
      <c r="V218" s="7"/>
      <c r="W218" s="33"/>
      <c r="X218" s="7"/>
      <c r="Y218" s="7"/>
      <c r="Z218" s="7"/>
      <c r="AA218" s="33"/>
      <c r="AB218" s="7"/>
      <c r="AC218" s="7"/>
      <c r="AD218" s="40"/>
      <c r="AE218" s="40"/>
      <c r="AF218" s="34"/>
      <c r="AH218" s="34"/>
    </row>
    <row r="219" spans="1:34" x14ac:dyDescent="0.25">
      <c r="A219" s="1">
        <v>216</v>
      </c>
      <c r="B219" s="25"/>
      <c r="C219" s="10"/>
      <c r="D219" s="1"/>
      <c r="E219" s="30"/>
      <c r="F219" s="1"/>
      <c r="G219" s="1"/>
      <c r="H219" s="1"/>
      <c r="I219" s="1"/>
      <c r="J219" s="1"/>
      <c r="K219" s="1"/>
      <c r="L219" s="1"/>
      <c r="M219" s="1"/>
      <c r="N219" s="1"/>
      <c r="O219" s="9"/>
      <c r="P219" s="7"/>
      <c r="Q219" s="7"/>
      <c r="R219" s="33"/>
      <c r="S219" s="33"/>
      <c r="T219" s="33"/>
      <c r="U219" s="7"/>
      <c r="V219" s="7"/>
      <c r="W219" s="33"/>
      <c r="X219" s="7"/>
      <c r="Y219" s="7"/>
      <c r="Z219" s="7"/>
      <c r="AA219" s="33"/>
      <c r="AB219" s="7"/>
      <c r="AC219" s="7"/>
      <c r="AD219" s="40"/>
      <c r="AE219" s="40"/>
      <c r="AF219" s="34"/>
      <c r="AH219" s="34"/>
    </row>
    <row r="220" spans="1:34" x14ac:dyDescent="0.25">
      <c r="A220" s="1">
        <v>217</v>
      </c>
      <c r="B220" s="25"/>
      <c r="C220" s="10"/>
      <c r="D220" s="1"/>
      <c r="E220" s="30"/>
      <c r="F220" s="1"/>
      <c r="G220" s="1"/>
      <c r="H220" s="1"/>
      <c r="I220" s="1"/>
      <c r="J220" s="1"/>
      <c r="K220" s="1"/>
      <c r="L220" s="1"/>
      <c r="M220" s="1"/>
      <c r="N220" s="1"/>
      <c r="O220" s="9"/>
      <c r="P220" s="7"/>
      <c r="Q220" s="7"/>
      <c r="R220" s="33"/>
      <c r="S220" s="33"/>
      <c r="T220" s="33"/>
      <c r="U220" s="7"/>
      <c r="V220" s="7"/>
      <c r="W220" s="33"/>
      <c r="X220" s="7"/>
      <c r="Y220" s="7"/>
      <c r="Z220" s="7"/>
      <c r="AA220" s="33"/>
      <c r="AB220" s="7"/>
      <c r="AC220" s="7"/>
      <c r="AD220" s="40"/>
      <c r="AE220" s="40"/>
      <c r="AF220" s="34"/>
      <c r="AH220" s="34"/>
    </row>
    <row r="221" spans="1:34" x14ac:dyDescent="0.25">
      <c r="A221" s="1">
        <v>218</v>
      </c>
      <c r="B221" s="25"/>
      <c r="C221" s="10"/>
      <c r="D221" s="1"/>
      <c r="E221" s="30"/>
      <c r="F221" s="1"/>
      <c r="G221" s="1"/>
      <c r="H221" s="1"/>
      <c r="I221" s="1"/>
      <c r="J221" s="1"/>
      <c r="K221" s="1"/>
      <c r="L221" s="1"/>
      <c r="M221" s="1"/>
      <c r="N221" s="1"/>
      <c r="O221" s="9"/>
      <c r="P221" s="7"/>
      <c r="Q221" s="7"/>
      <c r="R221" s="33"/>
      <c r="S221" s="33"/>
      <c r="T221" s="33"/>
      <c r="U221" s="7"/>
      <c r="V221" s="7"/>
      <c r="W221" s="33"/>
      <c r="X221" s="7"/>
      <c r="Y221" s="7"/>
      <c r="Z221" s="7"/>
      <c r="AA221" s="33"/>
      <c r="AB221" s="7"/>
      <c r="AC221" s="7"/>
      <c r="AD221" s="40"/>
      <c r="AE221" s="40"/>
      <c r="AF221" s="34"/>
      <c r="AH221" s="34"/>
    </row>
    <row r="222" spans="1:34" x14ac:dyDescent="0.25">
      <c r="A222" s="1">
        <v>219</v>
      </c>
      <c r="B222" s="25"/>
      <c r="C222" s="10"/>
      <c r="D222" s="1"/>
      <c r="E222" s="30"/>
      <c r="F222" s="1"/>
      <c r="G222" s="1"/>
      <c r="H222" s="1"/>
      <c r="I222" s="1"/>
      <c r="J222" s="1"/>
      <c r="K222" s="1"/>
      <c r="L222" s="1"/>
      <c r="M222" s="1"/>
      <c r="N222" s="1"/>
      <c r="O222" s="9"/>
      <c r="P222" s="7"/>
      <c r="Q222" s="7"/>
      <c r="R222" s="33"/>
      <c r="S222" s="33"/>
      <c r="T222" s="33"/>
      <c r="U222" s="7"/>
      <c r="V222" s="7"/>
      <c r="W222" s="33"/>
      <c r="X222" s="7"/>
      <c r="Y222" s="7"/>
      <c r="Z222" s="7"/>
      <c r="AA222" s="33"/>
      <c r="AB222" s="7"/>
      <c r="AC222" s="7"/>
      <c r="AD222" s="40"/>
      <c r="AE222" s="40"/>
      <c r="AF222" s="34"/>
      <c r="AH222" s="34"/>
    </row>
    <row r="223" spans="1:34" x14ac:dyDescent="0.25">
      <c r="A223" s="1">
        <v>220</v>
      </c>
      <c r="B223" s="25"/>
      <c r="C223" s="10"/>
      <c r="D223" s="1"/>
      <c r="E223" s="30"/>
      <c r="F223" s="1"/>
      <c r="G223" s="1"/>
      <c r="H223" s="1"/>
      <c r="I223" s="1"/>
      <c r="J223" s="1"/>
      <c r="K223" s="1"/>
      <c r="L223" s="1"/>
      <c r="M223" s="1"/>
      <c r="N223" s="1"/>
      <c r="O223" s="9"/>
      <c r="P223" s="7"/>
      <c r="Q223" s="7"/>
      <c r="R223" s="33"/>
      <c r="S223" s="33"/>
      <c r="T223" s="33"/>
      <c r="U223" s="7"/>
      <c r="V223" s="7"/>
      <c r="W223" s="33"/>
      <c r="X223" s="7"/>
      <c r="Y223" s="7"/>
      <c r="Z223" s="7"/>
      <c r="AA223" s="33"/>
      <c r="AB223" s="7"/>
      <c r="AC223" s="7"/>
      <c r="AD223" s="40"/>
      <c r="AE223" s="40"/>
      <c r="AF223" s="34"/>
      <c r="AH223" s="34"/>
    </row>
    <row r="224" spans="1:34" x14ac:dyDescent="0.25">
      <c r="A224" s="1">
        <v>221</v>
      </c>
      <c r="B224" s="25"/>
      <c r="C224" s="10"/>
      <c r="D224" s="1"/>
      <c r="E224" s="30"/>
      <c r="F224" s="1"/>
      <c r="G224" s="1"/>
      <c r="H224" s="1"/>
      <c r="I224" s="1"/>
      <c r="J224" s="1"/>
      <c r="K224" s="1"/>
      <c r="L224" s="1"/>
      <c r="M224" s="1"/>
      <c r="N224" s="1"/>
      <c r="O224" s="9"/>
      <c r="P224" s="7"/>
      <c r="Q224" s="7"/>
      <c r="R224" s="33"/>
      <c r="S224" s="33"/>
      <c r="T224" s="33"/>
      <c r="U224" s="7"/>
      <c r="V224" s="7"/>
      <c r="W224" s="33"/>
      <c r="X224" s="7"/>
      <c r="Y224" s="7"/>
      <c r="Z224" s="7"/>
      <c r="AA224" s="33"/>
      <c r="AB224" s="7"/>
      <c r="AC224" s="7"/>
      <c r="AD224" s="40"/>
      <c r="AE224" s="40"/>
      <c r="AF224" s="34"/>
      <c r="AH224" s="34"/>
    </row>
    <row r="225" spans="1:34" x14ac:dyDescent="0.25">
      <c r="A225" s="1">
        <v>222</v>
      </c>
      <c r="B225" s="25"/>
      <c r="C225" s="10"/>
      <c r="D225" s="1"/>
      <c r="E225" s="30"/>
      <c r="F225" s="1"/>
      <c r="G225" s="1"/>
      <c r="H225" s="1"/>
      <c r="I225" s="1"/>
      <c r="J225" s="1"/>
      <c r="K225" s="1"/>
      <c r="L225" s="1"/>
      <c r="M225" s="1"/>
      <c r="N225" s="1"/>
      <c r="O225" s="9"/>
      <c r="P225" s="7"/>
      <c r="Q225" s="7"/>
      <c r="R225" s="33"/>
      <c r="S225" s="33"/>
      <c r="T225" s="33"/>
      <c r="U225" s="7"/>
      <c r="V225" s="7"/>
      <c r="W225" s="33"/>
      <c r="X225" s="7"/>
      <c r="Y225" s="7"/>
      <c r="Z225" s="7"/>
      <c r="AA225" s="33"/>
      <c r="AB225" s="7"/>
      <c r="AC225" s="7"/>
      <c r="AD225" s="40"/>
      <c r="AE225" s="40"/>
      <c r="AF225" s="34"/>
      <c r="AH225" s="34"/>
    </row>
    <row r="226" spans="1:34" x14ac:dyDescent="0.25">
      <c r="A226" s="1">
        <v>223</v>
      </c>
      <c r="B226" s="25"/>
      <c r="C226" s="10"/>
      <c r="D226" s="1"/>
      <c r="E226" s="30"/>
      <c r="F226" s="1"/>
      <c r="G226" s="1"/>
      <c r="H226" s="1"/>
      <c r="I226" s="1"/>
      <c r="J226" s="1"/>
      <c r="K226" s="1"/>
      <c r="L226" s="1"/>
      <c r="M226" s="1"/>
      <c r="N226" s="1"/>
      <c r="O226" s="9"/>
      <c r="P226" s="7"/>
      <c r="Q226" s="7"/>
      <c r="R226" s="33"/>
      <c r="S226" s="33"/>
      <c r="T226" s="33"/>
      <c r="U226" s="7"/>
      <c r="V226" s="7"/>
      <c r="W226" s="33"/>
      <c r="X226" s="7"/>
      <c r="Y226" s="7"/>
      <c r="Z226" s="7"/>
      <c r="AA226" s="33"/>
      <c r="AB226" s="7"/>
      <c r="AC226" s="7"/>
      <c r="AD226" s="40"/>
      <c r="AE226" s="40"/>
      <c r="AF226" s="34"/>
      <c r="AH226" s="34"/>
    </row>
    <row r="227" spans="1:34" x14ac:dyDescent="0.25">
      <c r="A227" s="1">
        <v>224</v>
      </c>
      <c r="B227" s="25"/>
      <c r="C227" s="10"/>
      <c r="D227" s="1"/>
      <c r="E227" s="30"/>
      <c r="F227" s="1"/>
      <c r="G227" s="1"/>
      <c r="H227" s="1"/>
      <c r="I227" s="1"/>
      <c r="J227" s="1"/>
      <c r="K227" s="1"/>
      <c r="L227" s="1"/>
      <c r="M227" s="1"/>
      <c r="N227" s="1"/>
      <c r="O227" s="9"/>
      <c r="P227" s="7"/>
      <c r="Q227" s="7"/>
      <c r="R227" s="33"/>
      <c r="S227" s="33"/>
      <c r="T227" s="33"/>
      <c r="U227" s="7"/>
      <c r="V227" s="7"/>
      <c r="W227" s="33"/>
      <c r="X227" s="7"/>
      <c r="Y227" s="7"/>
      <c r="Z227" s="7"/>
      <c r="AA227" s="33"/>
      <c r="AB227" s="7"/>
      <c r="AC227" s="7"/>
      <c r="AD227" s="40"/>
      <c r="AE227" s="40"/>
      <c r="AF227" s="34"/>
      <c r="AH227" s="34"/>
    </row>
    <row r="228" spans="1:34" x14ac:dyDescent="0.25">
      <c r="A228" s="1">
        <v>225</v>
      </c>
      <c r="B228" s="25"/>
      <c r="C228" s="10"/>
      <c r="D228" s="1"/>
      <c r="E228" s="30"/>
      <c r="F228" s="1"/>
      <c r="G228" s="1"/>
      <c r="H228" s="1"/>
      <c r="I228" s="1"/>
      <c r="J228" s="1"/>
      <c r="K228" s="1"/>
      <c r="L228" s="1"/>
      <c r="M228" s="1"/>
      <c r="N228" s="1"/>
      <c r="O228" s="9"/>
      <c r="P228" s="7"/>
      <c r="Q228" s="7"/>
      <c r="R228" s="33"/>
      <c r="S228" s="33"/>
      <c r="T228" s="33"/>
      <c r="U228" s="7"/>
      <c r="V228" s="7"/>
      <c r="W228" s="33"/>
      <c r="X228" s="7"/>
      <c r="Y228" s="7"/>
      <c r="Z228" s="7"/>
      <c r="AA228" s="33"/>
      <c r="AB228" s="7"/>
      <c r="AC228" s="7"/>
      <c r="AD228" s="40"/>
      <c r="AE228" s="40"/>
      <c r="AF228" s="34"/>
      <c r="AH228" s="34"/>
    </row>
    <row r="229" spans="1:34" x14ac:dyDescent="0.25">
      <c r="A229" s="1">
        <v>226</v>
      </c>
      <c r="B229" s="25"/>
      <c r="C229" s="10"/>
      <c r="D229" s="1"/>
      <c r="E229" s="30"/>
      <c r="F229" s="1"/>
      <c r="G229" s="1"/>
      <c r="H229" s="1"/>
      <c r="I229" s="1"/>
      <c r="J229" s="1"/>
      <c r="K229" s="1"/>
      <c r="L229" s="1"/>
      <c r="M229" s="1"/>
      <c r="N229" s="1"/>
      <c r="O229" s="9"/>
      <c r="P229" s="7"/>
      <c r="Q229" s="7"/>
      <c r="R229" s="33"/>
      <c r="S229" s="33"/>
      <c r="T229" s="33"/>
      <c r="U229" s="7"/>
      <c r="V229" s="7"/>
      <c r="W229" s="33"/>
      <c r="X229" s="7"/>
      <c r="Y229" s="7"/>
      <c r="Z229" s="7"/>
      <c r="AA229" s="33"/>
      <c r="AB229" s="7"/>
      <c r="AC229" s="7"/>
      <c r="AD229" s="40"/>
      <c r="AE229" s="40"/>
      <c r="AF229" s="34"/>
      <c r="AH229" s="34"/>
    </row>
    <row r="230" spans="1:34" x14ac:dyDescent="0.25">
      <c r="A230" s="1">
        <v>227</v>
      </c>
      <c r="B230" s="25"/>
      <c r="C230" s="10"/>
      <c r="D230" s="1"/>
      <c r="E230" s="30"/>
      <c r="F230" s="1"/>
      <c r="G230" s="1"/>
      <c r="H230" s="1"/>
      <c r="I230" s="1"/>
      <c r="J230" s="1"/>
      <c r="K230" s="1"/>
      <c r="L230" s="1"/>
      <c r="M230" s="1"/>
      <c r="N230" s="1"/>
      <c r="O230" s="9"/>
      <c r="P230" s="7"/>
      <c r="Q230" s="7"/>
      <c r="R230" s="33"/>
      <c r="S230" s="33"/>
      <c r="T230" s="33"/>
      <c r="U230" s="7"/>
      <c r="V230" s="7"/>
      <c r="W230" s="33"/>
      <c r="X230" s="7"/>
      <c r="Y230" s="7"/>
      <c r="Z230" s="7"/>
      <c r="AA230" s="33"/>
      <c r="AB230" s="7"/>
      <c r="AC230" s="7"/>
      <c r="AD230" s="40"/>
      <c r="AE230" s="40"/>
      <c r="AF230" s="34"/>
      <c r="AH230" s="34"/>
    </row>
    <row r="231" spans="1:34" x14ac:dyDescent="0.25">
      <c r="A231" s="1">
        <v>228</v>
      </c>
      <c r="B231" s="25"/>
      <c r="C231" s="10"/>
      <c r="D231" s="1"/>
      <c r="E231" s="30"/>
      <c r="F231" s="1"/>
      <c r="G231" s="1"/>
      <c r="H231" s="1"/>
      <c r="I231" s="1"/>
      <c r="J231" s="1"/>
      <c r="K231" s="1"/>
      <c r="L231" s="1"/>
      <c r="M231" s="1"/>
      <c r="N231" s="1"/>
      <c r="O231" s="9"/>
      <c r="P231" s="7"/>
      <c r="Q231" s="7"/>
      <c r="R231" s="33"/>
      <c r="S231" s="33"/>
      <c r="T231" s="33"/>
      <c r="U231" s="7"/>
      <c r="V231" s="7"/>
      <c r="W231" s="33"/>
      <c r="X231" s="7"/>
      <c r="Y231" s="7"/>
      <c r="Z231" s="7"/>
      <c r="AA231" s="33"/>
      <c r="AB231" s="7"/>
      <c r="AC231" s="7"/>
      <c r="AD231" s="40"/>
      <c r="AE231" s="40"/>
      <c r="AF231" s="34"/>
      <c r="AH231" s="34"/>
    </row>
    <row r="232" spans="1:34" x14ac:dyDescent="0.25">
      <c r="A232" s="1">
        <v>229</v>
      </c>
      <c r="B232" s="25"/>
      <c r="C232" s="10"/>
      <c r="D232" s="1"/>
      <c r="E232" s="30"/>
      <c r="F232" s="1"/>
      <c r="G232" s="1"/>
      <c r="H232" s="1"/>
      <c r="I232" s="1"/>
      <c r="J232" s="1"/>
      <c r="K232" s="1"/>
      <c r="L232" s="1"/>
      <c r="M232" s="1"/>
      <c r="N232" s="1"/>
      <c r="O232" s="9"/>
      <c r="P232" s="7"/>
      <c r="Q232" s="7"/>
      <c r="R232" s="33"/>
      <c r="S232" s="33"/>
      <c r="T232" s="33"/>
      <c r="U232" s="7"/>
      <c r="V232" s="7"/>
      <c r="W232" s="33"/>
      <c r="X232" s="7"/>
      <c r="Y232" s="7"/>
      <c r="Z232" s="7"/>
      <c r="AA232" s="33"/>
      <c r="AB232" s="7"/>
      <c r="AC232" s="7"/>
      <c r="AD232" s="40"/>
      <c r="AE232" s="40"/>
      <c r="AF232" s="34"/>
      <c r="AH232" s="34"/>
    </row>
    <row r="233" spans="1:34" x14ac:dyDescent="0.25">
      <c r="A233" s="1">
        <v>230</v>
      </c>
      <c r="B233" s="25"/>
      <c r="C233" s="10"/>
      <c r="D233" s="1"/>
      <c r="E233" s="30"/>
      <c r="F233" s="1"/>
      <c r="G233" s="1"/>
      <c r="H233" s="1"/>
      <c r="I233" s="1"/>
      <c r="J233" s="1"/>
      <c r="K233" s="1"/>
      <c r="L233" s="1"/>
      <c r="M233" s="1"/>
      <c r="N233" s="1"/>
      <c r="O233" s="9"/>
      <c r="P233" s="7"/>
      <c r="Q233" s="7"/>
      <c r="R233" s="33"/>
      <c r="S233" s="33"/>
      <c r="T233" s="33"/>
      <c r="U233" s="7"/>
      <c r="V233" s="7"/>
      <c r="W233" s="33"/>
      <c r="X233" s="7"/>
      <c r="Y233" s="7"/>
      <c r="Z233" s="7"/>
      <c r="AA233" s="33"/>
      <c r="AB233" s="7"/>
      <c r="AC233" s="7"/>
      <c r="AD233" s="40"/>
      <c r="AE233" s="40"/>
      <c r="AF233" s="34"/>
      <c r="AH233" s="34"/>
    </row>
    <row r="234" spans="1:34" x14ac:dyDescent="0.25">
      <c r="A234" s="1">
        <v>231</v>
      </c>
      <c r="B234" s="25"/>
      <c r="C234" s="10"/>
      <c r="D234" s="1"/>
      <c r="E234" s="30"/>
      <c r="F234" s="1"/>
      <c r="G234" s="1"/>
      <c r="H234" s="1"/>
      <c r="I234" s="1"/>
      <c r="J234" s="1"/>
      <c r="K234" s="1"/>
      <c r="L234" s="1"/>
      <c r="M234" s="1"/>
      <c r="N234" s="1"/>
      <c r="O234" s="9"/>
      <c r="P234" s="7"/>
      <c r="Q234" s="7"/>
      <c r="R234" s="33"/>
      <c r="S234" s="33"/>
      <c r="T234" s="33"/>
      <c r="U234" s="7"/>
      <c r="V234" s="7"/>
      <c r="W234" s="33"/>
      <c r="X234" s="7"/>
      <c r="Y234" s="7"/>
      <c r="Z234" s="7"/>
      <c r="AA234" s="33"/>
      <c r="AB234" s="7"/>
      <c r="AC234" s="7"/>
      <c r="AD234" s="40"/>
      <c r="AE234" s="40"/>
      <c r="AF234" s="34"/>
      <c r="AH234" s="34"/>
    </row>
    <row r="235" spans="1:34" x14ac:dyDescent="0.25">
      <c r="A235" s="1">
        <v>232</v>
      </c>
      <c r="B235" s="25"/>
      <c r="C235" s="10"/>
      <c r="D235" s="1"/>
      <c r="E235" s="30"/>
      <c r="F235" s="1"/>
      <c r="G235" s="1"/>
      <c r="H235" s="1"/>
      <c r="I235" s="1"/>
      <c r="J235" s="1"/>
      <c r="K235" s="1"/>
      <c r="L235" s="1"/>
      <c r="M235" s="1"/>
      <c r="N235" s="1"/>
      <c r="O235" s="9"/>
      <c r="P235" s="7"/>
      <c r="Q235" s="7"/>
      <c r="R235" s="33"/>
      <c r="S235" s="33"/>
      <c r="T235" s="33"/>
      <c r="U235" s="7"/>
      <c r="V235" s="7"/>
      <c r="W235" s="33"/>
      <c r="X235" s="7"/>
      <c r="Y235" s="7"/>
      <c r="Z235" s="7"/>
      <c r="AA235" s="33"/>
      <c r="AB235" s="7"/>
      <c r="AC235" s="7"/>
      <c r="AD235" s="40"/>
      <c r="AE235" s="40"/>
      <c r="AF235" s="34"/>
      <c r="AH235" s="34"/>
    </row>
    <row r="236" spans="1:34" x14ac:dyDescent="0.25">
      <c r="A236" s="1">
        <v>233</v>
      </c>
      <c r="B236" s="25"/>
      <c r="C236" s="10"/>
      <c r="D236" s="1"/>
      <c r="E236" s="30"/>
      <c r="F236" s="1"/>
      <c r="G236" s="1"/>
      <c r="H236" s="1"/>
      <c r="I236" s="1"/>
      <c r="J236" s="1"/>
      <c r="K236" s="1"/>
      <c r="L236" s="1"/>
      <c r="M236" s="1"/>
      <c r="N236" s="1"/>
      <c r="O236" s="9"/>
      <c r="P236" s="7"/>
      <c r="Q236" s="7"/>
      <c r="R236" s="33"/>
      <c r="S236" s="33"/>
      <c r="T236" s="33"/>
      <c r="U236" s="7"/>
      <c r="V236" s="7"/>
      <c r="W236" s="33"/>
      <c r="X236" s="7"/>
      <c r="Y236" s="7"/>
      <c r="Z236" s="7"/>
      <c r="AA236" s="33"/>
      <c r="AB236" s="7"/>
      <c r="AC236" s="7"/>
      <c r="AD236" s="40"/>
      <c r="AE236" s="40"/>
      <c r="AF236" s="34"/>
      <c r="AH236" s="34"/>
    </row>
    <row r="237" spans="1:34" x14ac:dyDescent="0.25">
      <c r="A237" s="1">
        <v>234</v>
      </c>
      <c r="B237" s="25"/>
      <c r="C237" s="10"/>
      <c r="D237" s="1"/>
      <c r="E237" s="30"/>
      <c r="F237" s="1"/>
      <c r="G237" s="1"/>
      <c r="H237" s="1"/>
      <c r="I237" s="1"/>
      <c r="J237" s="1"/>
      <c r="K237" s="1"/>
      <c r="L237" s="1"/>
      <c r="M237" s="1"/>
      <c r="N237" s="1"/>
      <c r="O237" s="9"/>
      <c r="P237" s="7"/>
      <c r="Q237" s="7"/>
      <c r="R237" s="33"/>
      <c r="S237" s="33"/>
      <c r="T237" s="33"/>
      <c r="U237" s="7"/>
      <c r="V237" s="7"/>
      <c r="W237" s="33"/>
      <c r="X237" s="7"/>
      <c r="Y237" s="7"/>
      <c r="Z237" s="7"/>
      <c r="AA237" s="33"/>
      <c r="AB237" s="7"/>
      <c r="AC237" s="7"/>
      <c r="AD237" s="40"/>
      <c r="AE237" s="40"/>
      <c r="AF237" s="34"/>
      <c r="AH237" s="34"/>
    </row>
    <row r="238" spans="1:34" x14ac:dyDescent="0.25">
      <c r="A238" s="1">
        <v>235</v>
      </c>
      <c r="B238" s="25"/>
      <c r="C238" s="10"/>
      <c r="D238" s="1"/>
      <c r="E238" s="30"/>
      <c r="F238" s="1"/>
      <c r="G238" s="1"/>
      <c r="H238" s="1"/>
      <c r="I238" s="1"/>
      <c r="J238" s="1"/>
      <c r="K238" s="1"/>
      <c r="L238" s="1"/>
      <c r="M238" s="1"/>
      <c r="N238" s="1"/>
      <c r="O238" s="9"/>
      <c r="P238" s="7"/>
      <c r="Q238" s="7"/>
      <c r="R238" s="33"/>
      <c r="S238" s="33"/>
      <c r="T238" s="33"/>
      <c r="U238" s="7"/>
      <c r="V238" s="7"/>
      <c r="W238" s="33"/>
      <c r="X238" s="7"/>
      <c r="Y238" s="7"/>
      <c r="Z238" s="7"/>
      <c r="AA238" s="33"/>
      <c r="AB238" s="7"/>
      <c r="AC238" s="7"/>
      <c r="AD238" s="40"/>
      <c r="AE238" s="40"/>
      <c r="AF238" s="34"/>
      <c r="AH238" s="34"/>
    </row>
    <row r="239" spans="1:34" x14ac:dyDescent="0.25">
      <c r="A239" s="1">
        <v>236</v>
      </c>
      <c r="B239" s="25"/>
      <c r="C239" s="10"/>
      <c r="D239" s="1"/>
      <c r="E239" s="30"/>
      <c r="F239" s="1"/>
      <c r="G239" s="1"/>
      <c r="H239" s="1"/>
      <c r="I239" s="1"/>
      <c r="J239" s="1"/>
      <c r="K239" s="1"/>
      <c r="L239" s="1"/>
      <c r="M239" s="1"/>
      <c r="N239" s="1"/>
      <c r="O239" s="9"/>
      <c r="P239" s="7"/>
      <c r="Q239" s="7"/>
      <c r="R239" s="33"/>
      <c r="S239" s="33"/>
      <c r="T239" s="33"/>
      <c r="U239" s="7"/>
      <c r="V239" s="7"/>
      <c r="W239" s="33"/>
      <c r="X239" s="7"/>
      <c r="Y239" s="7"/>
      <c r="Z239" s="7"/>
      <c r="AA239" s="33"/>
      <c r="AB239" s="7"/>
      <c r="AC239" s="7"/>
      <c r="AD239" s="40"/>
      <c r="AE239" s="40"/>
      <c r="AF239" s="34"/>
      <c r="AH239" s="34"/>
    </row>
    <row r="240" spans="1:34" x14ac:dyDescent="0.25">
      <c r="A240" s="1">
        <v>237</v>
      </c>
      <c r="B240" s="25"/>
      <c r="C240" s="10"/>
      <c r="D240" s="1"/>
      <c r="E240" s="30"/>
      <c r="F240" s="1"/>
      <c r="G240" s="1"/>
      <c r="H240" s="1"/>
      <c r="I240" s="1"/>
      <c r="J240" s="1"/>
      <c r="K240" s="1"/>
      <c r="L240" s="1"/>
      <c r="M240" s="1"/>
      <c r="N240" s="1"/>
      <c r="O240" s="9"/>
      <c r="P240" s="7"/>
      <c r="Q240" s="7"/>
      <c r="R240" s="33"/>
      <c r="S240" s="33"/>
      <c r="T240" s="33"/>
      <c r="U240" s="7"/>
      <c r="V240" s="7"/>
      <c r="W240" s="33"/>
      <c r="X240" s="7"/>
      <c r="Y240" s="7"/>
      <c r="Z240" s="7"/>
      <c r="AA240" s="33"/>
      <c r="AB240" s="7"/>
      <c r="AC240" s="7"/>
      <c r="AD240" s="40"/>
      <c r="AE240" s="40"/>
      <c r="AF240" s="34"/>
      <c r="AH240" s="34"/>
    </row>
    <row r="241" spans="1:34" x14ac:dyDescent="0.25">
      <c r="A241" s="1">
        <v>238</v>
      </c>
      <c r="B241" s="25"/>
      <c r="C241" s="10"/>
      <c r="D241" s="1"/>
      <c r="E241" s="30"/>
      <c r="F241" s="1"/>
      <c r="G241" s="1"/>
      <c r="H241" s="1"/>
      <c r="I241" s="1"/>
      <c r="J241" s="1"/>
      <c r="K241" s="1"/>
      <c r="L241" s="1"/>
      <c r="M241" s="1"/>
      <c r="N241" s="1"/>
      <c r="O241" s="9"/>
      <c r="P241" s="7"/>
      <c r="Q241" s="7"/>
      <c r="R241" s="33"/>
      <c r="S241" s="33"/>
      <c r="T241" s="33"/>
      <c r="U241" s="7"/>
      <c r="V241" s="7"/>
      <c r="W241" s="33"/>
      <c r="X241" s="7"/>
      <c r="Y241" s="7"/>
      <c r="Z241" s="7"/>
      <c r="AA241" s="33"/>
      <c r="AB241" s="7"/>
      <c r="AC241" s="7"/>
      <c r="AD241" s="40"/>
      <c r="AE241" s="40"/>
      <c r="AF241" s="34"/>
      <c r="AH241" s="34"/>
    </row>
    <row r="242" spans="1:34" x14ac:dyDescent="0.25">
      <c r="A242" s="1">
        <v>239</v>
      </c>
      <c r="B242" s="25"/>
      <c r="C242" s="10"/>
      <c r="D242" s="1"/>
      <c r="E242" s="30"/>
      <c r="F242" s="1"/>
      <c r="G242" s="1"/>
      <c r="H242" s="1"/>
      <c r="I242" s="1"/>
      <c r="J242" s="1"/>
      <c r="K242" s="1"/>
      <c r="L242" s="1"/>
      <c r="M242" s="1"/>
      <c r="N242" s="1"/>
      <c r="O242" s="9"/>
      <c r="P242" s="7"/>
      <c r="Q242" s="7"/>
      <c r="R242" s="33"/>
      <c r="S242" s="33"/>
      <c r="T242" s="33"/>
      <c r="U242" s="7"/>
      <c r="V242" s="7"/>
      <c r="W242" s="33"/>
      <c r="X242" s="7"/>
      <c r="Y242" s="7"/>
      <c r="Z242" s="7"/>
      <c r="AA242" s="33"/>
      <c r="AB242" s="7"/>
      <c r="AC242" s="7"/>
      <c r="AD242" s="40"/>
      <c r="AE242" s="40"/>
      <c r="AF242" s="34"/>
      <c r="AH242" s="34"/>
    </row>
    <row r="243" spans="1:34" x14ac:dyDescent="0.25">
      <c r="A243" s="1">
        <v>240</v>
      </c>
      <c r="B243" s="25"/>
      <c r="C243" s="10"/>
      <c r="D243" s="1"/>
      <c r="E243" s="30"/>
      <c r="F243" s="1"/>
      <c r="G243" s="1"/>
      <c r="H243" s="1"/>
      <c r="I243" s="1"/>
      <c r="J243" s="1"/>
      <c r="K243" s="1"/>
      <c r="L243" s="1"/>
      <c r="M243" s="1"/>
      <c r="N243" s="1"/>
      <c r="O243" s="9"/>
      <c r="P243" s="7"/>
      <c r="Q243" s="7"/>
      <c r="R243" s="33"/>
      <c r="S243" s="33"/>
      <c r="T243" s="33"/>
      <c r="U243" s="7"/>
      <c r="V243" s="7"/>
      <c r="W243" s="33"/>
      <c r="X243" s="7"/>
      <c r="Y243" s="7"/>
      <c r="Z243" s="7"/>
      <c r="AA243" s="33"/>
      <c r="AB243" s="7"/>
      <c r="AC243" s="7"/>
      <c r="AD243" s="40"/>
      <c r="AE243" s="40"/>
      <c r="AF243" s="34"/>
      <c r="AH243" s="34"/>
    </row>
    <row r="244" spans="1:34" x14ac:dyDescent="0.25">
      <c r="A244" s="1">
        <v>241</v>
      </c>
      <c r="B244" s="25"/>
      <c r="C244" s="10"/>
      <c r="D244" s="1"/>
      <c r="E244" s="30"/>
      <c r="F244" s="1"/>
      <c r="G244" s="1"/>
      <c r="H244" s="1"/>
      <c r="I244" s="1"/>
      <c r="J244" s="1"/>
      <c r="K244" s="1"/>
      <c r="L244" s="1"/>
      <c r="M244" s="1"/>
      <c r="N244" s="1"/>
      <c r="O244" s="9"/>
      <c r="P244" s="7"/>
      <c r="Q244" s="7"/>
      <c r="R244" s="33"/>
      <c r="S244" s="33"/>
      <c r="T244" s="33"/>
      <c r="U244" s="7"/>
      <c r="V244" s="7"/>
      <c r="W244" s="33"/>
      <c r="X244" s="7"/>
      <c r="Y244" s="7"/>
      <c r="Z244" s="7"/>
      <c r="AA244" s="33"/>
      <c r="AB244" s="7"/>
      <c r="AC244" s="7"/>
      <c r="AD244" s="40"/>
      <c r="AE244" s="40"/>
      <c r="AF244" s="34"/>
      <c r="AH244" s="34"/>
    </row>
    <row r="245" spans="1:34" x14ac:dyDescent="0.25">
      <c r="A245" s="1">
        <v>242</v>
      </c>
      <c r="B245" s="25"/>
      <c r="C245" s="10"/>
      <c r="D245" s="1"/>
      <c r="E245" s="30"/>
      <c r="F245" s="1"/>
      <c r="G245" s="1"/>
      <c r="H245" s="1"/>
      <c r="I245" s="1"/>
      <c r="J245" s="1"/>
      <c r="K245" s="1"/>
      <c r="L245" s="1"/>
      <c r="M245" s="1"/>
      <c r="N245" s="1"/>
      <c r="O245" s="9"/>
      <c r="P245" s="7"/>
      <c r="Q245" s="7"/>
      <c r="R245" s="33"/>
      <c r="S245" s="33"/>
      <c r="T245" s="33"/>
      <c r="U245" s="7"/>
      <c r="V245" s="7"/>
      <c r="W245" s="33"/>
      <c r="X245" s="7"/>
      <c r="Y245" s="7"/>
      <c r="Z245" s="7"/>
      <c r="AA245" s="33"/>
      <c r="AB245" s="7"/>
      <c r="AC245" s="7"/>
      <c r="AD245" s="40"/>
      <c r="AE245" s="40"/>
      <c r="AF245" s="34"/>
      <c r="AH245" s="34"/>
    </row>
    <row r="246" spans="1:34" x14ac:dyDescent="0.25">
      <c r="A246" s="1">
        <v>243</v>
      </c>
      <c r="B246" s="25"/>
      <c r="C246" s="10"/>
      <c r="D246" s="1"/>
      <c r="E246" s="30"/>
      <c r="F246" s="1"/>
      <c r="G246" s="1"/>
      <c r="H246" s="1"/>
      <c r="I246" s="1"/>
      <c r="J246" s="1"/>
      <c r="K246" s="1"/>
      <c r="L246" s="1"/>
      <c r="M246" s="1"/>
      <c r="N246" s="1"/>
      <c r="O246" s="9"/>
      <c r="P246" s="7"/>
      <c r="Q246" s="7"/>
      <c r="R246" s="33"/>
      <c r="S246" s="33"/>
      <c r="T246" s="33"/>
      <c r="U246" s="7"/>
      <c r="V246" s="7"/>
      <c r="W246" s="33"/>
      <c r="X246" s="7"/>
      <c r="Y246" s="7"/>
      <c r="Z246" s="7"/>
      <c r="AA246" s="33"/>
      <c r="AB246" s="7"/>
      <c r="AC246" s="7"/>
      <c r="AD246" s="40"/>
      <c r="AE246" s="40"/>
      <c r="AF246" s="34"/>
      <c r="AH246" s="34"/>
    </row>
    <row r="247" spans="1:34" x14ac:dyDescent="0.25">
      <c r="A247" s="1">
        <v>244</v>
      </c>
      <c r="B247" s="25"/>
      <c r="C247" s="10"/>
      <c r="D247" s="1"/>
      <c r="E247" s="30"/>
      <c r="F247" s="1"/>
      <c r="G247" s="1"/>
      <c r="H247" s="1"/>
      <c r="I247" s="1"/>
      <c r="J247" s="1"/>
      <c r="K247" s="1"/>
      <c r="L247" s="1"/>
      <c r="M247" s="1"/>
      <c r="N247" s="1"/>
      <c r="O247" s="9"/>
      <c r="P247" s="7"/>
      <c r="Q247" s="7"/>
      <c r="R247" s="33"/>
      <c r="S247" s="33"/>
      <c r="T247" s="33"/>
      <c r="U247" s="7"/>
      <c r="V247" s="7"/>
      <c r="W247" s="33"/>
      <c r="X247" s="7"/>
      <c r="Y247" s="7"/>
      <c r="Z247" s="7"/>
      <c r="AA247" s="33"/>
      <c r="AB247" s="7"/>
      <c r="AC247" s="7"/>
      <c r="AD247" s="40"/>
      <c r="AE247" s="40"/>
      <c r="AF247" s="34"/>
      <c r="AH247" s="34"/>
    </row>
    <row r="248" spans="1:34" x14ac:dyDescent="0.25">
      <c r="A248" s="1">
        <v>245</v>
      </c>
      <c r="B248" s="25"/>
      <c r="C248" s="10"/>
      <c r="D248" s="1"/>
      <c r="E248" s="30"/>
      <c r="F248" s="1"/>
      <c r="G248" s="1"/>
      <c r="H248" s="1"/>
      <c r="I248" s="1"/>
      <c r="J248" s="1"/>
      <c r="K248" s="1"/>
      <c r="L248" s="1"/>
      <c r="M248" s="1"/>
      <c r="N248" s="1"/>
      <c r="O248" s="9"/>
      <c r="P248" s="7"/>
      <c r="Q248" s="7"/>
      <c r="R248" s="33"/>
      <c r="S248" s="33"/>
      <c r="T248" s="33"/>
      <c r="U248" s="7"/>
      <c r="V248" s="7"/>
      <c r="W248" s="33"/>
      <c r="X248" s="7"/>
      <c r="Y248" s="7"/>
      <c r="Z248" s="7"/>
      <c r="AA248" s="33"/>
      <c r="AB248" s="7"/>
      <c r="AC248" s="7"/>
      <c r="AD248" s="40"/>
      <c r="AE248" s="40"/>
      <c r="AF248" s="34"/>
      <c r="AH248" s="34"/>
    </row>
    <row r="249" spans="1:34" x14ac:dyDescent="0.25">
      <c r="A249" s="1">
        <v>246</v>
      </c>
      <c r="B249" s="25"/>
      <c r="C249" s="10"/>
      <c r="D249" s="1"/>
      <c r="E249" s="30"/>
      <c r="F249" s="1"/>
      <c r="G249" s="1"/>
      <c r="H249" s="1"/>
      <c r="I249" s="1"/>
      <c r="J249" s="1"/>
      <c r="K249" s="1"/>
      <c r="L249" s="1"/>
      <c r="M249" s="1"/>
      <c r="N249" s="1"/>
      <c r="O249" s="9"/>
      <c r="P249" s="7"/>
      <c r="Q249" s="7"/>
      <c r="R249" s="33"/>
      <c r="S249" s="33"/>
      <c r="T249" s="33"/>
      <c r="U249" s="7"/>
      <c r="V249" s="7"/>
      <c r="W249" s="33"/>
      <c r="X249" s="7"/>
      <c r="Y249" s="7"/>
      <c r="Z249" s="7"/>
      <c r="AA249" s="33"/>
      <c r="AB249" s="7"/>
      <c r="AC249" s="7"/>
      <c r="AD249" s="40"/>
      <c r="AE249" s="40"/>
      <c r="AF249" s="34"/>
      <c r="AH249" s="34"/>
    </row>
    <row r="250" spans="1:34" x14ac:dyDescent="0.25">
      <c r="A250" s="1">
        <v>247</v>
      </c>
      <c r="B250" s="25"/>
      <c r="C250" s="10"/>
      <c r="D250" s="1"/>
      <c r="E250" s="30"/>
      <c r="F250" s="1"/>
      <c r="G250" s="1"/>
      <c r="H250" s="1"/>
      <c r="I250" s="1"/>
      <c r="J250" s="1"/>
      <c r="K250" s="1"/>
      <c r="L250" s="1"/>
      <c r="M250" s="1"/>
      <c r="N250" s="1"/>
      <c r="O250" s="9"/>
      <c r="P250" s="7"/>
      <c r="Q250" s="7"/>
      <c r="R250" s="33"/>
      <c r="S250" s="33"/>
      <c r="T250" s="33"/>
      <c r="U250" s="7"/>
      <c r="V250" s="7"/>
      <c r="W250" s="33"/>
      <c r="X250" s="7"/>
      <c r="Y250" s="7"/>
      <c r="Z250" s="7"/>
      <c r="AA250" s="33"/>
      <c r="AB250" s="7"/>
      <c r="AC250" s="7"/>
      <c r="AD250" s="40"/>
      <c r="AE250" s="40"/>
      <c r="AF250" s="34"/>
      <c r="AH250" s="34"/>
    </row>
    <row r="251" spans="1:34" x14ac:dyDescent="0.25">
      <c r="A251" s="1">
        <v>248</v>
      </c>
      <c r="B251" s="25"/>
      <c r="C251" s="10"/>
      <c r="D251" s="1"/>
      <c r="E251" s="30"/>
      <c r="F251" s="1"/>
      <c r="G251" s="1"/>
      <c r="H251" s="1"/>
      <c r="I251" s="1"/>
      <c r="J251" s="1"/>
      <c r="K251" s="1"/>
      <c r="L251" s="1"/>
      <c r="M251" s="1"/>
      <c r="N251" s="1"/>
      <c r="O251" s="9"/>
      <c r="P251" s="7"/>
      <c r="Q251" s="7"/>
      <c r="R251" s="33"/>
      <c r="S251" s="33"/>
      <c r="T251" s="33"/>
      <c r="U251" s="7"/>
      <c r="V251" s="7"/>
      <c r="W251" s="33"/>
      <c r="X251" s="7"/>
      <c r="Y251" s="7"/>
      <c r="Z251" s="7"/>
      <c r="AA251" s="33"/>
      <c r="AB251" s="7"/>
      <c r="AC251" s="7"/>
      <c r="AD251" s="40"/>
      <c r="AE251" s="40"/>
      <c r="AF251" s="34"/>
      <c r="AH251" s="34"/>
    </row>
    <row r="252" spans="1:34" x14ac:dyDescent="0.25">
      <c r="A252" s="1">
        <v>249</v>
      </c>
      <c r="B252" s="25"/>
      <c r="C252" s="10"/>
      <c r="D252" s="1"/>
      <c r="E252" s="30"/>
      <c r="F252" s="1"/>
      <c r="G252" s="1"/>
      <c r="H252" s="1"/>
      <c r="I252" s="1"/>
      <c r="J252" s="1"/>
      <c r="K252" s="1"/>
      <c r="L252" s="1"/>
      <c r="M252" s="1"/>
      <c r="N252" s="1"/>
      <c r="O252" s="9"/>
      <c r="P252" s="7"/>
      <c r="Q252" s="7"/>
      <c r="R252" s="33"/>
      <c r="S252" s="33"/>
      <c r="T252" s="33"/>
      <c r="U252" s="7"/>
      <c r="V252" s="7"/>
      <c r="W252" s="33"/>
      <c r="X252" s="7"/>
      <c r="Y252" s="7"/>
      <c r="Z252" s="7"/>
      <c r="AA252" s="33"/>
      <c r="AB252" s="7"/>
      <c r="AC252" s="7"/>
      <c r="AD252" s="40"/>
      <c r="AE252" s="40"/>
      <c r="AF252" s="34"/>
      <c r="AH252" s="34"/>
    </row>
    <row r="253" spans="1:34" x14ac:dyDescent="0.25">
      <c r="A253" s="1">
        <v>250</v>
      </c>
      <c r="B253" s="25"/>
      <c r="C253" s="10"/>
      <c r="D253" s="1"/>
      <c r="E253" s="30"/>
      <c r="F253" s="1"/>
      <c r="G253" s="1"/>
      <c r="H253" s="1"/>
      <c r="I253" s="1"/>
      <c r="J253" s="1"/>
      <c r="K253" s="1"/>
      <c r="L253" s="1"/>
      <c r="M253" s="1"/>
      <c r="N253" s="1"/>
      <c r="O253" s="9"/>
      <c r="P253" s="7"/>
      <c r="Q253" s="7"/>
      <c r="R253" s="33"/>
      <c r="S253" s="33"/>
      <c r="T253" s="33"/>
      <c r="U253" s="7"/>
      <c r="V253" s="7"/>
      <c r="W253" s="33"/>
      <c r="X253" s="7"/>
      <c r="Y253" s="7"/>
      <c r="Z253" s="7"/>
      <c r="AA253" s="33"/>
      <c r="AB253" s="7"/>
      <c r="AC253" s="7"/>
      <c r="AD253" s="40"/>
      <c r="AE253" s="40"/>
      <c r="AF253" s="34"/>
      <c r="AH253" s="34"/>
    </row>
    <row r="254" spans="1:34" x14ac:dyDescent="0.25">
      <c r="A254" s="1">
        <v>251</v>
      </c>
      <c r="B254" s="25"/>
      <c r="C254" s="10"/>
      <c r="D254" s="1"/>
      <c r="E254" s="30"/>
      <c r="F254" s="1"/>
      <c r="G254" s="1"/>
      <c r="H254" s="1"/>
      <c r="I254" s="1"/>
      <c r="J254" s="1"/>
      <c r="K254" s="1"/>
      <c r="L254" s="1"/>
      <c r="M254" s="1"/>
      <c r="N254" s="1"/>
      <c r="O254" s="9"/>
      <c r="P254" s="7"/>
      <c r="Q254" s="7"/>
      <c r="R254" s="33"/>
      <c r="S254" s="33"/>
      <c r="T254" s="33"/>
      <c r="U254" s="7"/>
      <c r="V254" s="7"/>
      <c r="W254" s="33"/>
      <c r="X254" s="7"/>
      <c r="Y254" s="7"/>
      <c r="Z254" s="7"/>
      <c r="AA254" s="33"/>
      <c r="AB254" s="7"/>
      <c r="AC254" s="7"/>
      <c r="AD254" s="40"/>
      <c r="AE254" s="40"/>
      <c r="AF254" s="34"/>
      <c r="AH254" s="34"/>
    </row>
    <row r="255" spans="1:34" x14ac:dyDescent="0.25">
      <c r="A255" s="1">
        <v>252</v>
      </c>
      <c r="B255" s="25"/>
      <c r="C255" s="10"/>
      <c r="D255" s="1"/>
      <c r="E255" s="30"/>
      <c r="F255" s="1"/>
      <c r="G255" s="1"/>
      <c r="H255" s="1"/>
      <c r="I255" s="1"/>
      <c r="J255" s="1"/>
      <c r="K255" s="1"/>
      <c r="L255" s="1"/>
      <c r="M255" s="1"/>
      <c r="N255" s="1"/>
      <c r="O255" s="9"/>
      <c r="P255" s="7"/>
      <c r="Q255" s="7"/>
      <c r="R255" s="33"/>
      <c r="S255" s="33"/>
      <c r="T255" s="33"/>
      <c r="U255" s="7"/>
      <c r="V255" s="7"/>
      <c r="W255" s="33"/>
      <c r="X255" s="7"/>
      <c r="Y255" s="7"/>
      <c r="Z255" s="7"/>
      <c r="AA255" s="33"/>
      <c r="AB255" s="7"/>
      <c r="AC255" s="7"/>
      <c r="AD255" s="40"/>
      <c r="AE255" s="40"/>
      <c r="AF255" s="34"/>
      <c r="AH255" s="34"/>
    </row>
    <row r="256" spans="1:34" x14ac:dyDescent="0.25">
      <c r="A256" s="1">
        <v>253</v>
      </c>
      <c r="B256" s="25"/>
      <c r="C256" s="10"/>
      <c r="D256" s="1"/>
      <c r="E256" s="30"/>
      <c r="F256" s="1"/>
      <c r="G256" s="1"/>
      <c r="H256" s="1"/>
      <c r="I256" s="1"/>
      <c r="J256" s="1"/>
      <c r="K256" s="1"/>
      <c r="L256" s="1"/>
      <c r="M256" s="1"/>
      <c r="N256" s="1"/>
      <c r="O256" s="9"/>
      <c r="P256" s="7"/>
      <c r="Q256" s="7"/>
      <c r="R256" s="33"/>
      <c r="S256" s="33"/>
      <c r="T256" s="33"/>
      <c r="U256" s="7"/>
      <c r="V256" s="7"/>
      <c r="W256" s="33"/>
      <c r="X256" s="7"/>
      <c r="Y256" s="7"/>
      <c r="Z256" s="7"/>
      <c r="AA256" s="33"/>
      <c r="AB256" s="7"/>
      <c r="AC256" s="7"/>
      <c r="AD256" s="40"/>
      <c r="AE256" s="40"/>
      <c r="AF256" s="34"/>
      <c r="AH256" s="34"/>
    </row>
    <row r="257" spans="1:34" x14ac:dyDescent="0.25">
      <c r="A257" s="1">
        <v>254</v>
      </c>
      <c r="B257" s="25"/>
      <c r="C257" s="10"/>
      <c r="D257" s="1"/>
      <c r="E257" s="30"/>
      <c r="F257" s="1"/>
      <c r="G257" s="1"/>
      <c r="H257" s="1"/>
      <c r="I257" s="1"/>
      <c r="J257" s="1"/>
      <c r="K257" s="1"/>
      <c r="L257" s="1"/>
      <c r="M257" s="1"/>
      <c r="N257" s="1"/>
      <c r="O257" s="9"/>
      <c r="P257" s="7"/>
      <c r="Q257" s="7"/>
      <c r="R257" s="33"/>
      <c r="S257" s="33"/>
      <c r="T257" s="33"/>
      <c r="U257" s="7"/>
      <c r="V257" s="7"/>
      <c r="W257" s="33"/>
      <c r="X257" s="7"/>
      <c r="Y257" s="7"/>
      <c r="Z257" s="7"/>
      <c r="AA257" s="33"/>
      <c r="AB257" s="7"/>
      <c r="AC257" s="7"/>
      <c r="AD257" s="40"/>
      <c r="AE257" s="40"/>
      <c r="AF257" s="34"/>
      <c r="AH257" s="34"/>
    </row>
    <row r="258" spans="1:34" x14ac:dyDescent="0.25">
      <c r="A258" s="1">
        <v>255</v>
      </c>
      <c r="B258" s="25"/>
      <c r="C258" s="10"/>
      <c r="D258" s="1"/>
      <c r="E258" s="30"/>
      <c r="F258" s="1"/>
      <c r="G258" s="1"/>
      <c r="H258" s="1"/>
      <c r="I258" s="1"/>
      <c r="J258" s="1"/>
      <c r="K258" s="1"/>
      <c r="L258" s="1"/>
      <c r="M258" s="1"/>
      <c r="N258" s="1"/>
      <c r="O258" s="9"/>
      <c r="P258" s="7"/>
      <c r="Q258" s="7"/>
      <c r="R258" s="33"/>
      <c r="S258" s="33"/>
      <c r="T258" s="33"/>
      <c r="U258" s="7"/>
      <c r="V258" s="7"/>
      <c r="W258" s="33"/>
      <c r="X258" s="7"/>
      <c r="Y258" s="7"/>
      <c r="Z258" s="7"/>
      <c r="AA258" s="33"/>
      <c r="AB258" s="7"/>
      <c r="AC258" s="7"/>
      <c r="AD258" s="40"/>
      <c r="AE258" s="40"/>
      <c r="AF258" s="34"/>
      <c r="AH258" s="34"/>
    </row>
    <row r="259" spans="1:34" x14ac:dyDescent="0.25">
      <c r="A259" s="1">
        <v>256</v>
      </c>
      <c r="B259" s="25"/>
      <c r="C259" s="10"/>
      <c r="D259" s="1"/>
      <c r="E259" s="30"/>
      <c r="F259" s="1"/>
      <c r="G259" s="1"/>
      <c r="H259" s="1"/>
      <c r="I259" s="1"/>
      <c r="J259" s="1"/>
      <c r="K259" s="1"/>
      <c r="L259" s="1"/>
      <c r="M259" s="1"/>
      <c r="N259" s="1"/>
      <c r="O259" s="9"/>
      <c r="P259" s="7"/>
      <c r="Q259" s="7"/>
      <c r="R259" s="33"/>
      <c r="S259" s="33"/>
      <c r="T259" s="33"/>
      <c r="U259" s="7"/>
      <c r="V259" s="7"/>
      <c r="W259" s="33"/>
      <c r="X259" s="7"/>
      <c r="Y259" s="7"/>
      <c r="Z259" s="7"/>
      <c r="AA259" s="33"/>
      <c r="AB259" s="7"/>
      <c r="AC259" s="7"/>
      <c r="AD259" s="40"/>
      <c r="AE259" s="40"/>
      <c r="AF259" s="34"/>
      <c r="AH259" s="34"/>
    </row>
    <row r="260" spans="1:34" x14ac:dyDescent="0.25">
      <c r="A260" s="1">
        <v>257</v>
      </c>
      <c r="B260" s="25"/>
      <c r="C260" s="10"/>
      <c r="D260" s="1"/>
      <c r="E260" s="30"/>
      <c r="F260" s="1"/>
      <c r="G260" s="1"/>
      <c r="H260" s="1"/>
      <c r="I260" s="1"/>
      <c r="J260" s="1"/>
      <c r="K260" s="1"/>
      <c r="L260" s="1"/>
      <c r="M260" s="1"/>
      <c r="N260" s="1"/>
      <c r="O260" s="9"/>
      <c r="P260" s="7"/>
      <c r="Q260" s="7"/>
      <c r="R260" s="33"/>
      <c r="S260" s="33"/>
      <c r="T260" s="33"/>
      <c r="U260" s="7"/>
      <c r="V260" s="7"/>
      <c r="W260" s="33"/>
      <c r="X260" s="7"/>
      <c r="Y260" s="7"/>
      <c r="Z260" s="7"/>
      <c r="AA260" s="33"/>
      <c r="AB260" s="7"/>
      <c r="AC260" s="7"/>
      <c r="AD260" s="40"/>
      <c r="AE260" s="40"/>
      <c r="AF260" s="34"/>
      <c r="AH260" s="34"/>
    </row>
    <row r="261" spans="1:34" x14ac:dyDescent="0.25">
      <c r="A261" s="1">
        <v>258</v>
      </c>
      <c r="B261" s="25"/>
      <c r="C261" s="10"/>
      <c r="D261" s="1"/>
      <c r="E261" s="30"/>
      <c r="F261" s="1"/>
      <c r="G261" s="1"/>
      <c r="H261" s="1"/>
      <c r="I261" s="1"/>
      <c r="J261" s="1"/>
      <c r="K261" s="1"/>
      <c r="L261" s="1"/>
      <c r="M261" s="1"/>
      <c r="N261" s="1"/>
      <c r="O261" s="9"/>
      <c r="P261" s="7"/>
      <c r="Q261" s="7"/>
      <c r="R261" s="33"/>
      <c r="S261" s="33"/>
      <c r="T261" s="33"/>
      <c r="U261" s="7"/>
      <c r="V261" s="7"/>
      <c r="W261" s="33"/>
      <c r="X261" s="7"/>
      <c r="Y261" s="7"/>
      <c r="Z261" s="7"/>
      <c r="AA261" s="33"/>
      <c r="AB261" s="7"/>
      <c r="AC261" s="7"/>
      <c r="AD261" s="40"/>
      <c r="AE261" s="40"/>
      <c r="AF261" s="34"/>
      <c r="AH261" s="34"/>
    </row>
    <row r="262" spans="1:34" x14ac:dyDescent="0.25">
      <c r="A262" s="1">
        <v>259</v>
      </c>
      <c r="B262" s="25"/>
      <c r="C262" s="10"/>
      <c r="D262" s="1"/>
      <c r="E262" s="30"/>
      <c r="F262" s="1"/>
      <c r="G262" s="1"/>
      <c r="H262" s="1"/>
      <c r="I262" s="1"/>
      <c r="J262" s="1"/>
      <c r="K262" s="1"/>
      <c r="L262" s="1"/>
      <c r="M262" s="1"/>
      <c r="N262" s="1"/>
      <c r="O262" s="9"/>
      <c r="P262" s="7"/>
      <c r="Q262" s="7"/>
      <c r="R262" s="33"/>
      <c r="S262" s="33"/>
      <c r="T262" s="33"/>
      <c r="U262" s="7"/>
      <c r="V262" s="7"/>
      <c r="W262" s="33"/>
      <c r="X262" s="7"/>
      <c r="Y262" s="7"/>
      <c r="Z262" s="7"/>
      <c r="AA262" s="33"/>
      <c r="AB262" s="7"/>
      <c r="AC262" s="7"/>
      <c r="AD262" s="40"/>
      <c r="AE262" s="40"/>
      <c r="AF262" s="34"/>
      <c r="AH262" s="34"/>
    </row>
    <row r="263" spans="1:34" x14ac:dyDescent="0.25">
      <c r="A263" s="1">
        <v>260</v>
      </c>
      <c r="B263" s="25"/>
      <c r="C263" s="10"/>
      <c r="D263" s="1"/>
      <c r="E263" s="30"/>
      <c r="F263" s="1"/>
      <c r="G263" s="1"/>
      <c r="H263" s="1"/>
      <c r="I263" s="1"/>
      <c r="J263" s="1"/>
      <c r="K263" s="1"/>
      <c r="L263" s="1"/>
      <c r="M263" s="1"/>
      <c r="N263" s="1"/>
      <c r="O263" s="9"/>
      <c r="P263" s="7"/>
      <c r="Q263" s="7"/>
      <c r="R263" s="33"/>
      <c r="S263" s="33"/>
      <c r="T263" s="33"/>
      <c r="U263" s="7"/>
      <c r="V263" s="7"/>
      <c r="W263" s="33"/>
      <c r="X263" s="7"/>
      <c r="Y263" s="7"/>
      <c r="Z263" s="7"/>
      <c r="AA263" s="33"/>
      <c r="AB263" s="7"/>
      <c r="AC263" s="7"/>
      <c r="AD263" s="40"/>
      <c r="AE263" s="40"/>
      <c r="AF263" s="34"/>
      <c r="AH263" s="34"/>
    </row>
    <row r="264" spans="1:34" x14ac:dyDescent="0.25">
      <c r="A264" s="1">
        <v>261</v>
      </c>
      <c r="B264" s="25"/>
      <c r="C264" s="10"/>
      <c r="D264" s="1"/>
      <c r="E264" s="30"/>
      <c r="F264" s="1"/>
      <c r="G264" s="1"/>
      <c r="H264" s="1"/>
      <c r="I264" s="1"/>
      <c r="J264" s="1"/>
      <c r="K264" s="1"/>
      <c r="L264" s="1"/>
      <c r="M264" s="1"/>
      <c r="N264" s="1"/>
      <c r="O264" s="9"/>
      <c r="P264" s="7"/>
      <c r="Q264" s="7"/>
      <c r="R264" s="33"/>
      <c r="S264" s="33"/>
      <c r="T264" s="33"/>
      <c r="U264" s="7"/>
      <c r="V264" s="7"/>
      <c r="W264" s="33"/>
      <c r="X264" s="7"/>
      <c r="Y264" s="7"/>
      <c r="Z264" s="7"/>
      <c r="AA264" s="33"/>
      <c r="AB264" s="7"/>
      <c r="AC264" s="7"/>
      <c r="AD264" s="40"/>
      <c r="AE264" s="40"/>
      <c r="AF264" s="34"/>
      <c r="AH264" s="34"/>
    </row>
    <row r="265" spans="1:34" x14ac:dyDescent="0.25">
      <c r="A265" s="1">
        <v>262</v>
      </c>
      <c r="B265" s="25"/>
      <c r="C265" s="10"/>
      <c r="D265" s="1"/>
      <c r="E265" s="30"/>
      <c r="F265" s="1"/>
      <c r="G265" s="1"/>
      <c r="H265" s="1"/>
      <c r="I265" s="1"/>
      <c r="J265" s="1"/>
      <c r="K265" s="1"/>
      <c r="L265" s="1"/>
      <c r="M265" s="1"/>
      <c r="N265" s="1"/>
      <c r="O265" s="9"/>
      <c r="P265" s="7"/>
      <c r="Q265" s="7"/>
      <c r="R265" s="33"/>
      <c r="S265" s="33"/>
      <c r="T265" s="33"/>
      <c r="U265" s="7"/>
      <c r="V265" s="7"/>
      <c r="W265" s="33"/>
      <c r="X265" s="7"/>
      <c r="Y265" s="7"/>
      <c r="Z265" s="7"/>
      <c r="AA265" s="33"/>
      <c r="AB265" s="7"/>
      <c r="AC265" s="7"/>
      <c r="AD265" s="40"/>
      <c r="AE265" s="40"/>
      <c r="AF265" s="34"/>
      <c r="AH265" s="34"/>
    </row>
    <row r="266" spans="1:34" x14ac:dyDescent="0.25">
      <c r="A266" s="1">
        <v>263</v>
      </c>
      <c r="B266" s="25"/>
      <c r="C266" s="10"/>
      <c r="D266" s="1"/>
      <c r="E266" s="30"/>
      <c r="F266" s="1"/>
      <c r="G266" s="1"/>
      <c r="H266" s="1"/>
      <c r="I266" s="1"/>
      <c r="J266" s="1"/>
      <c r="K266" s="1"/>
      <c r="L266" s="1"/>
      <c r="M266" s="1"/>
      <c r="N266" s="1"/>
      <c r="O266" s="9"/>
      <c r="P266" s="7"/>
      <c r="Q266" s="7"/>
      <c r="R266" s="33"/>
      <c r="S266" s="33"/>
      <c r="T266" s="33"/>
      <c r="U266" s="7"/>
      <c r="V266" s="7"/>
      <c r="W266" s="33"/>
      <c r="X266" s="7"/>
      <c r="Y266" s="7"/>
      <c r="Z266" s="7"/>
      <c r="AA266" s="33"/>
      <c r="AB266" s="7"/>
      <c r="AC266" s="7"/>
      <c r="AD266" s="40"/>
      <c r="AE266" s="40"/>
      <c r="AF266" s="34"/>
      <c r="AH266" s="34"/>
    </row>
    <row r="267" spans="1:34" x14ac:dyDescent="0.25">
      <c r="A267" s="1">
        <v>264</v>
      </c>
      <c r="B267" s="25"/>
      <c r="C267" s="10"/>
      <c r="D267" s="1"/>
      <c r="E267" s="30"/>
      <c r="F267" s="1"/>
      <c r="G267" s="1"/>
      <c r="H267" s="1"/>
      <c r="I267" s="1"/>
      <c r="J267" s="1"/>
      <c r="K267" s="1"/>
      <c r="L267" s="1"/>
      <c r="M267" s="1"/>
      <c r="N267" s="1"/>
      <c r="O267" s="9"/>
      <c r="P267" s="7"/>
      <c r="Q267" s="7"/>
      <c r="R267" s="33"/>
      <c r="S267" s="33"/>
      <c r="T267" s="33"/>
      <c r="U267" s="7"/>
      <c r="V267" s="7"/>
      <c r="W267" s="33"/>
      <c r="X267" s="7"/>
      <c r="Y267" s="7"/>
      <c r="Z267" s="7"/>
      <c r="AA267" s="33"/>
      <c r="AB267" s="7"/>
      <c r="AC267" s="7"/>
      <c r="AD267" s="40"/>
      <c r="AE267" s="40"/>
      <c r="AF267" s="34"/>
      <c r="AH267" s="34"/>
    </row>
    <row r="268" spans="1:34" x14ac:dyDescent="0.25">
      <c r="A268" s="1">
        <v>265</v>
      </c>
      <c r="B268" s="25"/>
      <c r="C268" s="10"/>
      <c r="D268" s="1"/>
      <c r="E268" s="30"/>
      <c r="F268" s="1"/>
      <c r="G268" s="1"/>
      <c r="H268" s="1"/>
      <c r="I268" s="1"/>
      <c r="J268" s="1"/>
      <c r="K268" s="1"/>
      <c r="L268" s="1"/>
      <c r="M268" s="1"/>
      <c r="N268" s="1"/>
      <c r="O268" s="9"/>
      <c r="P268" s="7"/>
      <c r="Q268" s="7"/>
      <c r="R268" s="33"/>
      <c r="S268" s="33"/>
      <c r="T268" s="33"/>
      <c r="U268" s="7"/>
      <c r="V268" s="7"/>
      <c r="W268" s="33"/>
      <c r="X268" s="7"/>
      <c r="Y268" s="7"/>
      <c r="Z268" s="7"/>
      <c r="AA268" s="33"/>
      <c r="AB268" s="7"/>
      <c r="AC268" s="7"/>
      <c r="AD268" s="40"/>
      <c r="AE268" s="40"/>
      <c r="AF268" s="34"/>
      <c r="AH268" s="34"/>
    </row>
    <row r="269" spans="1:34" x14ac:dyDescent="0.25">
      <c r="A269" s="1">
        <v>266</v>
      </c>
      <c r="B269" s="25"/>
      <c r="C269" s="10"/>
      <c r="D269" s="1"/>
      <c r="E269" s="30"/>
      <c r="F269" s="1"/>
      <c r="G269" s="1"/>
      <c r="H269" s="1"/>
      <c r="I269" s="1"/>
      <c r="J269" s="1"/>
      <c r="K269" s="1"/>
      <c r="L269" s="1"/>
      <c r="M269" s="1"/>
      <c r="N269" s="1"/>
      <c r="O269" s="9"/>
      <c r="P269" s="7"/>
      <c r="Q269" s="7"/>
      <c r="R269" s="33"/>
      <c r="S269" s="33"/>
      <c r="T269" s="33"/>
      <c r="U269" s="7"/>
      <c r="V269" s="7"/>
      <c r="W269" s="33"/>
      <c r="X269" s="7"/>
      <c r="Y269" s="7"/>
      <c r="Z269" s="7"/>
      <c r="AA269" s="33"/>
      <c r="AB269" s="7"/>
      <c r="AC269" s="7"/>
      <c r="AD269" s="40"/>
      <c r="AE269" s="40"/>
      <c r="AF269" s="34"/>
      <c r="AH269" s="34"/>
    </row>
    <row r="270" spans="1:34" x14ac:dyDescent="0.25">
      <c r="A270" s="1">
        <v>267</v>
      </c>
      <c r="B270" s="25"/>
      <c r="C270" s="10"/>
      <c r="D270" s="1"/>
      <c r="E270" s="30"/>
      <c r="F270" s="1"/>
      <c r="G270" s="1"/>
      <c r="H270" s="1"/>
      <c r="I270" s="1"/>
      <c r="J270" s="1"/>
      <c r="K270" s="1"/>
      <c r="L270" s="1"/>
      <c r="M270" s="1"/>
      <c r="N270" s="1"/>
      <c r="O270" s="9"/>
      <c r="P270" s="7"/>
      <c r="Q270" s="7"/>
      <c r="R270" s="33"/>
      <c r="S270" s="33"/>
      <c r="T270" s="33"/>
      <c r="U270" s="7"/>
      <c r="V270" s="7"/>
      <c r="W270" s="33"/>
      <c r="X270" s="7"/>
      <c r="Y270" s="7"/>
      <c r="Z270" s="7"/>
      <c r="AA270" s="33"/>
      <c r="AB270" s="7"/>
      <c r="AC270" s="7"/>
      <c r="AD270" s="40"/>
      <c r="AE270" s="40"/>
      <c r="AF270" s="34"/>
      <c r="AH270" s="34"/>
    </row>
    <row r="271" spans="1:34" x14ac:dyDescent="0.25">
      <c r="A271" s="1">
        <v>268</v>
      </c>
      <c r="B271" s="25"/>
      <c r="C271" s="10"/>
      <c r="D271" s="1"/>
      <c r="E271" s="30"/>
      <c r="F271" s="1"/>
      <c r="G271" s="1"/>
      <c r="H271" s="1"/>
      <c r="I271" s="1"/>
      <c r="J271" s="1"/>
      <c r="K271" s="1"/>
      <c r="L271" s="1"/>
      <c r="M271" s="1"/>
      <c r="N271" s="1"/>
      <c r="O271" s="9"/>
      <c r="P271" s="7"/>
      <c r="Q271" s="7"/>
      <c r="R271" s="33"/>
      <c r="S271" s="33"/>
      <c r="T271" s="33"/>
      <c r="U271" s="7"/>
      <c r="V271" s="7"/>
      <c r="W271" s="33"/>
      <c r="X271" s="7"/>
      <c r="Y271" s="7"/>
      <c r="Z271" s="7"/>
      <c r="AA271" s="33"/>
      <c r="AB271" s="7"/>
      <c r="AC271" s="7"/>
      <c r="AD271" s="40"/>
      <c r="AE271" s="40"/>
      <c r="AF271" s="34"/>
      <c r="AH271" s="34"/>
    </row>
    <row r="272" spans="1:34" x14ac:dyDescent="0.25">
      <c r="A272" s="1">
        <v>269</v>
      </c>
      <c r="B272" s="25"/>
      <c r="C272" s="10"/>
      <c r="D272" s="1"/>
      <c r="E272" s="30"/>
      <c r="F272" s="1"/>
      <c r="G272" s="1"/>
      <c r="H272" s="1"/>
      <c r="I272" s="1"/>
      <c r="J272" s="1"/>
      <c r="K272" s="1"/>
      <c r="L272" s="1"/>
      <c r="M272" s="1"/>
      <c r="N272" s="1"/>
      <c r="O272" s="9"/>
      <c r="P272" s="7"/>
      <c r="Q272" s="7"/>
      <c r="R272" s="33"/>
      <c r="S272" s="33"/>
      <c r="T272" s="33"/>
      <c r="U272" s="7"/>
      <c r="V272" s="7"/>
      <c r="W272" s="33"/>
      <c r="X272" s="7"/>
      <c r="Y272" s="7"/>
      <c r="Z272" s="7"/>
      <c r="AA272" s="33"/>
      <c r="AB272" s="7"/>
      <c r="AC272" s="7"/>
      <c r="AD272" s="40"/>
      <c r="AE272" s="40"/>
      <c r="AF272" s="34"/>
      <c r="AH272" s="34"/>
    </row>
    <row r="273" spans="1:34" x14ac:dyDescent="0.25">
      <c r="A273" s="1">
        <v>270</v>
      </c>
      <c r="B273" s="25"/>
      <c r="C273" s="10"/>
      <c r="D273" s="1"/>
      <c r="E273" s="30"/>
      <c r="F273" s="1"/>
      <c r="G273" s="1"/>
      <c r="H273" s="1"/>
      <c r="I273" s="1"/>
      <c r="J273" s="1"/>
      <c r="K273" s="1"/>
      <c r="L273" s="1"/>
      <c r="M273" s="1"/>
      <c r="N273" s="1"/>
      <c r="O273" s="9"/>
      <c r="P273" s="7"/>
      <c r="Q273" s="7"/>
      <c r="R273" s="33"/>
      <c r="S273" s="33"/>
      <c r="T273" s="33"/>
      <c r="U273" s="7"/>
      <c r="V273" s="7"/>
      <c r="W273" s="33"/>
      <c r="X273" s="7"/>
      <c r="Y273" s="7"/>
      <c r="Z273" s="7"/>
      <c r="AA273" s="33"/>
      <c r="AB273" s="7"/>
      <c r="AC273" s="7"/>
      <c r="AD273" s="40"/>
      <c r="AE273" s="40"/>
      <c r="AF273" s="34"/>
      <c r="AH273" s="34"/>
    </row>
    <row r="274" spans="1:34" x14ac:dyDescent="0.25">
      <c r="A274" s="1">
        <v>271</v>
      </c>
      <c r="B274" s="25"/>
      <c r="C274" s="10"/>
      <c r="D274" s="1"/>
      <c r="E274" s="30"/>
      <c r="F274" s="1"/>
      <c r="G274" s="1"/>
      <c r="H274" s="1"/>
      <c r="I274" s="1"/>
      <c r="J274" s="1"/>
      <c r="K274" s="1"/>
      <c r="L274" s="1"/>
      <c r="M274" s="1"/>
      <c r="N274" s="1"/>
      <c r="O274" s="9"/>
      <c r="P274" s="7"/>
      <c r="Q274" s="7"/>
      <c r="R274" s="33"/>
      <c r="S274" s="33"/>
      <c r="T274" s="33"/>
      <c r="U274" s="7"/>
      <c r="V274" s="7"/>
      <c r="W274" s="33"/>
      <c r="X274" s="7"/>
      <c r="Y274" s="7"/>
      <c r="Z274" s="7"/>
      <c r="AA274" s="33"/>
      <c r="AB274" s="7"/>
      <c r="AC274" s="7"/>
      <c r="AD274" s="40"/>
      <c r="AE274" s="40"/>
      <c r="AF274" s="34"/>
      <c r="AH274" s="34"/>
    </row>
    <row r="275" spans="1:34" x14ac:dyDescent="0.25">
      <c r="A275" s="1">
        <v>272</v>
      </c>
      <c r="B275" s="25"/>
      <c r="C275" s="10"/>
      <c r="D275" s="1"/>
      <c r="E275" s="30"/>
      <c r="F275" s="1"/>
      <c r="G275" s="1"/>
      <c r="H275" s="1"/>
      <c r="I275" s="1"/>
      <c r="J275" s="1"/>
      <c r="K275" s="1"/>
      <c r="L275" s="1"/>
      <c r="M275" s="1"/>
      <c r="N275" s="1"/>
      <c r="O275" s="9"/>
      <c r="P275" s="7"/>
      <c r="Q275" s="7"/>
      <c r="R275" s="33"/>
      <c r="S275" s="33"/>
      <c r="T275" s="33"/>
      <c r="U275" s="7"/>
      <c r="V275" s="7"/>
      <c r="W275" s="33"/>
      <c r="X275" s="7"/>
      <c r="Y275" s="7"/>
      <c r="Z275" s="7"/>
      <c r="AA275" s="33"/>
      <c r="AB275" s="7"/>
      <c r="AC275" s="7"/>
      <c r="AD275" s="40"/>
      <c r="AE275" s="40"/>
      <c r="AF275" s="34"/>
      <c r="AH275" s="34"/>
    </row>
    <row r="276" spans="1:34" x14ac:dyDescent="0.25">
      <c r="A276" s="1">
        <v>273</v>
      </c>
      <c r="B276" s="25"/>
      <c r="C276" s="10"/>
      <c r="D276" s="1"/>
      <c r="E276" s="30"/>
      <c r="F276" s="1"/>
      <c r="G276" s="1"/>
      <c r="H276" s="1"/>
      <c r="I276" s="1"/>
      <c r="J276" s="1"/>
      <c r="K276" s="1"/>
      <c r="L276" s="1"/>
      <c r="M276" s="1"/>
      <c r="N276" s="1"/>
      <c r="O276" s="9"/>
      <c r="P276" s="7"/>
      <c r="Q276" s="7"/>
      <c r="R276" s="33"/>
      <c r="S276" s="33"/>
      <c r="T276" s="33"/>
      <c r="U276" s="7"/>
      <c r="V276" s="7"/>
      <c r="W276" s="33"/>
      <c r="X276" s="7"/>
      <c r="Y276" s="7"/>
      <c r="Z276" s="7"/>
      <c r="AA276" s="33"/>
      <c r="AB276" s="7"/>
      <c r="AC276" s="7"/>
      <c r="AD276" s="40"/>
      <c r="AE276" s="40"/>
      <c r="AF276" s="34"/>
      <c r="AH276" s="34"/>
    </row>
    <row r="277" spans="1:34" x14ac:dyDescent="0.25">
      <c r="A277" s="1">
        <v>274</v>
      </c>
      <c r="B277" s="25"/>
      <c r="C277" s="10"/>
      <c r="D277" s="1"/>
      <c r="E277" s="30"/>
      <c r="F277" s="1"/>
      <c r="G277" s="1"/>
      <c r="H277" s="1"/>
      <c r="I277" s="1"/>
      <c r="J277" s="1"/>
      <c r="K277" s="1"/>
      <c r="L277" s="1"/>
      <c r="M277" s="1"/>
      <c r="N277" s="1"/>
      <c r="O277" s="9"/>
      <c r="P277" s="7"/>
      <c r="Q277" s="7"/>
      <c r="R277" s="33"/>
      <c r="S277" s="33"/>
      <c r="T277" s="33"/>
      <c r="U277" s="7"/>
      <c r="V277" s="7"/>
      <c r="W277" s="33"/>
      <c r="X277" s="7"/>
      <c r="Y277" s="7"/>
      <c r="Z277" s="7"/>
      <c r="AA277" s="33"/>
      <c r="AB277" s="7"/>
      <c r="AC277" s="7"/>
      <c r="AD277" s="40"/>
      <c r="AE277" s="40"/>
      <c r="AF277" s="34"/>
      <c r="AH277" s="34"/>
    </row>
    <row r="278" spans="1:34" x14ac:dyDescent="0.25">
      <c r="A278" s="1">
        <v>275</v>
      </c>
      <c r="B278" s="25"/>
      <c r="C278" s="10"/>
      <c r="D278" s="1"/>
      <c r="E278" s="30"/>
      <c r="F278" s="1"/>
      <c r="G278" s="1"/>
      <c r="H278" s="1"/>
      <c r="I278" s="1"/>
      <c r="J278" s="1"/>
      <c r="K278" s="1"/>
      <c r="L278" s="1"/>
      <c r="M278" s="1"/>
      <c r="N278" s="1"/>
      <c r="O278" s="9"/>
      <c r="P278" s="7"/>
      <c r="Q278" s="7"/>
      <c r="R278" s="33"/>
      <c r="S278" s="33"/>
      <c r="T278" s="33"/>
      <c r="U278" s="7"/>
      <c r="V278" s="7"/>
      <c r="W278" s="33"/>
      <c r="X278" s="7"/>
      <c r="Y278" s="7"/>
      <c r="Z278" s="7"/>
      <c r="AA278" s="33"/>
      <c r="AB278" s="7"/>
      <c r="AC278" s="7"/>
      <c r="AD278" s="40"/>
      <c r="AE278" s="40"/>
      <c r="AF278" s="34"/>
      <c r="AH278" s="34"/>
    </row>
    <row r="279" spans="1:34" x14ac:dyDescent="0.25">
      <c r="A279" s="1">
        <v>276</v>
      </c>
      <c r="B279" s="25"/>
      <c r="C279" s="10"/>
      <c r="D279" s="1"/>
      <c r="E279" s="30"/>
      <c r="F279" s="1"/>
      <c r="G279" s="1"/>
      <c r="H279" s="1"/>
      <c r="I279" s="1"/>
      <c r="J279" s="1"/>
      <c r="K279" s="1"/>
      <c r="L279" s="1"/>
      <c r="M279" s="1"/>
      <c r="N279" s="1"/>
      <c r="O279" s="9"/>
      <c r="P279" s="7"/>
      <c r="Q279" s="7"/>
      <c r="R279" s="33"/>
      <c r="S279" s="33"/>
      <c r="T279" s="33"/>
      <c r="U279" s="7"/>
      <c r="V279" s="7"/>
      <c r="W279" s="33"/>
      <c r="X279" s="7"/>
      <c r="Y279" s="7"/>
      <c r="Z279" s="7"/>
      <c r="AA279" s="33"/>
      <c r="AB279" s="7"/>
      <c r="AC279" s="7"/>
      <c r="AD279" s="40"/>
      <c r="AE279" s="40"/>
      <c r="AF279" s="34"/>
      <c r="AH279" s="34"/>
    </row>
    <row r="280" spans="1:34" x14ac:dyDescent="0.25">
      <c r="A280" s="1">
        <v>277</v>
      </c>
      <c r="B280" s="25"/>
      <c r="C280" s="10"/>
      <c r="D280" s="1"/>
      <c r="E280" s="30"/>
      <c r="F280" s="1"/>
      <c r="G280" s="1"/>
      <c r="H280" s="1"/>
      <c r="I280" s="1"/>
      <c r="J280" s="1"/>
      <c r="K280" s="1"/>
      <c r="L280" s="1"/>
      <c r="M280" s="1"/>
      <c r="N280" s="1"/>
      <c r="O280" s="9"/>
      <c r="P280" s="7"/>
      <c r="Q280" s="7"/>
      <c r="R280" s="33"/>
      <c r="S280" s="33"/>
      <c r="T280" s="33"/>
      <c r="U280" s="7"/>
      <c r="V280" s="7"/>
      <c r="W280" s="33"/>
      <c r="X280" s="7"/>
      <c r="Y280" s="7"/>
      <c r="Z280" s="7"/>
      <c r="AA280" s="33"/>
      <c r="AB280" s="7"/>
      <c r="AC280" s="7"/>
      <c r="AD280" s="40"/>
      <c r="AE280" s="40"/>
      <c r="AF280" s="34"/>
      <c r="AH280" s="34"/>
    </row>
    <row r="281" spans="1:34" x14ac:dyDescent="0.25">
      <c r="A281" s="1">
        <v>278</v>
      </c>
      <c r="B281" s="25"/>
      <c r="C281" s="10"/>
      <c r="D281" s="1"/>
      <c r="E281" s="30"/>
      <c r="F281" s="1"/>
      <c r="G281" s="1"/>
      <c r="H281" s="1"/>
      <c r="I281" s="1"/>
      <c r="J281" s="1"/>
      <c r="K281" s="1"/>
      <c r="L281" s="1"/>
      <c r="M281" s="1"/>
      <c r="N281" s="1"/>
      <c r="O281" s="9"/>
      <c r="P281" s="7"/>
      <c r="Q281" s="7"/>
      <c r="R281" s="33"/>
      <c r="S281" s="33"/>
      <c r="T281" s="33"/>
      <c r="U281" s="7"/>
      <c r="V281" s="7"/>
      <c r="W281" s="33"/>
      <c r="X281" s="7"/>
      <c r="Y281" s="7"/>
      <c r="Z281" s="7"/>
      <c r="AA281" s="33"/>
      <c r="AB281" s="7"/>
      <c r="AC281" s="7"/>
      <c r="AD281" s="40"/>
      <c r="AE281" s="40"/>
      <c r="AF281" s="34"/>
      <c r="AH281" s="34"/>
    </row>
    <row r="282" spans="1:34" x14ac:dyDescent="0.25">
      <c r="A282" s="1">
        <v>279</v>
      </c>
      <c r="B282" s="25"/>
      <c r="C282" s="10"/>
      <c r="D282" s="1"/>
      <c r="E282" s="30"/>
      <c r="F282" s="1"/>
      <c r="G282" s="1"/>
      <c r="H282" s="1"/>
      <c r="I282" s="1"/>
      <c r="J282" s="1"/>
      <c r="K282" s="1"/>
      <c r="L282" s="1"/>
      <c r="M282" s="1"/>
      <c r="N282" s="1"/>
      <c r="O282" s="9"/>
      <c r="P282" s="7"/>
      <c r="Q282" s="7"/>
      <c r="R282" s="33"/>
      <c r="S282" s="33"/>
      <c r="T282" s="33"/>
      <c r="U282" s="7"/>
      <c r="V282" s="7"/>
      <c r="W282" s="33"/>
      <c r="X282" s="7"/>
      <c r="Y282" s="7"/>
      <c r="Z282" s="7"/>
      <c r="AA282" s="33"/>
      <c r="AB282" s="7"/>
      <c r="AC282" s="7"/>
      <c r="AD282" s="40"/>
      <c r="AE282" s="40"/>
      <c r="AF282" s="34"/>
      <c r="AH282" s="34"/>
    </row>
    <row r="283" spans="1:34" x14ac:dyDescent="0.25">
      <c r="A283" s="1">
        <v>280</v>
      </c>
      <c r="B283" s="25"/>
      <c r="C283" s="10"/>
      <c r="D283" s="1"/>
      <c r="E283" s="30"/>
      <c r="F283" s="1"/>
      <c r="G283" s="1"/>
      <c r="H283" s="1"/>
      <c r="I283" s="1"/>
      <c r="J283" s="1"/>
      <c r="K283" s="1"/>
      <c r="L283" s="1"/>
      <c r="M283" s="1"/>
      <c r="N283" s="1"/>
      <c r="O283" s="9"/>
      <c r="P283" s="7"/>
      <c r="Q283" s="7"/>
      <c r="R283" s="33"/>
      <c r="S283" s="33"/>
      <c r="T283" s="33"/>
      <c r="U283" s="7"/>
      <c r="V283" s="7"/>
      <c r="W283" s="33"/>
      <c r="X283" s="7"/>
      <c r="Y283" s="7"/>
      <c r="Z283" s="7"/>
      <c r="AA283" s="33"/>
      <c r="AB283" s="7"/>
      <c r="AC283" s="7"/>
      <c r="AD283" s="40"/>
      <c r="AE283" s="40"/>
      <c r="AF283" s="34"/>
      <c r="AH283" s="34"/>
    </row>
    <row r="284" spans="1:34" x14ac:dyDescent="0.25">
      <c r="A284" s="1">
        <v>281</v>
      </c>
      <c r="B284" s="25"/>
      <c r="C284" s="10"/>
      <c r="D284" s="1"/>
      <c r="E284" s="30"/>
      <c r="F284" s="1"/>
      <c r="G284" s="1"/>
      <c r="H284" s="1"/>
      <c r="I284" s="1"/>
      <c r="J284" s="1"/>
      <c r="K284" s="1"/>
      <c r="L284" s="1"/>
      <c r="M284" s="1"/>
      <c r="N284" s="1"/>
      <c r="O284" s="9"/>
      <c r="P284" s="7"/>
      <c r="Q284" s="7"/>
      <c r="R284" s="33"/>
      <c r="S284" s="33"/>
      <c r="T284" s="33"/>
      <c r="U284" s="7"/>
      <c r="V284" s="7"/>
      <c r="W284" s="33"/>
      <c r="X284" s="7"/>
      <c r="Y284" s="7"/>
      <c r="Z284" s="7"/>
      <c r="AA284" s="33"/>
      <c r="AB284" s="7"/>
      <c r="AC284" s="7"/>
      <c r="AD284" s="40"/>
      <c r="AE284" s="40"/>
      <c r="AF284" s="34"/>
      <c r="AH284" s="34"/>
    </row>
    <row r="285" spans="1:34" x14ac:dyDescent="0.25">
      <c r="A285" s="1">
        <v>282</v>
      </c>
      <c r="B285" s="25"/>
      <c r="C285" s="10"/>
      <c r="D285" s="1"/>
      <c r="E285" s="30"/>
      <c r="F285" s="1"/>
      <c r="G285" s="1"/>
      <c r="H285" s="1"/>
      <c r="I285" s="1"/>
      <c r="J285" s="1"/>
      <c r="K285" s="1"/>
      <c r="L285" s="1"/>
      <c r="M285" s="1"/>
      <c r="N285" s="1"/>
      <c r="O285" s="9"/>
      <c r="P285" s="7"/>
      <c r="Q285" s="7"/>
      <c r="R285" s="33"/>
      <c r="S285" s="33"/>
      <c r="T285" s="33"/>
      <c r="U285" s="7"/>
      <c r="V285" s="7"/>
      <c r="W285" s="33"/>
      <c r="X285" s="7"/>
      <c r="Y285" s="7"/>
      <c r="Z285" s="7"/>
      <c r="AA285" s="33"/>
      <c r="AB285" s="7"/>
      <c r="AC285" s="7"/>
      <c r="AD285" s="40"/>
      <c r="AE285" s="40"/>
      <c r="AF285" s="34"/>
      <c r="AH285" s="34"/>
    </row>
    <row r="286" spans="1:34" x14ac:dyDescent="0.25">
      <c r="A286" s="1">
        <v>283</v>
      </c>
      <c r="B286" s="25"/>
      <c r="C286" s="10"/>
      <c r="D286" s="1"/>
      <c r="E286" s="30"/>
      <c r="F286" s="1"/>
      <c r="G286" s="1"/>
      <c r="H286" s="1"/>
      <c r="I286" s="1"/>
      <c r="J286" s="1"/>
      <c r="K286" s="1"/>
      <c r="L286" s="1"/>
      <c r="M286" s="1"/>
      <c r="N286" s="1"/>
      <c r="O286" s="9"/>
      <c r="P286" s="7"/>
      <c r="Q286" s="7"/>
      <c r="R286" s="33"/>
      <c r="S286" s="33"/>
      <c r="T286" s="33"/>
      <c r="U286" s="7"/>
      <c r="V286" s="7"/>
      <c r="W286" s="33"/>
      <c r="X286" s="7"/>
      <c r="Y286" s="7"/>
      <c r="Z286" s="7"/>
      <c r="AA286" s="33"/>
      <c r="AB286" s="7"/>
      <c r="AC286" s="7"/>
      <c r="AD286" s="40"/>
      <c r="AE286" s="40"/>
      <c r="AF286" s="34"/>
      <c r="AH286" s="34"/>
    </row>
    <row r="287" spans="1:34" x14ac:dyDescent="0.25">
      <c r="A287" s="1">
        <v>284</v>
      </c>
      <c r="B287" s="25"/>
      <c r="C287" s="10"/>
      <c r="D287" s="1"/>
      <c r="E287" s="30"/>
      <c r="F287" s="1"/>
      <c r="G287" s="1"/>
      <c r="H287" s="1"/>
      <c r="I287" s="1"/>
      <c r="J287" s="1"/>
      <c r="K287" s="1"/>
      <c r="L287" s="1"/>
      <c r="M287" s="1"/>
      <c r="N287" s="1"/>
      <c r="O287" s="9"/>
      <c r="P287" s="7"/>
      <c r="Q287" s="7"/>
      <c r="R287" s="33"/>
      <c r="S287" s="33"/>
      <c r="T287" s="33"/>
      <c r="U287" s="7"/>
      <c r="V287" s="7"/>
      <c r="W287" s="33"/>
      <c r="X287" s="7"/>
      <c r="Y287" s="7"/>
      <c r="Z287" s="7"/>
      <c r="AA287" s="33"/>
      <c r="AB287" s="7"/>
      <c r="AC287" s="7"/>
      <c r="AD287" s="40"/>
      <c r="AE287" s="40"/>
      <c r="AF287" s="34"/>
      <c r="AH287" s="34"/>
    </row>
    <row r="288" spans="1:34" x14ac:dyDescent="0.25">
      <c r="A288" s="1">
        <v>285</v>
      </c>
      <c r="B288" s="25"/>
      <c r="C288" s="10"/>
      <c r="D288" s="1"/>
      <c r="E288" s="30"/>
      <c r="F288" s="1"/>
      <c r="G288" s="1"/>
      <c r="H288" s="1"/>
      <c r="I288" s="1"/>
      <c r="J288" s="1"/>
      <c r="K288" s="1"/>
      <c r="L288" s="1"/>
      <c r="M288" s="1"/>
      <c r="N288" s="1"/>
      <c r="O288" s="9"/>
      <c r="P288" s="7"/>
      <c r="Q288" s="7"/>
      <c r="R288" s="33"/>
      <c r="S288" s="33"/>
      <c r="T288" s="33"/>
      <c r="U288" s="7"/>
      <c r="V288" s="7"/>
      <c r="W288" s="33"/>
      <c r="X288" s="7"/>
      <c r="Y288" s="7"/>
      <c r="Z288" s="7"/>
      <c r="AA288" s="33"/>
      <c r="AB288" s="7"/>
      <c r="AC288" s="7"/>
      <c r="AD288" s="40"/>
      <c r="AE288" s="40"/>
      <c r="AF288" s="34"/>
      <c r="AH288" s="34"/>
    </row>
    <row r="289" spans="1:34" x14ac:dyDescent="0.25">
      <c r="A289" s="1">
        <v>286</v>
      </c>
      <c r="B289" s="25"/>
      <c r="C289" s="10"/>
      <c r="D289" s="1"/>
      <c r="E289" s="30"/>
      <c r="F289" s="1"/>
      <c r="G289" s="1"/>
      <c r="H289" s="1"/>
      <c r="I289" s="1"/>
      <c r="J289" s="1"/>
      <c r="K289" s="1"/>
      <c r="L289" s="1"/>
      <c r="M289" s="1"/>
      <c r="N289" s="1"/>
      <c r="O289" s="9"/>
      <c r="P289" s="7"/>
      <c r="Q289" s="7"/>
      <c r="R289" s="33"/>
      <c r="S289" s="33"/>
      <c r="T289" s="33"/>
      <c r="U289" s="7"/>
      <c r="V289" s="7"/>
      <c r="W289" s="33"/>
      <c r="X289" s="7"/>
      <c r="Y289" s="7"/>
      <c r="Z289" s="7"/>
      <c r="AA289" s="33"/>
      <c r="AB289" s="7"/>
      <c r="AC289" s="7"/>
      <c r="AD289" s="40"/>
      <c r="AE289" s="40"/>
      <c r="AF289" s="34"/>
      <c r="AH289" s="34"/>
    </row>
    <row r="290" spans="1:34" x14ac:dyDescent="0.25">
      <c r="A290" s="1">
        <v>287</v>
      </c>
      <c r="B290" s="25"/>
      <c r="C290" s="10"/>
      <c r="D290" s="1"/>
      <c r="E290" s="30"/>
      <c r="F290" s="1"/>
      <c r="G290" s="1"/>
      <c r="H290" s="1"/>
      <c r="I290" s="1"/>
      <c r="J290" s="1"/>
      <c r="K290" s="1"/>
      <c r="L290" s="1"/>
      <c r="M290" s="1"/>
      <c r="N290" s="1"/>
      <c r="O290" s="9"/>
      <c r="P290" s="7"/>
      <c r="Q290" s="7"/>
      <c r="R290" s="33"/>
      <c r="S290" s="33"/>
      <c r="T290" s="33"/>
      <c r="U290" s="7"/>
      <c r="V290" s="7"/>
      <c r="W290" s="33"/>
      <c r="X290" s="7"/>
      <c r="Y290" s="7"/>
      <c r="Z290" s="7"/>
      <c r="AA290" s="33"/>
      <c r="AB290" s="7"/>
      <c r="AC290" s="7"/>
      <c r="AD290" s="40"/>
      <c r="AE290" s="40"/>
      <c r="AF290" s="34"/>
      <c r="AH290" s="34"/>
    </row>
    <row r="291" spans="1:34" x14ac:dyDescent="0.25">
      <c r="A291" s="1">
        <v>288</v>
      </c>
      <c r="B291" s="25"/>
      <c r="C291" s="10"/>
      <c r="D291" s="1"/>
      <c r="E291" s="30"/>
      <c r="F291" s="1"/>
      <c r="G291" s="1"/>
      <c r="H291" s="1"/>
      <c r="I291" s="1"/>
      <c r="J291" s="1"/>
      <c r="K291" s="1"/>
      <c r="L291" s="1"/>
      <c r="M291" s="1"/>
      <c r="N291" s="1"/>
      <c r="O291" s="9"/>
      <c r="P291" s="7"/>
      <c r="Q291" s="7"/>
      <c r="R291" s="33"/>
      <c r="S291" s="33"/>
      <c r="T291" s="33"/>
      <c r="U291" s="7"/>
      <c r="V291" s="7"/>
      <c r="W291" s="33"/>
      <c r="X291" s="7"/>
      <c r="Y291" s="7"/>
      <c r="Z291" s="7"/>
      <c r="AA291" s="33"/>
      <c r="AB291" s="7"/>
      <c r="AC291" s="7"/>
      <c r="AD291" s="40"/>
      <c r="AE291" s="40"/>
      <c r="AF291" s="34"/>
      <c r="AH291" s="34"/>
    </row>
    <row r="292" spans="1:34" x14ac:dyDescent="0.25">
      <c r="A292" s="1">
        <v>289</v>
      </c>
      <c r="B292" s="25"/>
      <c r="C292" s="10"/>
      <c r="D292" s="1"/>
      <c r="E292" s="30"/>
      <c r="F292" s="1"/>
      <c r="G292" s="1"/>
      <c r="H292" s="1"/>
      <c r="I292" s="1"/>
      <c r="J292" s="1"/>
      <c r="K292" s="1"/>
      <c r="L292" s="1"/>
      <c r="M292" s="1"/>
      <c r="N292" s="1"/>
      <c r="O292" s="9"/>
      <c r="P292" s="7"/>
      <c r="Q292" s="7"/>
      <c r="R292" s="33"/>
      <c r="S292" s="33"/>
      <c r="T292" s="33"/>
      <c r="U292" s="7"/>
      <c r="V292" s="7"/>
      <c r="W292" s="33"/>
      <c r="X292" s="7"/>
      <c r="Y292" s="7"/>
      <c r="Z292" s="7"/>
      <c r="AA292" s="33"/>
      <c r="AB292" s="7"/>
      <c r="AC292" s="7"/>
      <c r="AD292" s="40"/>
      <c r="AE292" s="40"/>
      <c r="AF292" s="34"/>
      <c r="AH292" s="34"/>
    </row>
    <row r="293" spans="1:34" x14ac:dyDescent="0.25">
      <c r="A293" s="1">
        <v>290</v>
      </c>
      <c r="B293" s="25"/>
      <c r="C293" s="10"/>
      <c r="D293" s="1"/>
      <c r="E293" s="30"/>
      <c r="F293" s="1"/>
      <c r="G293" s="1"/>
      <c r="H293" s="1"/>
      <c r="I293" s="1"/>
      <c r="J293" s="1"/>
      <c r="K293" s="1"/>
      <c r="L293" s="1"/>
      <c r="M293" s="1"/>
      <c r="N293" s="1"/>
      <c r="O293" s="9"/>
      <c r="P293" s="7"/>
      <c r="Q293" s="7"/>
      <c r="R293" s="33"/>
      <c r="S293" s="33"/>
      <c r="T293" s="33"/>
      <c r="U293" s="7"/>
      <c r="V293" s="7"/>
      <c r="W293" s="33"/>
      <c r="X293" s="7"/>
      <c r="Y293" s="7"/>
      <c r="Z293" s="7"/>
      <c r="AA293" s="33"/>
      <c r="AB293" s="7"/>
      <c r="AC293" s="7"/>
      <c r="AD293" s="40"/>
      <c r="AE293" s="40"/>
      <c r="AF293" s="34"/>
      <c r="AH293" s="34"/>
    </row>
    <row r="294" spans="1:34" x14ac:dyDescent="0.25">
      <c r="A294" s="1">
        <v>291</v>
      </c>
      <c r="B294" s="25"/>
      <c r="C294" s="10"/>
      <c r="D294" s="1"/>
      <c r="E294" s="30"/>
      <c r="F294" s="1"/>
      <c r="G294" s="1"/>
      <c r="H294" s="1"/>
      <c r="I294" s="1"/>
      <c r="J294" s="1"/>
      <c r="K294" s="1"/>
      <c r="L294" s="1"/>
      <c r="M294" s="1"/>
      <c r="N294" s="1"/>
      <c r="O294" s="9"/>
      <c r="P294" s="7"/>
      <c r="Q294" s="7"/>
      <c r="R294" s="33"/>
      <c r="S294" s="33"/>
      <c r="T294" s="33"/>
      <c r="U294" s="7"/>
      <c r="V294" s="7"/>
      <c r="W294" s="33"/>
      <c r="X294" s="7"/>
      <c r="Y294" s="7"/>
      <c r="Z294" s="7"/>
      <c r="AA294" s="33"/>
      <c r="AB294" s="7"/>
      <c r="AC294" s="7"/>
      <c r="AD294" s="40"/>
      <c r="AE294" s="40"/>
      <c r="AF294" s="34"/>
      <c r="AH294" s="34"/>
    </row>
    <row r="295" spans="1:34" x14ac:dyDescent="0.25">
      <c r="A295" s="1">
        <v>292</v>
      </c>
      <c r="B295" s="25"/>
      <c r="C295" s="10"/>
      <c r="D295" s="1"/>
      <c r="E295" s="30"/>
      <c r="F295" s="1"/>
      <c r="G295" s="1"/>
      <c r="H295" s="1"/>
      <c r="I295" s="1"/>
      <c r="J295" s="1"/>
      <c r="K295" s="1"/>
      <c r="L295" s="1"/>
      <c r="M295" s="1"/>
      <c r="N295" s="1"/>
      <c r="O295" s="9"/>
      <c r="P295" s="7"/>
      <c r="Q295" s="7"/>
      <c r="R295" s="33"/>
      <c r="S295" s="33"/>
      <c r="T295" s="33"/>
      <c r="U295" s="7"/>
      <c r="V295" s="7"/>
      <c r="W295" s="33"/>
      <c r="X295" s="7"/>
      <c r="Y295" s="7"/>
      <c r="Z295" s="7"/>
      <c r="AA295" s="33"/>
      <c r="AB295" s="7"/>
      <c r="AC295" s="7"/>
      <c r="AD295" s="40"/>
      <c r="AE295" s="40"/>
      <c r="AF295" s="34"/>
      <c r="AH295" s="34"/>
    </row>
    <row r="296" spans="1:34" x14ac:dyDescent="0.25">
      <c r="A296" s="1">
        <v>293</v>
      </c>
      <c r="B296" s="25"/>
      <c r="C296" s="10"/>
      <c r="D296" s="1"/>
      <c r="E296" s="30"/>
      <c r="F296" s="1"/>
      <c r="G296" s="1"/>
      <c r="H296" s="1"/>
      <c r="I296" s="1"/>
      <c r="J296" s="1"/>
      <c r="K296" s="1"/>
      <c r="L296" s="1"/>
      <c r="M296" s="1"/>
      <c r="N296" s="1"/>
      <c r="O296" s="9"/>
      <c r="P296" s="7"/>
      <c r="Q296" s="7"/>
      <c r="R296" s="33"/>
      <c r="S296" s="33"/>
      <c r="T296" s="33"/>
      <c r="U296" s="7"/>
      <c r="V296" s="7"/>
      <c r="W296" s="33"/>
      <c r="X296" s="7"/>
      <c r="Y296" s="7"/>
      <c r="Z296" s="7"/>
      <c r="AA296" s="33"/>
      <c r="AB296" s="7"/>
      <c r="AC296" s="7"/>
      <c r="AD296" s="40"/>
      <c r="AE296" s="40"/>
      <c r="AF296" s="34"/>
      <c r="AH296" s="34"/>
    </row>
    <row r="297" spans="1:34" x14ac:dyDescent="0.25">
      <c r="A297" s="1">
        <v>294</v>
      </c>
      <c r="B297" s="25"/>
      <c r="C297" s="10"/>
      <c r="D297" s="1"/>
      <c r="E297" s="30"/>
      <c r="F297" s="1"/>
      <c r="G297" s="1"/>
      <c r="H297" s="1"/>
      <c r="I297" s="1"/>
      <c r="J297" s="1"/>
      <c r="K297" s="1"/>
      <c r="L297" s="1"/>
      <c r="M297" s="1"/>
      <c r="N297" s="1"/>
      <c r="O297" s="9"/>
      <c r="P297" s="7"/>
      <c r="Q297" s="7"/>
      <c r="R297" s="33"/>
      <c r="S297" s="33"/>
      <c r="T297" s="33"/>
      <c r="U297" s="7"/>
      <c r="V297" s="7"/>
      <c r="W297" s="33"/>
      <c r="X297" s="7"/>
      <c r="Y297" s="7"/>
      <c r="Z297" s="7"/>
      <c r="AA297" s="33"/>
      <c r="AB297" s="7"/>
      <c r="AC297" s="7"/>
      <c r="AD297" s="40"/>
      <c r="AE297" s="40"/>
      <c r="AF297" s="34"/>
      <c r="AH297" s="34"/>
    </row>
    <row r="298" spans="1:34" x14ac:dyDescent="0.25">
      <c r="A298" s="1">
        <v>295</v>
      </c>
      <c r="B298" s="25"/>
      <c r="C298" s="10"/>
      <c r="D298" s="1"/>
      <c r="E298" s="30"/>
      <c r="F298" s="1"/>
      <c r="G298" s="1"/>
      <c r="H298" s="1"/>
      <c r="I298" s="1"/>
      <c r="J298" s="1"/>
      <c r="K298" s="1"/>
      <c r="L298" s="1"/>
      <c r="M298" s="1"/>
      <c r="N298" s="1"/>
      <c r="O298" s="9"/>
      <c r="P298" s="7"/>
      <c r="Q298" s="7"/>
      <c r="R298" s="33"/>
      <c r="S298" s="33"/>
      <c r="T298" s="33"/>
      <c r="U298" s="7"/>
      <c r="V298" s="7"/>
      <c r="W298" s="33"/>
      <c r="X298" s="7"/>
      <c r="Y298" s="7"/>
      <c r="Z298" s="7"/>
      <c r="AA298" s="33"/>
      <c r="AB298" s="7"/>
      <c r="AC298" s="7"/>
      <c r="AD298" s="40"/>
      <c r="AE298" s="40"/>
      <c r="AF298" s="34"/>
      <c r="AH298" s="34"/>
    </row>
    <row r="299" spans="1:34" x14ac:dyDescent="0.25">
      <c r="A299" s="1">
        <v>296</v>
      </c>
      <c r="B299" s="25"/>
      <c r="C299" s="10"/>
      <c r="D299" s="1"/>
      <c r="E299" s="30"/>
      <c r="F299" s="1"/>
      <c r="G299" s="1"/>
      <c r="H299" s="1"/>
      <c r="I299" s="1"/>
      <c r="J299" s="1"/>
      <c r="K299" s="1"/>
      <c r="L299" s="1"/>
      <c r="M299" s="1"/>
      <c r="N299" s="1"/>
      <c r="O299" s="9"/>
      <c r="P299" s="7"/>
      <c r="Q299" s="7"/>
      <c r="R299" s="33"/>
      <c r="S299" s="33"/>
      <c r="T299" s="33"/>
      <c r="U299" s="7"/>
      <c r="V299" s="7"/>
      <c r="W299" s="33"/>
      <c r="X299" s="7"/>
      <c r="Y299" s="7"/>
      <c r="Z299" s="7"/>
      <c r="AA299" s="33"/>
      <c r="AB299" s="7"/>
      <c r="AC299" s="7"/>
      <c r="AD299" s="40"/>
      <c r="AE299" s="40"/>
      <c r="AF299" s="34"/>
      <c r="AH299" s="34"/>
    </row>
    <row r="300" spans="1:34" x14ac:dyDescent="0.25">
      <c r="A300" s="1">
        <v>297</v>
      </c>
      <c r="B300" s="25"/>
      <c r="C300" s="10"/>
      <c r="D300" s="1"/>
      <c r="E300" s="30"/>
      <c r="F300" s="1"/>
      <c r="G300" s="1"/>
      <c r="H300" s="1"/>
      <c r="I300" s="1"/>
      <c r="J300" s="1"/>
      <c r="K300" s="1"/>
      <c r="L300" s="1"/>
      <c r="M300" s="1"/>
      <c r="N300" s="1"/>
      <c r="O300" s="9"/>
      <c r="P300" s="7"/>
      <c r="Q300" s="7"/>
      <c r="R300" s="33"/>
      <c r="S300" s="33"/>
      <c r="T300" s="33"/>
      <c r="U300" s="7"/>
      <c r="V300" s="7"/>
      <c r="W300" s="33"/>
      <c r="X300" s="7"/>
      <c r="Y300" s="7"/>
      <c r="Z300" s="7"/>
      <c r="AA300" s="33"/>
      <c r="AB300" s="7"/>
      <c r="AC300" s="7"/>
      <c r="AD300" s="40"/>
      <c r="AE300" s="40"/>
      <c r="AF300" s="34"/>
      <c r="AH300" s="34"/>
    </row>
    <row r="301" spans="1:34" x14ac:dyDescent="0.25">
      <c r="A301" s="1">
        <v>298</v>
      </c>
      <c r="B301" s="25"/>
      <c r="C301" s="10"/>
      <c r="D301" s="1"/>
      <c r="E301" s="30"/>
      <c r="F301" s="1"/>
      <c r="G301" s="1"/>
      <c r="H301" s="1"/>
      <c r="I301" s="1"/>
      <c r="J301" s="1"/>
      <c r="K301" s="1"/>
      <c r="L301" s="1"/>
      <c r="M301" s="1"/>
      <c r="N301" s="1"/>
      <c r="O301" s="9"/>
      <c r="P301" s="7"/>
      <c r="Q301" s="7"/>
      <c r="R301" s="33"/>
      <c r="S301" s="33"/>
      <c r="T301" s="33"/>
      <c r="U301" s="7"/>
      <c r="V301" s="7"/>
      <c r="W301" s="33"/>
      <c r="X301" s="7"/>
      <c r="Y301" s="7"/>
      <c r="Z301" s="7"/>
      <c r="AA301" s="33"/>
      <c r="AB301" s="7"/>
      <c r="AC301" s="7"/>
      <c r="AD301" s="40"/>
      <c r="AE301" s="40"/>
      <c r="AF301" s="34"/>
      <c r="AH301" s="34"/>
    </row>
    <row r="302" spans="1:34" x14ac:dyDescent="0.25">
      <c r="A302" s="1">
        <v>299</v>
      </c>
      <c r="B302" s="25"/>
      <c r="C302" s="10"/>
      <c r="D302" s="1"/>
      <c r="E302" s="30"/>
      <c r="F302" s="1"/>
      <c r="G302" s="1"/>
      <c r="H302" s="1"/>
      <c r="I302" s="1"/>
      <c r="J302" s="1"/>
      <c r="K302" s="1"/>
      <c r="L302" s="1"/>
      <c r="M302" s="1"/>
      <c r="N302" s="1"/>
      <c r="O302" s="9"/>
      <c r="P302" s="7"/>
      <c r="Q302" s="7"/>
      <c r="R302" s="33"/>
      <c r="S302" s="33"/>
      <c r="T302" s="33"/>
      <c r="U302" s="7"/>
      <c r="V302" s="7"/>
      <c r="W302" s="33"/>
      <c r="X302" s="7"/>
      <c r="Y302" s="7"/>
      <c r="Z302" s="7"/>
      <c r="AA302" s="33"/>
      <c r="AB302" s="7"/>
      <c r="AC302" s="7"/>
      <c r="AD302" s="40"/>
      <c r="AE302" s="40"/>
      <c r="AF302" s="34"/>
      <c r="AH302" s="34"/>
    </row>
    <row r="303" spans="1:34" x14ac:dyDescent="0.25">
      <c r="A303" s="1">
        <v>300</v>
      </c>
      <c r="B303" s="25"/>
      <c r="C303" s="10"/>
      <c r="D303" s="1"/>
      <c r="E303" s="30"/>
      <c r="F303" s="1"/>
      <c r="G303" s="1"/>
      <c r="H303" s="1"/>
      <c r="I303" s="1"/>
      <c r="J303" s="1"/>
      <c r="K303" s="1"/>
      <c r="L303" s="1"/>
      <c r="M303" s="1"/>
      <c r="N303" s="1"/>
      <c r="O303" s="9"/>
      <c r="P303" s="7"/>
      <c r="Q303" s="7"/>
      <c r="R303" s="33"/>
      <c r="S303" s="33"/>
      <c r="T303" s="33"/>
      <c r="U303" s="7"/>
      <c r="V303" s="7"/>
      <c r="W303" s="33"/>
      <c r="X303" s="7"/>
      <c r="Y303" s="7"/>
      <c r="Z303" s="7"/>
      <c r="AA303" s="33"/>
      <c r="AB303" s="7"/>
      <c r="AC303" s="7"/>
      <c r="AD303" s="40"/>
      <c r="AE303" s="40"/>
      <c r="AF303" s="34"/>
      <c r="AH303" s="34"/>
    </row>
    <row r="304" spans="1:34" x14ac:dyDescent="0.25">
      <c r="A304" s="1">
        <v>301</v>
      </c>
      <c r="B304" s="25"/>
      <c r="C304" s="10"/>
      <c r="D304" s="1"/>
      <c r="E304" s="30"/>
      <c r="F304" s="1"/>
      <c r="G304" s="1"/>
      <c r="H304" s="1"/>
      <c r="I304" s="1"/>
      <c r="J304" s="1"/>
      <c r="K304" s="1"/>
      <c r="L304" s="1"/>
      <c r="M304" s="1"/>
      <c r="N304" s="1"/>
      <c r="O304" s="9"/>
      <c r="P304" s="7"/>
      <c r="Q304" s="7"/>
      <c r="R304" s="33"/>
      <c r="S304" s="33"/>
      <c r="T304" s="33"/>
      <c r="U304" s="7"/>
      <c r="V304" s="7"/>
      <c r="W304" s="33"/>
      <c r="X304" s="7"/>
      <c r="Y304" s="7"/>
      <c r="Z304" s="7"/>
      <c r="AA304" s="33"/>
      <c r="AB304" s="7"/>
      <c r="AC304" s="7"/>
      <c r="AD304" s="40"/>
      <c r="AE304" s="40"/>
      <c r="AF304" s="34"/>
      <c r="AH304" s="34"/>
    </row>
    <row r="305" spans="1:34" x14ac:dyDescent="0.25">
      <c r="A305" s="1">
        <v>302</v>
      </c>
      <c r="B305" s="25"/>
      <c r="C305" s="10"/>
      <c r="D305" s="1"/>
      <c r="E305" s="30"/>
      <c r="F305" s="1"/>
      <c r="G305" s="1"/>
      <c r="H305" s="1"/>
      <c r="I305" s="1"/>
      <c r="J305" s="1"/>
      <c r="K305" s="1"/>
      <c r="L305" s="1"/>
      <c r="M305" s="1"/>
      <c r="N305" s="1"/>
      <c r="O305" s="9"/>
      <c r="P305" s="7"/>
      <c r="Q305" s="7"/>
      <c r="R305" s="33"/>
      <c r="S305" s="33"/>
      <c r="T305" s="33"/>
      <c r="U305" s="7"/>
      <c r="V305" s="7"/>
      <c r="W305" s="33"/>
      <c r="X305" s="7"/>
      <c r="Y305" s="7"/>
      <c r="Z305" s="7"/>
      <c r="AA305" s="33"/>
      <c r="AB305" s="7"/>
      <c r="AC305" s="7"/>
      <c r="AD305" s="40"/>
      <c r="AE305" s="40"/>
      <c r="AF305" s="34"/>
      <c r="AH305" s="34"/>
    </row>
    <row r="306" spans="1:34" x14ac:dyDescent="0.25">
      <c r="B306" s="39"/>
    </row>
    <row r="307" spans="1:34" x14ac:dyDescent="0.25">
      <c r="B307" s="39"/>
    </row>
    <row r="308" spans="1:34" x14ac:dyDescent="0.25">
      <c r="B308" s="39"/>
    </row>
    <row r="309" spans="1:34" x14ac:dyDescent="0.25">
      <c r="B309" s="39"/>
    </row>
    <row r="310" spans="1:34" x14ac:dyDescent="0.25">
      <c r="B310" s="39"/>
    </row>
    <row r="311" spans="1:34" x14ac:dyDescent="0.25">
      <c r="B311" s="39"/>
    </row>
    <row r="312" spans="1:34" x14ac:dyDescent="0.25">
      <c r="B312" s="39"/>
    </row>
    <row r="313" spans="1:34" x14ac:dyDescent="0.25">
      <c r="B313" s="39"/>
    </row>
    <row r="314" spans="1:34" x14ac:dyDescent="0.25">
      <c r="B314" s="39"/>
    </row>
    <row r="315" spans="1:34" x14ac:dyDescent="0.25">
      <c r="B315" s="39"/>
    </row>
    <row r="316" spans="1:34" x14ac:dyDescent="0.25">
      <c r="B316" s="39"/>
    </row>
    <row r="317" spans="1:34" x14ac:dyDescent="0.25">
      <c r="B317" s="39"/>
    </row>
    <row r="318" spans="1:34" x14ac:dyDescent="0.25">
      <c r="B318" s="39"/>
    </row>
    <row r="319" spans="1:34" x14ac:dyDescent="0.25">
      <c r="B319" s="39"/>
    </row>
    <row r="320" spans="1:34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305"/>
  <mergeCells count="4">
    <mergeCell ref="B1:C2"/>
    <mergeCell ref="T2:U2"/>
    <mergeCell ref="V2:Y2"/>
    <mergeCell ref="Z2:AC2"/>
  </mergeCells>
  <dataValidations count="1">
    <dataValidation type="list" allowBlank="1" showInputMessage="1" showErrorMessage="1" sqref="A2 G2:H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earcall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1777"/>
  <sheetViews>
    <sheetView topLeftCell="A1756" workbookViewId="0">
      <selection activeCell="B2" sqref="B2"/>
    </sheetView>
  </sheetViews>
  <sheetFormatPr defaultRowHeight="15" x14ac:dyDescent="0.25"/>
  <sheetData>
    <row r="2" spans="2:2" x14ac:dyDescent="0.25">
      <c r="B2" t="s">
        <v>24</v>
      </c>
    </row>
    <row r="3" spans="2:2" x14ac:dyDescent="0.25">
      <c r="B3" t="e">
        <f ca="1">mrigxl_stocklist()</f>
        <v>#NAME?</v>
      </c>
    </row>
    <row r="4" spans="2:2" x14ac:dyDescent="0.25">
      <c r="B4" t="s">
        <v>1726</v>
      </c>
    </row>
    <row r="5" spans="2:2" x14ac:dyDescent="0.25">
      <c r="B5" t="s">
        <v>933</v>
      </c>
    </row>
    <row r="6" spans="2:2" x14ac:dyDescent="0.25">
      <c r="B6" t="s">
        <v>1475</v>
      </c>
    </row>
    <row r="7" spans="2:2" x14ac:dyDescent="0.25">
      <c r="B7" t="s">
        <v>1353</v>
      </c>
    </row>
    <row r="8" spans="2:2" x14ac:dyDescent="0.25">
      <c r="B8" t="s">
        <v>547</v>
      </c>
    </row>
    <row r="9" spans="2:2" x14ac:dyDescent="0.25">
      <c r="B9" t="s">
        <v>16</v>
      </c>
    </row>
    <row r="10" spans="2:2" x14ac:dyDescent="0.25">
      <c r="B10" t="s">
        <v>486</v>
      </c>
    </row>
    <row r="11" spans="2:2" x14ac:dyDescent="0.25">
      <c r="B11" t="s">
        <v>1213</v>
      </c>
    </row>
    <row r="12" spans="2:2" x14ac:dyDescent="0.25">
      <c r="B12" t="s">
        <v>929</v>
      </c>
    </row>
    <row r="13" spans="2:2" x14ac:dyDescent="0.25">
      <c r="B13" t="s">
        <v>92</v>
      </c>
    </row>
    <row r="14" spans="2:2" x14ac:dyDescent="0.25">
      <c r="B14" t="s">
        <v>166</v>
      </c>
    </row>
    <row r="15" spans="2:2" x14ac:dyDescent="0.25">
      <c r="B15" t="s">
        <v>1505</v>
      </c>
    </row>
    <row r="16" spans="2:2" x14ac:dyDescent="0.25">
      <c r="B16" t="s">
        <v>270</v>
      </c>
    </row>
    <row r="17" spans="2:2" x14ac:dyDescent="0.25">
      <c r="B17" t="s">
        <v>718</v>
      </c>
    </row>
    <row r="18" spans="2:2" x14ac:dyDescent="0.25">
      <c r="B18" t="s">
        <v>118</v>
      </c>
    </row>
    <row r="19" spans="2:2" x14ac:dyDescent="0.25">
      <c r="B19" t="s">
        <v>1425</v>
      </c>
    </row>
    <row r="20" spans="2:2" x14ac:dyDescent="0.25">
      <c r="B20" t="s">
        <v>1021</v>
      </c>
    </row>
    <row r="21" spans="2:2" x14ac:dyDescent="0.25">
      <c r="B21" t="s">
        <v>947</v>
      </c>
    </row>
    <row r="22" spans="2:2" x14ac:dyDescent="0.25">
      <c r="B22" t="s">
        <v>711</v>
      </c>
    </row>
    <row r="23" spans="2:2" x14ac:dyDescent="0.25">
      <c r="B23" t="s">
        <v>1564</v>
      </c>
    </row>
    <row r="24" spans="2:2" x14ac:dyDescent="0.25">
      <c r="B24" t="s">
        <v>1283</v>
      </c>
    </row>
    <row r="25" spans="2:2" x14ac:dyDescent="0.25">
      <c r="B25" t="s">
        <v>984</v>
      </c>
    </row>
    <row r="26" spans="2:2" x14ac:dyDescent="0.25">
      <c r="B26" t="s">
        <v>1248</v>
      </c>
    </row>
    <row r="27" spans="2:2" x14ac:dyDescent="0.25">
      <c r="B27" t="s">
        <v>918</v>
      </c>
    </row>
    <row r="28" spans="2:2" x14ac:dyDescent="0.25">
      <c r="B28" t="s">
        <v>1097</v>
      </c>
    </row>
    <row r="29" spans="2:2" x14ac:dyDescent="0.25">
      <c r="B29" t="s">
        <v>965</v>
      </c>
    </row>
    <row r="30" spans="2:2" x14ac:dyDescent="0.25">
      <c r="B30" t="s">
        <v>1638</v>
      </c>
    </row>
    <row r="31" spans="2:2" x14ac:dyDescent="0.25">
      <c r="B31" t="s">
        <v>1166</v>
      </c>
    </row>
    <row r="32" spans="2:2" x14ac:dyDescent="0.25">
      <c r="B32" t="s">
        <v>640</v>
      </c>
    </row>
    <row r="33" spans="2:2" x14ac:dyDescent="0.25">
      <c r="B33" t="s">
        <v>1456</v>
      </c>
    </row>
    <row r="34" spans="2:2" x14ac:dyDescent="0.25">
      <c r="B34" t="s">
        <v>837</v>
      </c>
    </row>
    <row r="35" spans="2:2" x14ac:dyDescent="0.25">
      <c r="B35" t="s">
        <v>1540</v>
      </c>
    </row>
    <row r="36" spans="2:2" x14ac:dyDescent="0.25">
      <c r="B36" t="s">
        <v>977</v>
      </c>
    </row>
    <row r="37" spans="2:2" x14ac:dyDescent="0.25">
      <c r="B37" t="s">
        <v>859</v>
      </c>
    </row>
    <row r="38" spans="2:2" x14ac:dyDescent="0.25">
      <c r="B38" t="s">
        <v>846</v>
      </c>
    </row>
    <row r="39" spans="2:2" x14ac:dyDescent="0.25">
      <c r="B39" t="s">
        <v>537</v>
      </c>
    </row>
    <row r="40" spans="2:2" x14ac:dyDescent="0.25">
      <c r="B40" t="s">
        <v>1709</v>
      </c>
    </row>
    <row r="41" spans="2:2" x14ac:dyDescent="0.25">
      <c r="B41" t="s">
        <v>188</v>
      </c>
    </row>
    <row r="42" spans="2:2" x14ac:dyDescent="0.25">
      <c r="B42" t="s">
        <v>329</v>
      </c>
    </row>
    <row r="43" spans="2:2" x14ac:dyDescent="0.25">
      <c r="B43" t="s">
        <v>1332</v>
      </c>
    </row>
    <row r="44" spans="2:2" x14ac:dyDescent="0.25">
      <c r="B44" t="s">
        <v>1020</v>
      </c>
    </row>
    <row r="45" spans="2:2" x14ac:dyDescent="0.25">
      <c r="B45" t="s">
        <v>1517</v>
      </c>
    </row>
    <row r="46" spans="2:2" x14ac:dyDescent="0.25">
      <c r="B46" t="s">
        <v>1080</v>
      </c>
    </row>
    <row r="47" spans="2:2" x14ac:dyDescent="0.25">
      <c r="B47" t="s">
        <v>681</v>
      </c>
    </row>
    <row r="48" spans="2:2" x14ac:dyDescent="0.25">
      <c r="B48" t="s">
        <v>124</v>
      </c>
    </row>
    <row r="49" spans="2:2" x14ac:dyDescent="0.25">
      <c r="B49" t="s">
        <v>484</v>
      </c>
    </row>
    <row r="50" spans="2:2" x14ac:dyDescent="0.25">
      <c r="B50" t="s">
        <v>127</v>
      </c>
    </row>
    <row r="51" spans="2:2" x14ac:dyDescent="0.25">
      <c r="B51" t="s">
        <v>426</v>
      </c>
    </row>
    <row r="52" spans="2:2" x14ac:dyDescent="0.25">
      <c r="B52" t="s">
        <v>1389</v>
      </c>
    </row>
    <row r="53" spans="2:2" x14ac:dyDescent="0.25">
      <c r="B53" t="s">
        <v>1394</v>
      </c>
    </row>
    <row r="54" spans="2:2" x14ac:dyDescent="0.25">
      <c r="B54" t="s">
        <v>9</v>
      </c>
    </row>
    <row r="55" spans="2:2" x14ac:dyDescent="0.25">
      <c r="B55" t="s">
        <v>1507</v>
      </c>
    </row>
    <row r="56" spans="2:2" x14ac:dyDescent="0.25">
      <c r="B56" t="s">
        <v>1372</v>
      </c>
    </row>
    <row r="57" spans="2:2" x14ac:dyDescent="0.25">
      <c r="B57" t="s">
        <v>526</v>
      </c>
    </row>
    <row r="58" spans="2:2" x14ac:dyDescent="0.25">
      <c r="B58" t="s">
        <v>1008</v>
      </c>
    </row>
    <row r="59" spans="2:2" x14ac:dyDescent="0.25">
      <c r="B59" t="s">
        <v>1644</v>
      </c>
    </row>
    <row r="60" spans="2:2" x14ac:dyDescent="0.25">
      <c r="B60" t="s">
        <v>106</v>
      </c>
    </row>
    <row r="61" spans="2:2" x14ac:dyDescent="0.25">
      <c r="B61" t="s">
        <v>1117</v>
      </c>
    </row>
    <row r="62" spans="2:2" x14ac:dyDescent="0.25">
      <c r="B62" t="s">
        <v>52</v>
      </c>
    </row>
    <row r="63" spans="2:2" x14ac:dyDescent="0.25">
      <c r="B63" t="s">
        <v>879</v>
      </c>
    </row>
    <row r="64" spans="2:2" x14ac:dyDescent="0.25">
      <c r="B64" t="s">
        <v>1110</v>
      </c>
    </row>
    <row r="65" spans="2:2" x14ac:dyDescent="0.25">
      <c r="B65" t="s">
        <v>606</v>
      </c>
    </row>
    <row r="66" spans="2:2" x14ac:dyDescent="0.25">
      <c r="B66" t="s">
        <v>1684</v>
      </c>
    </row>
    <row r="67" spans="2:2" x14ac:dyDescent="0.25">
      <c r="B67" t="s">
        <v>1571</v>
      </c>
    </row>
    <row r="68" spans="2:2" x14ac:dyDescent="0.25">
      <c r="B68" t="s">
        <v>265</v>
      </c>
    </row>
    <row r="69" spans="2:2" x14ac:dyDescent="0.25">
      <c r="B69" t="s">
        <v>1740</v>
      </c>
    </row>
    <row r="70" spans="2:2" x14ac:dyDescent="0.25">
      <c r="B70" t="s">
        <v>1344</v>
      </c>
    </row>
    <row r="71" spans="2:2" x14ac:dyDescent="0.25">
      <c r="B71" t="s">
        <v>42</v>
      </c>
    </row>
    <row r="72" spans="2:2" x14ac:dyDescent="0.25">
      <c r="B72" t="s">
        <v>737</v>
      </c>
    </row>
    <row r="73" spans="2:2" x14ac:dyDescent="0.25">
      <c r="B73" t="s">
        <v>1260</v>
      </c>
    </row>
    <row r="74" spans="2:2" x14ac:dyDescent="0.25">
      <c r="B74" t="s">
        <v>492</v>
      </c>
    </row>
    <row r="75" spans="2:2" x14ac:dyDescent="0.25">
      <c r="B75" t="s">
        <v>1082</v>
      </c>
    </row>
    <row r="76" spans="2:2" x14ac:dyDescent="0.25">
      <c r="B76" t="s">
        <v>1502</v>
      </c>
    </row>
    <row r="77" spans="2:2" x14ac:dyDescent="0.25">
      <c r="B77" t="s">
        <v>132</v>
      </c>
    </row>
    <row r="78" spans="2:2" x14ac:dyDescent="0.25">
      <c r="B78" t="s">
        <v>1364</v>
      </c>
    </row>
    <row r="79" spans="2:2" x14ac:dyDescent="0.25">
      <c r="B79" t="s">
        <v>1208</v>
      </c>
    </row>
    <row r="80" spans="2:2" x14ac:dyDescent="0.25">
      <c r="B80" t="s">
        <v>829</v>
      </c>
    </row>
    <row r="81" spans="2:2" x14ac:dyDescent="0.25">
      <c r="B81" t="s">
        <v>875</v>
      </c>
    </row>
    <row r="82" spans="2:2" x14ac:dyDescent="0.25">
      <c r="B82" t="s">
        <v>819</v>
      </c>
    </row>
    <row r="83" spans="2:2" x14ac:dyDescent="0.25">
      <c r="B83" t="s">
        <v>798</v>
      </c>
    </row>
    <row r="84" spans="2:2" x14ac:dyDescent="0.25">
      <c r="B84" t="s">
        <v>456</v>
      </c>
    </row>
    <row r="85" spans="2:2" x14ac:dyDescent="0.25">
      <c r="B85" t="s">
        <v>348</v>
      </c>
    </row>
    <row r="86" spans="2:2" x14ac:dyDescent="0.25">
      <c r="B86" t="s">
        <v>1751</v>
      </c>
    </row>
    <row r="87" spans="2:2" x14ac:dyDescent="0.25">
      <c r="B87" t="s">
        <v>594</v>
      </c>
    </row>
    <row r="88" spans="2:2" x14ac:dyDescent="0.25">
      <c r="B88" t="s">
        <v>1640</v>
      </c>
    </row>
    <row r="89" spans="2:2" x14ac:dyDescent="0.25">
      <c r="B89" t="s">
        <v>781</v>
      </c>
    </row>
    <row r="90" spans="2:2" x14ac:dyDescent="0.25">
      <c r="B90" t="s">
        <v>545</v>
      </c>
    </row>
    <row r="91" spans="2:2" x14ac:dyDescent="0.25">
      <c r="B91" t="s">
        <v>200</v>
      </c>
    </row>
    <row r="92" spans="2:2" x14ac:dyDescent="0.25">
      <c r="B92" t="s">
        <v>1417</v>
      </c>
    </row>
    <row r="93" spans="2:2" x14ac:dyDescent="0.25">
      <c r="B93" t="s">
        <v>451</v>
      </c>
    </row>
    <row r="94" spans="2:2" x14ac:dyDescent="0.25">
      <c r="B94" t="s">
        <v>1419</v>
      </c>
    </row>
    <row r="95" spans="2:2" x14ac:dyDescent="0.25">
      <c r="B95" t="s">
        <v>687</v>
      </c>
    </row>
    <row r="96" spans="2:2" x14ac:dyDescent="0.25">
      <c r="B96" t="s">
        <v>546</v>
      </c>
    </row>
    <row r="97" spans="2:2" x14ac:dyDescent="0.25">
      <c r="B97" t="s">
        <v>1487</v>
      </c>
    </row>
    <row r="98" spans="2:2" x14ac:dyDescent="0.25">
      <c r="B98" t="s">
        <v>243</v>
      </c>
    </row>
    <row r="99" spans="2:2" x14ac:dyDescent="0.25">
      <c r="B99" t="s">
        <v>1319</v>
      </c>
    </row>
    <row r="100" spans="2:2" x14ac:dyDescent="0.25">
      <c r="B100" t="s">
        <v>1386</v>
      </c>
    </row>
    <row r="101" spans="2:2" x14ac:dyDescent="0.25">
      <c r="B101" t="s">
        <v>363</v>
      </c>
    </row>
    <row r="102" spans="2:2" x14ac:dyDescent="0.25">
      <c r="B102" t="s">
        <v>1566</v>
      </c>
    </row>
    <row r="103" spans="2:2" x14ac:dyDescent="0.25">
      <c r="B103" t="s">
        <v>1708</v>
      </c>
    </row>
    <row r="104" spans="2:2" x14ac:dyDescent="0.25">
      <c r="B104" t="s">
        <v>1613</v>
      </c>
    </row>
    <row r="105" spans="2:2" x14ac:dyDescent="0.25">
      <c r="B105" t="s">
        <v>948</v>
      </c>
    </row>
    <row r="106" spans="2:2" x14ac:dyDescent="0.25">
      <c r="B106" t="s">
        <v>1662</v>
      </c>
    </row>
    <row r="107" spans="2:2" x14ac:dyDescent="0.25">
      <c r="B107" t="s">
        <v>1271</v>
      </c>
    </row>
    <row r="108" spans="2:2" x14ac:dyDescent="0.25">
      <c r="B108" t="s">
        <v>1187</v>
      </c>
    </row>
    <row r="109" spans="2:2" x14ac:dyDescent="0.25">
      <c r="B109" t="s">
        <v>294</v>
      </c>
    </row>
    <row r="110" spans="2:2" x14ac:dyDescent="0.25">
      <c r="B110" t="s">
        <v>949</v>
      </c>
    </row>
    <row r="111" spans="2:2" x14ac:dyDescent="0.25">
      <c r="B111" t="s">
        <v>424</v>
      </c>
    </row>
    <row r="112" spans="2:2" x14ac:dyDescent="0.25">
      <c r="B112" t="s">
        <v>119</v>
      </c>
    </row>
    <row r="113" spans="2:2" x14ac:dyDescent="0.25">
      <c r="B113" t="s">
        <v>1600</v>
      </c>
    </row>
    <row r="114" spans="2:2" x14ac:dyDescent="0.25">
      <c r="B114" t="s">
        <v>1270</v>
      </c>
    </row>
    <row r="115" spans="2:2" x14ac:dyDescent="0.25">
      <c r="B115" t="s">
        <v>442</v>
      </c>
    </row>
    <row r="116" spans="2:2" x14ac:dyDescent="0.25">
      <c r="B116" t="s">
        <v>816</v>
      </c>
    </row>
    <row r="117" spans="2:2" x14ac:dyDescent="0.25">
      <c r="B117" t="s">
        <v>1481</v>
      </c>
    </row>
    <row r="118" spans="2:2" x14ac:dyDescent="0.25">
      <c r="B118" t="s">
        <v>436</v>
      </c>
    </row>
    <row r="119" spans="2:2" x14ac:dyDescent="0.25">
      <c r="B119" t="s">
        <v>825</v>
      </c>
    </row>
    <row r="120" spans="2:2" x14ac:dyDescent="0.25">
      <c r="B120" t="s">
        <v>599</v>
      </c>
    </row>
    <row r="121" spans="2:2" x14ac:dyDescent="0.25">
      <c r="B121" t="s">
        <v>914</v>
      </c>
    </row>
    <row r="122" spans="2:2" x14ac:dyDescent="0.25">
      <c r="B122" t="s">
        <v>783</v>
      </c>
    </row>
    <row r="123" spans="2:2" x14ac:dyDescent="0.25">
      <c r="B123" t="s">
        <v>443</v>
      </c>
    </row>
    <row r="124" spans="2:2" x14ac:dyDescent="0.25">
      <c r="B124" t="s">
        <v>1609</v>
      </c>
    </row>
    <row r="125" spans="2:2" x14ac:dyDescent="0.25">
      <c r="B125" t="s">
        <v>495</v>
      </c>
    </row>
    <row r="126" spans="2:2" x14ac:dyDescent="0.25">
      <c r="B126" t="s">
        <v>518</v>
      </c>
    </row>
    <row r="127" spans="2:2" x14ac:dyDescent="0.25">
      <c r="B127" t="s">
        <v>516</v>
      </c>
    </row>
    <row r="128" spans="2:2" x14ac:dyDescent="0.25">
      <c r="B128" t="s">
        <v>260</v>
      </c>
    </row>
    <row r="129" spans="2:2" x14ac:dyDescent="0.25">
      <c r="B129" t="s">
        <v>1678</v>
      </c>
    </row>
    <row r="130" spans="2:2" x14ac:dyDescent="0.25">
      <c r="B130" t="s">
        <v>1668</v>
      </c>
    </row>
    <row r="131" spans="2:2" x14ac:dyDescent="0.25">
      <c r="B131" t="s">
        <v>854</v>
      </c>
    </row>
    <row r="132" spans="2:2" x14ac:dyDescent="0.25">
      <c r="B132" t="s">
        <v>695</v>
      </c>
    </row>
    <row r="133" spans="2:2" x14ac:dyDescent="0.25">
      <c r="B133" t="s">
        <v>834</v>
      </c>
    </row>
    <row r="134" spans="2:2" x14ac:dyDescent="0.25">
      <c r="B134" t="s">
        <v>1087</v>
      </c>
    </row>
    <row r="135" spans="2:2" x14ac:dyDescent="0.25">
      <c r="B135" t="s">
        <v>1293</v>
      </c>
    </row>
    <row r="136" spans="2:2" x14ac:dyDescent="0.25">
      <c r="B136" t="s">
        <v>957</v>
      </c>
    </row>
    <row r="137" spans="2:2" x14ac:dyDescent="0.25">
      <c r="B137" t="s">
        <v>1689</v>
      </c>
    </row>
    <row r="138" spans="2:2" x14ac:dyDescent="0.25">
      <c r="B138" t="s">
        <v>760</v>
      </c>
    </row>
    <row r="139" spans="2:2" x14ac:dyDescent="0.25">
      <c r="B139" t="s">
        <v>445</v>
      </c>
    </row>
    <row r="140" spans="2:2" x14ac:dyDescent="0.25">
      <c r="B140" t="s">
        <v>1480</v>
      </c>
    </row>
    <row r="141" spans="2:2" x14ac:dyDescent="0.25">
      <c r="B141" t="s">
        <v>255</v>
      </c>
    </row>
    <row r="142" spans="2:2" x14ac:dyDescent="0.25">
      <c r="B142" t="s">
        <v>1661</v>
      </c>
    </row>
    <row r="143" spans="2:2" x14ac:dyDescent="0.25">
      <c r="B143" t="s">
        <v>1762</v>
      </c>
    </row>
    <row r="144" spans="2:2" x14ac:dyDescent="0.25">
      <c r="B144" t="s">
        <v>1012</v>
      </c>
    </row>
    <row r="145" spans="2:2" x14ac:dyDescent="0.25">
      <c r="B145" t="s">
        <v>1371</v>
      </c>
    </row>
    <row r="146" spans="2:2" x14ac:dyDescent="0.25">
      <c r="B146" t="s">
        <v>1461</v>
      </c>
    </row>
    <row r="147" spans="2:2" x14ac:dyDescent="0.25">
      <c r="B147" t="s">
        <v>47</v>
      </c>
    </row>
    <row r="148" spans="2:2" x14ac:dyDescent="0.25">
      <c r="B148" t="s">
        <v>1174</v>
      </c>
    </row>
    <row r="149" spans="2:2" x14ac:dyDescent="0.25">
      <c r="B149" t="s">
        <v>602</v>
      </c>
    </row>
    <row r="150" spans="2:2" x14ac:dyDescent="0.25">
      <c r="B150" t="s">
        <v>349</v>
      </c>
    </row>
    <row r="151" spans="2:2" x14ac:dyDescent="0.25">
      <c r="B151" t="s">
        <v>812</v>
      </c>
    </row>
    <row r="152" spans="2:2" x14ac:dyDescent="0.25">
      <c r="B152" t="s">
        <v>826</v>
      </c>
    </row>
    <row r="153" spans="2:2" x14ac:dyDescent="0.25">
      <c r="B153" t="s">
        <v>784</v>
      </c>
    </row>
    <row r="154" spans="2:2" x14ac:dyDescent="0.25">
      <c r="B154" t="s">
        <v>1686</v>
      </c>
    </row>
    <row r="155" spans="2:2" x14ac:dyDescent="0.25">
      <c r="B155" t="s">
        <v>653</v>
      </c>
    </row>
    <row r="156" spans="2:2" x14ac:dyDescent="0.25">
      <c r="B156" t="s">
        <v>396</v>
      </c>
    </row>
    <row r="157" spans="2:2" x14ac:dyDescent="0.25">
      <c r="B157" t="s">
        <v>1311</v>
      </c>
    </row>
    <row r="158" spans="2:2" x14ac:dyDescent="0.25">
      <c r="B158" t="s">
        <v>707</v>
      </c>
    </row>
    <row r="159" spans="2:2" x14ac:dyDescent="0.25">
      <c r="B159" t="s">
        <v>351</v>
      </c>
    </row>
    <row r="160" spans="2:2" x14ac:dyDescent="0.25">
      <c r="B160" t="s">
        <v>828</v>
      </c>
    </row>
    <row r="161" spans="2:2" x14ac:dyDescent="0.25">
      <c r="B161" t="s">
        <v>1226</v>
      </c>
    </row>
    <row r="162" spans="2:2" x14ac:dyDescent="0.25">
      <c r="B162" t="s">
        <v>1525</v>
      </c>
    </row>
    <row r="163" spans="2:2" x14ac:dyDescent="0.25">
      <c r="B163" t="s">
        <v>999</v>
      </c>
    </row>
    <row r="164" spans="2:2" x14ac:dyDescent="0.25">
      <c r="B164" t="s">
        <v>578</v>
      </c>
    </row>
    <row r="165" spans="2:2" x14ac:dyDescent="0.25">
      <c r="B165" t="s">
        <v>866</v>
      </c>
    </row>
    <row r="166" spans="2:2" x14ac:dyDescent="0.25">
      <c r="B166" t="s">
        <v>1246</v>
      </c>
    </row>
    <row r="167" spans="2:2" x14ac:dyDescent="0.25">
      <c r="B167" t="s">
        <v>257</v>
      </c>
    </row>
    <row r="168" spans="2:2" x14ac:dyDescent="0.25">
      <c r="B168" t="s">
        <v>1410</v>
      </c>
    </row>
    <row r="169" spans="2:2" x14ac:dyDescent="0.25">
      <c r="B169" t="s">
        <v>446</v>
      </c>
    </row>
    <row r="170" spans="2:2" x14ac:dyDescent="0.25">
      <c r="B170" t="s">
        <v>1042</v>
      </c>
    </row>
    <row r="171" spans="2:2" x14ac:dyDescent="0.25">
      <c r="B171" t="s">
        <v>700</v>
      </c>
    </row>
    <row r="172" spans="2:2" x14ac:dyDescent="0.25">
      <c r="B172" t="s">
        <v>968</v>
      </c>
    </row>
    <row r="173" spans="2:2" x14ac:dyDescent="0.25">
      <c r="B173" t="s">
        <v>1393</v>
      </c>
    </row>
    <row r="174" spans="2:2" x14ac:dyDescent="0.25">
      <c r="B174" t="s">
        <v>1070</v>
      </c>
    </row>
    <row r="175" spans="2:2" x14ac:dyDescent="0.25">
      <c r="B175" t="s">
        <v>1030</v>
      </c>
    </row>
    <row r="176" spans="2:2" x14ac:dyDescent="0.25">
      <c r="B176" t="s">
        <v>1356</v>
      </c>
    </row>
    <row r="177" spans="2:2" x14ac:dyDescent="0.25">
      <c r="B177" t="s">
        <v>1560</v>
      </c>
    </row>
    <row r="178" spans="2:2" x14ac:dyDescent="0.25">
      <c r="B178" t="s">
        <v>742</v>
      </c>
    </row>
    <row r="179" spans="2:2" x14ac:dyDescent="0.25">
      <c r="B179" t="s">
        <v>6</v>
      </c>
    </row>
    <row r="180" spans="2:2" x14ac:dyDescent="0.25">
      <c r="B180" t="s">
        <v>901</v>
      </c>
    </row>
    <row r="181" spans="2:2" x14ac:dyDescent="0.25">
      <c r="B181" t="s">
        <v>1264</v>
      </c>
    </row>
    <row r="182" spans="2:2" x14ac:dyDescent="0.25">
      <c r="B182" t="s">
        <v>331</v>
      </c>
    </row>
    <row r="183" spans="2:2" x14ac:dyDescent="0.25">
      <c r="B183" t="s">
        <v>560</v>
      </c>
    </row>
    <row r="184" spans="2:2" x14ac:dyDescent="0.25">
      <c r="B184" t="s">
        <v>1707</v>
      </c>
    </row>
    <row r="185" spans="2:2" x14ac:dyDescent="0.25">
      <c r="B185" t="s">
        <v>556</v>
      </c>
    </row>
    <row r="186" spans="2:2" x14ac:dyDescent="0.25">
      <c r="B186" t="s">
        <v>425</v>
      </c>
    </row>
    <row r="187" spans="2:2" x14ac:dyDescent="0.25">
      <c r="B187" t="s">
        <v>1757</v>
      </c>
    </row>
    <row r="188" spans="2:2" x14ac:dyDescent="0.25">
      <c r="B188" t="s">
        <v>570</v>
      </c>
    </row>
    <row r="189" spans="2:2" x14ac:dyDescent="0.25">
      <c r="B189" t="s">
        <v>1139</v>
      </c>
    </row>
    <row r="190" spans="2:2" x14ac:dyDescent="0.25">
      <c r="B190" t="s">
        <v>1313</v>
      </c>
    </row>
    <row r="191" spans="2:2" x14ac:dyDescent="0.25">
      <c r="B191" t="s">
        <v>277</v>
      </c>
    </row>
    <row r="192" spans="2:2" x14ac:dyDescent="0.25">
      <c r="B192" t="s">
        <v>193</v>
      </c>
    </row>
    <row r="193" spans="2:2" x14ac:dyDescent="0.25">
      <c r="B193" t="s">
        <v>1581</v>
      </c>
    </row>
    <row r="194" spans="2:2" x14ac:dyDescent="0.25">
      <c r="B194" t="s">
        <v>231</v>
      </c>
    </row>
    <row r="195" spans="2:2" x14ac:dyDescent="0.25">
      <c r="B195" t="s">
        <v>315</v>
      </c>
    </row>
    <row r="196" spans="2:2" x14ac:dyDescent="0.25">
      <c r="B196" t="s">
        <v>755</v>
      </c>
    </row>
    <row r="197" spans="2:2" x14ac:dyDescent="0.25">
      <c r="B197" t="s">
        <v>1230</v>
      </c>
    </row>
    <row r="198" spans="2:2" x14ac:dyDescent="0.25">
      <c r="B198" t="s">
        <v>1666</v>
      </c>
    </row>
    <row r="199" spans="2:2" x14ac:dyDescent="0.25">
      <c r="B199" t="s">
        <v>1655</v>
      </c>
    </row>
    <row r="200" spans="2:2" x14ac:dyDescent="0.25">
      <c r="B200" t="s">
        <v>1363</v>
      </c>
    </row>
    <row r="201" spans="2:2" x14ac:dyDescent="0.25">
      <c r="B201" t="s">
        <v>440</v>
      </c>
    </row>
    <row r="202" spans="2:2" x14ac:dyDescent="0.25">
      <c r="B202" t="s">
        <v>932</v>
      </c>
    </row>
    <row r="203" spans="2:2" x14ac:dyDescent="0.25">
      <c r="B203" t="s">
        <v>1589</v>
      </c>
    </row>
    <row r="204" spans="2:2" x14ac:dyDescent="0.25">
      <c r="B204" t="s">
        <v>295</v>
      </c>
    </row>
    <row r="205" spans="2:2" x14ac:dyDescent="0.25">
      <c r="B205" t="s">
        <v>751</v>
      </c>
    </row>
    <row r="206" spans="2:2" x14ac:dyDescent="0.25">
      <c r="B206" t="s">
        <v>25</v>
      </c>
    </row>
    <row r="207" spans="2:2" x14ac:dyDescent="0.25">
      <c r="B207" t="s">
        <v>780</v>
      </c>
    </row>
    <row r="208" spans="2:2" x14ac:dyDescent="0.25">
      <c r="B208" t="s">
        <v>1741</v>
      </c>
    </row>
    <row r="209" spans="2:2" x14ac:dyDescent="0.25">
      <c r="B209" t="s">
        <v>1079</v>
      </c>
    </row>
    <row r="210" spans="2:2" x14ac:dyDescent="0.25">
      <c r="B210" t="s">
        <v>236</v>
      </c>
    </row>
    <row r="211" spans="2:2" x14ac:dyDescent="0.25">
      <c r="B211" t="s">
        <v>1052</v>
      </c>
    </row>
    <row r="212" spans="2:2" x14ac:dyDescent="0.25">
      <c r="B212" t="s">
        <v>13</v>
      </c>
    </row>
    <row r="213" spans="2:2" x14ac:dyDescent="0.25">
      <c r="B213" t="s">
        <v>985</v>
      </c>
    </row>
    <row r="214" spans="2:2" x14ac:dyDescent="0.25">
      <c r="B214" t="s">
        <v>1214</v>
      </c>
    </row>
    <row r="215" spans="2:2" x14ac:dyDescent="0.25">
      <c r="B215" t="s">
        <v>684</v>
      </c>
    </row>
    <row r="216" spans="2:2" x14ac:dyDescent="0.25">
      <c r="B216" t="s">
        <v>1149</v>
      </c>
    </row>
    <row r="217" spans="2:2" x14ac:dyDescent="0.25">
      <c r="B217" t="s">
        <v>1433</v>
      </c>
    </row>
    <row r="218" spans="2:2" x14ac:dyDescent="0.25">
      <c r="B218" t="s">
        <v>63</v>
      </c>
    </row>
    <row r="219" spans="2:2" x14ac:dyDescent="0.25">
      <c r="B219" t="s">
        <v>629</v>
      </c>
    </row>
    <row r="220" spans="2:2" x14ac:dyDescent="0.25">
      <c r="B220" t="s">
        <v>1373</v>
      </c>
    </row>
    <row r="221" spans="2:2" x14ac:dyDescent="0.25">
      <c r="B221" t="s">
        <v>1645</v>
      </c>
    </row>
    <row r="222" spans="2:2" x14ac:dyDescent="0.25">
      <c r="B222" t="s">
        <v>1250</v>
      </c>
    </row>
    <row r="223" spans="2:2" x14ac:dyDescent="0.25">
      <c r="B223" t="s">
        <v>672</v>
      </c>
    </row>
    <row r="224" spans="2:2" x14ac:dyDescent="0.25">
      <c r="B224" t="s">
        <v>1142</v>
      </c>
    </row>
    <row r="225" spans="2:2" x14ac:dyDescent="0.25">
      <c r="B225" t="s">
        <v>1167</v>
      </c>
    </row>
    <row r="226" spans="2:2" x14ac:dyDescent="0.25">
      <c r="B226" t="s">
        <v>114</v>
      </c>
    </row>
    <row r="227" spans="2:2" x14ac:dyDescent="0.25">
      <c r="B227" t="s">
        <v>138</v>
      </c>
    </row>
    <row r="228" spans="2:2" x14ac:dyDescent="0.25">
      <c r="B228" t="s">
        <v>1501</v>
      </c>
    </row>
    <row r="229" spans="2:2" x14ac:dyDescent="0.25">
      <c r="B229" t="s">
        <v>414</v>
      </c>
    </row>
    <row r="230" spans="2:2" x14ac:dyDescent="0.25">
      <c r="B230" t="s">
        <v>773</v>
      </c>
    </row>
    <row r="231" spans="2:2" x14ac:dyDescent="0.25">
      <c r="B231" t="s">
        <v>1025</v>
      </c>
    </row>
    <row r="232" spans="2:2" x14ac:dyDescent="0.25">
      <c r="B232" t="s">
        <v>1407</v>
      </c>
    </row>
    <row r="233" spans="2:2" x14ac:dyDescent="0.25">
      <c r="B233" t="s">
        <v>317</v>
      </c>
    </row>
    <row r="234" spans="2:2" x14ac:dyDescent="0.25">
      <c r="B234" t="s">
        <v>1535</v>
      </c>
    </row>
    <row r="235" spans="2:2" x14ac:dyDescent="0.25">
      <c r="B235" t="s">
        <v>1218</v>
      </c>
    </row>
    <row r="236" spans="2:2" x14ac:dyDescent="0.25">
      <c r="B236" t="s">
        <v>122</v>
      </c>
    </row>
    <row r="237" spans="2:2" x14ac:dyDescent="0.25">
      <c r="B237" t="s">
        <v>614</v>
      </c>
    </row>
    <row r="238" spans="2:2" x14ac:dyDescent="0.25">
      <c r="B238" t="s">
        <v>915</v>
      </c>
    </row>
    <row r="239" spans="2:2" x14ac:dyDescent="0.25">
      <c r="B239" t="s">
        <v>263</v>
      </c>
    </row>
    <row r="240" spans="2:2" x14ac:dyDescent="0.25">
      <c r="B240" t="s">
        <v>179</v>
      </c>
    </row>
    <row r="241" spans="2:2" x14ac:dyDescent="0.25">
      <c r="B241" t="s">
        <v>865</v>
      </c>
    </row>
    <row r="242" spans="2:2" x14ac:dyDescent="0.25">
      <c r="B242" t="s">
        <v>21</v>
      </c>
    </row>
    <row r="243" spans="2:2" x14ac:dyDescent="0.25">
      <c r="B243" t="s">
        <v>297</v>
      </c>
    </row>
    <row r="244" spans="2:2" x14ac:dyDescent="0.25">
      <c r="B244" t="s">
        <v>1580</v>
      </c>
    </row>
    <row r="245" spans="2:2" x14ac:dyDescent="0.25">
      <c r="B245" t="s">
        <v>1280</v>
      </c>
    </row>
    <row r="246" spans="2:2" x14ac:dyDescent="0.25">
      <c r="B246" t="s">
        <v>748</v>
      </c>
    </row>
    <row r="247" spans="2:2" x14ac:dyDescent="0.25">
      <c r="B247" t="s">
        <v>324</v>
      </c>
    </row>
    <row r="248" spans="2:2" x14ac:dyDescent="0.25">
      <c r="B248" t="s">
        <v>557</v>
      </c>
    </row>
    <row r="249" spans="2:2" x14ac:dyDescent="0.25">
      <c r="B249" t="s">
        <v>868</v>
      </c>
    </row>
    <row r="250" spans="2:2" x14ac:dyDescent="0.25">
      <c r="B250" t="s">
        <v>739</v>
      </c>
    </row>
    <row r="251" spans="2:2" x14ac:dyDescent="0.25">
      <c r="B251" t="s">
        <v>705</v>
      </c>
    </row>
    <row r="252" spans="2:2" x14ac:dyDescent="0.25">
      <c r="B252" t="s">
        <v>937</v>
      </c>
    </row>
    <row r="253" spans="2:2" x14ac:dyDescent="0.25">
      <c r="B253" t="s">
        <v>715</v>
      </c>
    </row>
    <row r="254" spans="2:2" x14ac:dyDescent="0.25">
      <c r="B254" t="s">
        <v>851</v>
      </c>
    </row>
    <row r="255" spans="2:2" x14ac:dyDescent="0.25">
      <c r="B255" t="s">
        <v>111</v>
      </c>
    </row>
    <row r="256" spans="2:2" x14ac:dyDescent="0.25">
      <c r="B256" t="s">
        <v>975</v>
      </c>
    </row>
    <row r="257" spans="2:2" x14ac:dyDescent="0.25">
      <c r="B257" t="s">
        <v>709</v>
      </c>
    </row>
    <row r="258" spans="2:2" x14ac:dyDescent="0.25">
      <c r="B258" t="s">
        <v>286</v>
      </c>
    </row>
    <row r="259" spans="2:2" x14ac:dyDescent="0.25">
      <c r="B259" t="s">
        <v>994</v>
      </c>
    </row>
    <row r="260" spans="2:2" x14ac:dyDescent="0.25">
      <c r="B260" t="s">
        <v>1465</v>
      </c>
    </row>
    <row r="261" spans="2:2" x14ac:dyDescent="0.25">
      <c r="B261" t="s">
        <v>412</v>
      </c>
    </row>
    <row r="262" spans="2:2" x14ac:dyDescent="0.25">
      <c r="B262" t="s">
        <v>923</v>
      </c>
    </row>
    <row r="263" spans="2:2" x14ac:dyDescent="0.25">
      <c r="B263" t="s">
        <v>1316</v>
      </c>
    </row>
    <row r="264" spans="2:2" x14ac:dyDescent="0.25">
      <c r="B264" t="s">
        <v>1539</v>
      </c>
    </row>
    <row r="265" spans="2:2" x14ac:dyDescent="0.25">
      <c r="B265" t="s">
        <v>284</v>
      </c>
    </row>
    <row r="266" spans="2:2" x14ac:dyDescent="0.25">
      <c r="B266" t="s">
        <v>1759</v>
      </c>
    </row>
    <row r="267" spans="2:2" x14ac:dyDescent="0.25">
      <c r="B267" t="s">
        <v>766</v>
      </c>
    </row>
    <row r="268" spans="2:2" x14ac:dyDescent="0.25">
      <c r="B268" t="s">
        <v>500</v>
      </c>
    </row>
    <row r="269" spans="2:2" x14ac:dyDescent="0.25">
      <c r="B269" t="s">
        <v>135</v>
      </c>
    </row>
    <row r="270" spans="2:2" x14ac:dyDescent="0.25">
      <c r="B270" t="s">
        <v>1324</v>
      </c>
    </row>
    <row r="271" spans="2:2" x14ac:dyDescent="0.25">
      <c r="B271" t="s">
        <v>1387</v>
      </c>
    </row>
    <row r="272" spans="2:2" x14ac:dyDescent="0.25">
      <c r="B272" t="s">
        <v>1071</v>
      </c>
    </row>
    <row r="273" spans="2:2" x14ac:dyDescent="0.25">
      <c r="B273" t="s">
        <v>1203</v>
      </c>
    </row>
    <row r="274" spans="2:2" x14ac:dyDescent="0.25">
      <c r="B274" t="s">
        <v>1083</v>
      </c>
    </row>
    <row r="275" spans="2:2" x14ac:dyDescent="0.25">
      <c r="B275" t="s">
        <v>995</v>
      </c>
    </row>
    <row r="276" spans="2:2" x14ac:dyDescent="0.25">
      <c r="B276" t="s">
        <v>950</v>
      </c>
    </row>
    <row r="277" spans="2:2" x14ac:dyDescent="0.25">
      <c r="B277" t="s">
        <v>217</v>
      </c>
    </row>
    <row r="278" spans="2:2" x14ac:dyDescent="0.25">
      <c r="B278" t="s">
        <v>186</v>
      </c>
    </row>
    <row r="279" spans="2:2" x14ac:dyDescent="0.25">
      <c r="B279" t="s">
        <v>1033</v>
      </c>
    </row>
    <row r="280" spans="2:2" x14ac:dyDescent="0.25">
      <c r="B280" t="s">
        <v>1269</v>
      </c>
    </row>
    <row r="281" spans="2:2" x14ac:dyDescent="0.25">
      <c r="B281" t="s">
        <v>1050</v>
      </c>
    </row>
    <row r="282" spans="2:2" x14ac:dyDescent="0.25">
      <c r="B282" t="s">
        <v>587</v>
      </c>
    </row>
    <row r="283" spans="2:2" x14ac:dyDescent="0.25">
      <c r="B283" t="s">
        <v>1641</v>
      </c>
    </row>
    <row r="284" spans="2:2" x14ac:dyDescent="0.25">
      <c r="B284" t="s">
        <v>1251</v>
      </c>
    </row>
    <row r="285" spans="2:2" x14ac:dyDescent="0.25">
      <c r="B285" t="s">
        <v>1569</v>
      </c>
    </row>
    <row r="286" spans="2:2" x14ac:dyDescent="0.25">
      <c r="B286" t="s">
        <v>889</v>
      </c>
    </row>
    <row r="287" spans="2:2" x14ac:dyDescent="0.25">
      <c r="B287" t="s">
        <v>1705</v>
      </c>
    </row>
    <row r="288" spans="2:2" x14ac:dyDescent="0.25">
      <c r="B288" t="s">
        <v>335</v>
      </c>
    </row>
    <row r="289" spans="2:2" x14ac:dyDescent="0.25">
      <c r="B289" t="s">
        <v>1747</v>
      </c>
    </row>
    <row r="290" spans="2:2" x14ac:dyDescent="0.25">
      <c r="B290" t="s">
        <v>615</v>
      </c>
    </row>
    <row r="291" spans="2:2" x14ac:dyDescent="0.25">
      <c r="B291" t="s">
        <v>1598</v>
      </c>
    </row>
    <row r="292" spans="2:2" x14ac:dyDescent="0.25">
      <c r="B292" t="s">
        <v>1039</v>
      </c>
    </row>
    <row r="293" spans="2:2" x14ac:dyDescent="0.25">
      <c r="B293" t="s">
        <v>1244</v>
      </c>
    </row>
    <row r="294" spans="2:2" x14ac:dyDescent="0.25">
      <c r="B294" t="s">
        <v>467</v>
      </c>
    </row>
    <row r="295" spans="2:2" x14ac:dyDescent="0.25">
      <c r="B295" t="s">
        <v>886</v>
      </c>
    </row>
    <row r="296" spans="2:2" x14ac:dyDescent="0.25">
      <c r="B296" t="s">
        <v>1190</v>
      </c>
    </row>
    <row r="297" spans="2:2" x14ac:dyDescent="0.25">
      <c r="B297" t="s">
        <v>1743</v>
      </c>
    </row>
    <row r="298" spans="2:2" x14ac:dyDescent="0.25">
      <c r="B298" t="s">
        <v>1449</v>
      </c>
    </row>
    <row r="299" spans="2:2" x14ac:dyDescent="0.25">
      <c r="B299" t="s">
        <v>65</v>
      </c>
    </row>
    <row r="300" spans="2:2" x14ac:dyDescent="0.25">
      <c r="B300" t="s">
        <v>1037</v>
      </c>
    </row>
    <row r="301" spans="2:2" x14ac:dyDescent="0.25">
      <c r="B301" t="s">
        <v>694</v>
      </c>
    </row>
    <row r="302" spans="2:2" x14ac:dyDescent="0.25">
      <c r="B302" t="s">
        <v>206</v>
      </c>
    </row>
    <row r="303" spans="2:2" x14ac:dyDescent="0.25">
      <c r="B303" t="s">
        <v>771</v>
      </c>
    </row>
    <row r="304" spans="2:2" x14ac:dyDescent="0.25">
      <c r="B304" t="s">
        <v>1603</v>
      </c>
    </row>
    <row r="305" spans="2:2" x14ac:dyDescent="0.25">
      <c r="B305" t="s">
        <v>1577</v>
      </c>
    </row>
    <row r="306" spans="2:2" x14ac:dyDescent="0.25">
      <c r="B306" t="s">
        <v>307</v>
      </c>
    </row>
    <row r="307" spans="2:2" x14ac:dyDescent="0.25">
      <c r="B307" t="s">
        <v>685</v>
      </c>
    </row>
    <row r="308" spans="2:2" x14ac:dyDescent="0.25">
      <c r="B308" t="s">
        <v>1355</v>
      </c>
    </row>
    <row r="309" spans="2:2" x14ac:dyDescent="0.25">
      <c r="B309" t="s">
        <v>1326</v>
      </c>
    </row>
    <row r="310" spans="2:2" x14ac:dyDescent="0.25">
      <c r="B310" t="s">
        <v>1626</v>
      </c>
    </row>
    <row r="311" spans="2:2" x14ac:dyDescent="0.25">
      <c r="B311" t="s">
        <v>1063</v>
      </c>
    </row>
    <row r="312" spans="2:2" x14ac:dyDescent="0.25">
      <c r="B312" t="s">
        <v>1128</v>
      </c>
    </row>
    <row r="313" spans="2:2" x14ac:dyDescent="0.25">
      <c r="B313" t="s">
        <v>1111</v>
      </c>
    </row>
    <row r="314" spans="2:2" x14ac:dyDescent="0.25">
      <c r="B314" t="s">
        <v>130</v>
      </c>
    </row>
    <row r="315" spans="2:2" x14ac:dyDescent="0.25">
      <c r="B315" t="s">
        <v>91</v>
      </c>
    </row>
    <row r="316" spans="2:2" x14ac:dyDescent="0.25">
      <c r="B316" t="s">
        <v>74</v>
      </c>
    </row>
    <row r="317" spans="2:2" x14ac:dyDescent="0.25">
      <c r="B317" t="s">
        <v>1665</v>
      </c>
    </row>
    <row r="318" spans="2:2" x14ac:dyDescent="0.25">
      <c r="B318" t="s">
        <v>1736</v>
      </c>
    </row>
    <row r="319" spans="2:2" x14ac:dyDescent="0.25">
      <c r="B319" t="s">
        <v>867</v>
      </c>
    </row>
    <row r="320" spans="2:2" x14ac:dyDescent="0.25">
      <c r="B320" t="s">
        <v>1886</v>
      </c>
    </row>
    <row r="321" spans="2:2" x14ac:dyDescent="0.25">
      <c r="B321" t="s">
        <v>225</v>
      </c>
    </row>
    <row r="322" spans="2:2" x14ac:dyDescent="0.25">
      <c r="B322" t="s">
        <v>1275</v>
      </c>
    </row>
    <row r="323" spans="2:2" x14ac:dyDescent="0.25">
      <c r="B323" t="s">
        <v>380</v>
      </c>
    </row>
    <row r="324" spans="2:2" x14ac:dyDescent="0.25">
      <c r="B324" t="s">
        <v>620</v>
      </c>
    </row>
    <row r="325" spans="2:2" x14ac:dyDescent="0.25">
      <c r="B325" t="s">
        <v>1196</v>
      </c>
    </row>
    <row r="326" spans="2:2" x14ac:dyDescent="0.25">
      <c r="B326" t="s">
        <v>1341</v>
      </c>
    </row>
    <row r="327" spans="2:2" x14ac:dyDescent="0.25">
      <c r="B327" t="s">
        <v>981</v>
      </c>
    </row>
    <row r="328" spans="2:2" x14ac:dyDescent="0.25">
      <c r="B328" t="s">
        <v>942</v>
      </c>
    </row>
    <row r="329" spans="2:2" x14ac:dyDescent="0.25">
      <c r="B329" t="s">
        <v>841</v>
      </c>
    </row>
    <row r="330" spans="2:2" x14ac:dyDescent="0.25">
      <c r="B330" t="s">
        <v>1464</v>
      </c>
    </row>
    <row r="331" spans="2:2" x14ac:dyDescent="0.25">
      <c r="B331" t="s">
        <v>795</v>
      </c>
    </row>
    <row r="332" spans="2:2" x14ac:dyDescent="0.25">
      <c r="B332" t="s">
        <v>1162</v>
      </c>
    </row>
    <row r="333" spans="2:2" x14ac:dyDescent="0.25">
      <c r="B333" t="s">
        <v>262</v>
      </c>
    </row>
    <row r="334" spans="2:2" x14ac:dyDescent="0.25">
      <c r="B334" t="s">
        <v>510</v>
      </c>
    </row>
    <row r="335" spans="2:2" x14ac:dyDescent="0.25">
      <c r="B335" t="s">
        <v>743</v>
      </c>
    </row>
    <row r="336" spans="2:2" x14ac:dyDescent="0.25">
      <c r="B336" t="s">
        <v>1350</v>
      </c>
    </row>
    <row r="337" spans="2:2" x14ac:dyDescent="0.25">
      <c r="B337" t="s">
        <v>397</v>
      </c>
    </row>
    <row r="338" spans="2:2" x14ac:dyDescent="0.25">
      <c r="B338" t="s">
        <v>1614</v>
      </c>
    </row>
    <row r="339" spans="2:2" x14ac:dyDescent="0.25">
      <c r="B339" t="s">
        <v>1605</v>
      </c>
    </row>
    <row r="340" spans="2:2" x14ac:dyDescent="0.25">
      <c r="B340" t="s">
        <v>1219</v>
      </c>
    </row>
    <row r="341" spans="2:2" x14ac:dyDescent="0.25">
      <c r="B341" t="s">
        <v>971</v>
      </c>
    </row>
    <row r="342" spans="2:2" x14ac:dyDescent="0.25">
      <c r="B342" t="s">
        <v>562</v>
      </c>
    </row>
    <row r="343" spans="2:2" x14ac:dyDescent="0.25">
      <c r="B343" t="s">
        <v>1519</v>
      </c>
    </row>
    <row r="344" spans="2:2" x14ac:dyDescent="0.25">
      <c r="B344" t="s">
        <v>422</v>
      </c>
    </row>
    <row r="345" spans="2:2" x14ac:dyDescent="0.25">
      <c r="B345" t="s">
        <v>237</v>
      </c>
    </row>
    <row r="346" spans="2:2" x14ac:dyDescent="0.25">
      <c r="B346" t="s">
        <v>1498</v>
      </c>
    </row>
    <row r="347" spans="2:2" x14ac:dyDescent="0.25">
      <c r="B347" t="s">
        <v>759</v>
      </c>
    </row>
    <row r="348" spans="2:2" x14ac:dyDescent="0.25">
      <c r="B348" t="s">
        <v>717</v>
      </c>
    </row>
    <row r="349" spans="2:2" x14ac:dyDescent="0.25">
      <c r="B349" t="s">
        <v>316</v>
      </c>
    </row>
    <row r="350" spans="2:2" x14ac:dyDescent="0.25">
      <c r="B350" t="s">
        <v>1562</v>
      </c>
    </row>
    <row r="351" spans="2:2" x14ac:dyDescent="0.25">
      <c r="B351" t="s">
        <v>142</v>
      </c>
    </row>
    <row r="352" spans="2:2" x14ac:dyDescent="0.25">
      <c r="B352" t="s">
        <v>1286</v>
      </c>
    </row>
    <row r="353" spans="2:2" x14ac:dyDescent="0.25">
      <c r="B353" t="s">
        <v>680</v>
      </c>
    </row>
    <row r="354" spans="2:2" x14ac:dyDescent="0.25">
      <c r="B354" t="s">
        <v>12</v>
      </c>
    </row>
    <row r="355" spans="2:2" x14ac:dyDescent="0.25">
      <c r="B355" t="s">
        <v>1549</v>
      </c>
    </row>
    <row r="356" spans="2:2" x14ac:dyDescent="0.25">
      <c r="B356" t="s">
        <v>256</v>
      </c>
    </row>
    <row r="357" spans="2:2" x14ac:dyDescent="0.25">
      <c r="B357" t="s">
        <v>385</v>
      </c>
    </row>
    <row r="358" spans="2:2" x14ac:dyDescent="0.25">
      <c r="B358" t="s">
        <v>224</v>
      </c>
    </row>
    <row r="359" spans="2:2" x14ac:dyDescent="0.25">
      <c r="B359" t="s">
        <v>326</v>
      </c>
    </row>
    <row r="360" spans="2:2" x14ac:dyDescent="0.25">
      <c r="B360" t="s">
        <v>1727</v>
      </c>
    </row>
    <row r="361" spans="2:2" x14ac:dyDescent="0.25">
      <c r="B361" t="s">
        <v>1236</v>
      </c>
    </row>
    <row r="362" spans="2:2" x14ac:dyDescent="0.25">
      <c r="B362" t="s">
        <v>1627</v>
      </c>
    </row>
    <row r="363" spans="2:2" x14ac:dyDescent="0.25">
      <c r="B363" t="s">
        <v>34</v>
      </c>
    </row>
    <row r="364" spans="2:2" x14ac:dyDescent="0.25">
      <c r="B364" t="s">
        <v>61</v>
      </c>
    </row>
    <row r="365" spans="2:2" x14ac:dyDescent="0.25">
      <c r="B365" t="s">
        <v>112</v>
      </c>
    </row>
    <row r="366" spans="2:2" x14ac:dyDescent="0.25">
      <c r="B366" t="s">
        <v>1717</v>
      </c>
    </row>
    <row r="367" spans="2:2" x14ac:dyDescent="0.25">
      <c r="B367" t="s">
        <v>1170</v>
      </c>
    </row>
    <row r="368" spans="2:2" x14ac:dyDescent="0.25">
      <c r="B368" t="s">
        <v>797</v>
      </c>
    </row>
    <row r="369" spans="2:2" x14ac:dyDescent="0.25">
      <c r="B369" t="s">
        <v>736</v>
      </c>
    </row>
    <row r="370" spans="2:2" x14ac:dyDescent="0.25">
      <c r="B370" t="s">
        <v>176</v>
      </c>
    </row>
    <row r="371" spans="2:2" x14ac:dyDescent="0.25">
      <c r="B371" t="s">
        <v>1422</v>
      </c>
    </row>
    <row r="372" spans="2:2" x14ac:dyDescent="0.25">
      <c r="B372" t="s">
        <v>952</v>
      </c>
    </row>
    <row r="373" spans="2:2" x14ac:dyDescent="0.25">
      <c r="B373" t="s">
        <v>1585</v>
      </c>
    </row>
    <row r="374" spans="2:2" x14ac:dyDescent="0.25">
      <c r="B374" t="s">
        <v>55</v>
      </c>
    </row>
    <row r="375" spans="2:2" x14ac:dyDescent="0.25">
      <c r="B375" t="s">
        <v>676</v>
      </c>
    </row>
    <row r="376" spans="2:2" x14ac:dyDescent="0.25">
      <c r="B376" t="s">
        <v>664</v>
      </c>
    </row>
    <row r="377" spans="2:2" x14ac:dyDescent="0.25">
      <c r="B377" t="s">
        <v>525</v>
      </c>
    </row>
    <row r="378" spans="2:2" x14ac:dyDescent="0.25">
      <c r="B378" t="s">
        <v>1252</v>
      </c>
    </row>
    <row r="379" spans="2:2" x14ac:dyDescent="0.25">
      <c r="B379" t="s">
        <v>996</v>
      </c>
    </row>
    <row r="380" spans="2:2" x14ac:dyDescent="0.25">
      <c r="B380" t="s">
        <v>1178</v>
      </c>
    </row>
    <row r="381" spans="2:2" x14ac:dyDescent="0.25">
      <c r="B381" t="s">
        <v>1652</v>
      </c>
    </row>
    <row r="382" spans="2:2" x14ac:dyDescent="0.25">
      <c r="B382" t="s">
        <v>110</v>
      </c>
    </row>
    <row r="383" spans="2:2" x14ac:dyDescent="0.25">
      <c r="B383" t="s">
        <v>1405</v>
      </c>
    </row>
    <row r="384" spans="2:2" x14ac:dyDescent="0.25">
      <c r="B384" t="s">
        <v>1093</v>
      </c>
    </row>
    <row r="385" spans="2:2" x14ac:dyDescent="0.25">
      <c r="B385" t="s">
        <v>714</v>
      </c>
    </row>
    <row r="386" spans="2:2" x14ac:dyDescent="0.25">
      <c r="B386" t="s">
        <v>590</v>
      </c>
    </row>
    <row r="387" spans="2:2" x14ac:dyDescent="0.25">
      <c r="B387" t="s">
        <v>133</v>
      </c>
    </row>
    <row r="388" spans="2:2" x14ac:dyDescent="0.25">
      <c r="B388" t="s">
        <v>170</v>
      </c>
    </row>
    <row r="389" spans="2:2" x14ac:dyDescent="0.25">
      <c r="B389" t="s">
        <v>668</v>
      </c>
    </row>
    <row r="390" spans="2:2" x14ac:dyDescent="0.25">
      <c r="B390" t="s">
        <v>1114</v>
      </c>
    </row>
    <row r="391" spans="2:2" x14ac:dyDescent="0.25">
      <c r="B391" t="s">
        <v>1078</v>
      </c>
    </row>
    <row r="392" spans="2:2" x14ac:dyDescent="0.25">
      <c r="B392" t="s">
        <v>1055</v>
      </c>
    </row>
    <row r="393" spans="2:2" x14ac:dyDescent="0.25">
      <c r="B393" t="s">
        <v>8</v>
      </c>
    </row>
    <row r="394" spans="2:2" x14ac:dyDescent="0.25">
      <c r="B394" t="s">
        <v>702</v>
      </c>
    </row>
    <row r="395" spans="2:2" x14ac:dyDescent="0.25">
      <c r="B395" t="s">
        <v>521</v>
      </c>
    </row>
    <row r="396" spans="2:2" x14ac:dyDescent="0.25">
      <c r="B396" t="s">
        <v>899</v>
      </c>
    </row>
    <row r="397" spans="2:2" x14ac:dyDescent="0.25">
      <c r="B397" t="s">
        <v>1520</v>
      </c>
    </row>
    <row r="398" spans="2:2" x14ac:dyDescent="0.25">
      <c r="B398" t="s">
        <v>1154</v>
      </c>
    </row>
    <row r="399" spans="2:2" x14ac:dyDescent="0.25">
      <c r="B399" t="s">
        <v>120</v>
      </c>
    </row>
    <row r="400" spans="2:2" x14ac:dyDescent="0.25">
      <c r="B400" t="s">
        <v>1442</v>
      </c>
    </row>
    <row r="401" spans="2:2" x14ac:dyDescent="0.25">
      <c r="B401" t="s">
        <v>1436</v>
      </c>
    </row>
    <row r="402" spans="2:2" x14ac:dyDescent="0.25">
      <c r="B402" t="s">
        <v>1494</v>
      </c>
    </row>
    <row r="403" spans="2:2" x14ac:dyDescent="0.25">
      <c r="B403" t="s">
        <v>1415</v>
      </c>
    </row>
    <row r="404" spans="2:2" x14ac:dyDescent="0.25">
      <c r="B404" t="s">
        <v>1148</v>
      </c>
    </row>
    <row r="405" spans="2:2" x14ac:dyDescent="0.25">
      <c r="B405" t="s">
        <v>1068</v>
      </c>
    </row>
    <row r="406" spans="2:2" x14ac:dyDescent="0.25">
      <c r="B406" t="s">
        <v>531</v>
      </c>
    </row>
    <row r="407" spans="2:2" x14ac:dyDescent="0.25">
      <c r="B407" t="s">
        <v>1458</v>
      </c>
    </row>
    <row r="408" spans="2:2" x14ac:dyDescent="0.25">
      <c r="B408" t="s">
        <v>528</v>
      </c>
    </row>
    <row r="409" spans="2:2" x14ac:dyDescent="0.25">
      <c r="B409" t="s">
        <v>56</v>
      </c>
    </row>
    <row r="410" spans="2:2" x14ac:dyDescent="0.25">
      <c r="B410" t="s">
        <v>153</v>
      </c>
    </row>
    <row r="411" spans="2:2" x14ac:dyDescent="0.25">
      <c r="B411" t="s">
        <v>619</v>
      </c>
    </row>
    <row r="412" spans="2:2" x14ac:dyDescent="0.25">
      <c r="B412" t="s">
        <v>340</v>
      </c>
    </row>
    <row r="413" spans="2:2" x14ac:dyDescent="0.25">
      <c r="B413" t="s">
        <v>1522</v>
      </c>
    </row>
    <row r="414" spans="2:2" x14ac:dyDescent="0.25">
      <c r="B414" t="s">
        <v>648</v>
      </c>
    </row>
    <row r="415" spans="2:2" x14ac:dyDescent="0.25">
      <c r="B415" t="s">
        <v>1</v>
      </c>
    </row>
    <row r="416" spans="2:2" x14ac:dyDescent="0.25">
      <c r="B416" t="s">
        <v>930</v>
      </c>
    </row>
    <row r="417" spans="2:2" x14ac:dyDescent="0.25">
      <c r="B417" t="s">
        <v>1732</v>
      </c>
    </row>
    <row r="418" spans="2:2" x14ac:dyDescent="0.25">
      <c r="B418" t="s">
        <v>1748</v>
      </c>
    </row>
    <row r="419" spans="2:2" x14ac:dyDescent="0.25">
      <c r="B419" t="s">
        <v>1772</v>
      </c>
    </row>
    <row r="420" spans="2:2" x14ac:dyDescent="0.25">
      <c r="B420" t="s">
        <v>729</v>
      </c>
    </row>
    <row r="421" spans="2:2" x14ac:dyDescent="0.25">
      <c r="B421" t="s">
        <v>990</v>
      </c>
    </row>
    <row r="422" spans="2:2" x14ac:dyDescent="0.25">
      <c r="B422" t="s">
        <v>520</v>
      </c>
    </row>
    <row r="423" spans="2:2" x14ac:dyDescent="0.25">
      <c r="B423" t="s">
        <v>1157</v>
      </c>
    </row>
    <row r="424" spans="2:2" x14ac:dyDescent="0.25">
      <c r="B424" t="s">
        <v>1559</v>
      </c>
    </row>
    <row r="425" spans="2:2" x14ac:dyDescent="0.25">
      <c r="B425" t="s">
        <v>550</v>
      </c>
    </row>
    <row r="426" spans="2:2" x14ac:dyDescent="0.25">
      <c r="B426" t="s">
        <v>190</v>
      </c>
    </row>
    <row r="427" spans="2:2" x14ac:dyDescent="0.25">
      <c r="B427" t="s">
        <v>1424</v>
      </c>
    </row>
    <row r="428" spans="2:2" x14ac:dyDescent="0.25">
      <c r="B428" t="s">
        <v>341</v>
      </c>
    </row>
    <row r="429" spans="2:2" x14ac:dyDescent="0.25">
      <c r="B429" t="s">
        <v>1472</v>
      </c>
    </row>
    <row r="430" spans="2:2" x14ac:dyDescent="0.25">
      <c r="B430" t="s">
        <v>199</v>
      </c>
    </row>
    <row r="431" spans="2:2" x14ac:dyDescent="0.25">
      <c r="B431" t="s">
        <v>365</v>
      </c>
    </row>
    <row r="432" spans="2:2" x14ac:dyDescent="0.25">
      <c r="B432" t="s">
        <v>1660</v>
      </c>
    </row>
    <row r="433" spans="2:2" x14ac:dyDescent="0.25">
      <c r="B433" t="s">
        <v>1003</v>
      </c>
    </row>
    <row r="434" spans="2:2" x14ac:dyDescent="0.25">
      <c r="B434" t="s">
        <v>390</v>
      </c>
    </row>
    <row r="435" spans="2:2" x14ac:dyDescent="0.25">
      <c r="B435" t="s">
        <v>1567</v>
      </c>
    </row>
    <row r="436" spans="2:2" x14ac:dyDescent="0.25">
      <c r="B436" t="s">
        <v>1682</v>
      </c>
    </row>
    <row r="437" spans="2:2" x14ac:dyDescent="0.25">
      <c r="B437" t="s">
        <v>951</v>
      </c>
    </row>
    <row r="438" spans="2:2" x14ac:dyDescent="0.25">
      <c r="B438" t="s">
        <v>1435</v>
      </c>
    </row>
    <row r="439" spans="2:2" x14ac:dyDescent="0.25">
      <c r="B439" t="s">
        <v>191</v>
      </c>
    </row>
    <row r="440" spans="2:2" x14ac:dyDescent="0.25">
      <c r="B440" t="s">
        <v>1683</v>
      </c>
    </row>
    <row r="441" spans="2:2" x14ac:dyDescent="0.25">
      <c r="B441" t="s">
        <v>788</v>
      </c>
    </row>
    <row r="442" spans="2:2" x14ac:dyDescent="0.25">
      <c r="B442" t="s">
        <v>699</v>
      </c>
    </row>
    <row r="443" spans="2:2" x14ac:dyDescent="0.25">
      <c r="B443" t="s">
        <v>22</v>
      </c>
    </row>
    <row r="444" spans="2:2" x14ac:dyDescent="0.25">
      <c r="B444" t="s">
        <v>1484</v>
      </c>
    </row>
    <row r="445" spans="2:2" x14ac:dyDescent="0.25">
      <c r="B445" t="s">
        <v>1427</v>
      </c>
    </row>
    <row r="446" spans="2:2" x14ac:dyDescent="0.25">
      <c r="B446" t="s">
        <v>1558</v>
      </c>
    </row>
    <row r="447" spans="2:2" x14ac:dyDescent="0.25">
      <c r="B447" t="s">
        <v>1713</v>
      </c>
    </row>
    <row r="448" spans="2:2" x14ac:dyDescent="0.25">
      <c r="B448" t="s">
        <v>596</v>
      </c>
    </row>
    <row r="449" spans="2:2" x14ac:dyDescent="0.25">
      <c r="B449" t="s">
        <v>213</v>
      </c>
    </row>
    <row r="450" spans="2:2" x14ac:dyDescent="0.25">
      <c r="B450" t="s">
        <v>1578</v>
      </c>
    </row>
    <row r="451" spans="2:2" x14ac:dyDescent="0.25">
      <c r="B451" t="s">
        <v>108</v>
      </c>
    </row>
    <row r="452" spans="2:2" x14ac:dyDescent="0.25">
      <c r="B452" t="s">
        <v>678</v>
      </c>
    </row>
    <row r="453" spans="2:2" x14ac:dyDescent="0.25">
      <c r="B453" t="s">
        <v>579</v>
      </c>
    </row>
    <row r="454" spans="2:2" x14ac:dyDescent="0.25">
      <c r="B454" t="s">
        <v>661</v>
      </c>
    </row>
    <row r="455" spans="2:2" x14ac:dyDescent="0.25">
      <c r="B455" t="s">
        <v>1423</v>
      </c>
    </row>
    <row r="456" spans="2:2" x14ac:dyDescent="0.25">
      <c r="B456" t="s">
        <v>1084</v>
      </c>
    </row>
    <row r="457" spans="2:2" x14ac:dyDescent="0.25">
      <c r="B457" t="s">
        <v>969</v>
      </c>
    </row>
    <row r="458" spans="2:2" x14ac:dyDescent="0.25">
      <c r="B458" t="s">
        <v>682</v>
      </c>
    </row>
    <row r="459" spans="2:2" x14ac:dyDescent="0.25">
      <c r="B459" t="s">
        <v>1366</v>
      </c>
    </row>
    <row r="460" spans="2:2" x14ac:dyDescent="0.25">
      <c r="B460" t="s">
        <v>1553</v>
      </c>
    </row>
    <row r="461" spans="2:2" x14ac:dyDescent="0.25">
      <c r="B461" t="s">
        <v>1085</v>
      </c>
    </row>
    <row r="462" spans="2:2" x14ac:dyDescent="0.25">
      <c r="B462" t="s">
        <v>410</v>
      </c>
    </row>
    <row r="463" spans="2:2" x14ac:dyDescent="0.25">
      <c r="B463" t="s">
        <v>1742</v>
      </c>
    </row>
    <row r="464" spans="2:2" x14ac:dyDescent="0.25">
      <c r="B464" t="s">
        <v>1029</v>
      </c>
    </row>
    <row r="465" spans="2:2" x14ac:dyDescent="0.25">
      <c r="B465" t="s">
        <v>155</v>
      </c>
    </row>
    <row r="466" spans="2:2" x14ac:dyDescent="0.25">
      <c r="B466" t="s">
        <v>894</v>
      </c>
    </row>
    <row r="467" spans="2:2" x14ac:dyDescent="0.25">
      <c r="B467" t="s">
        <v>69</v>
      </c>
    </row>
    <row r="468" spans="2:2" x14ac:dyDescent="0.25">
      <c r="B468" t="s">
        <v>1531</v>
      </c>
    </row>
    <row r="469" spans="2:2" x14ac:dyDescent="0.25">
      <c r="B469" t="s">
        <v>1654</v>
      </c>
    </row>
    <row r="470" spans="2:2" x14ac:dyDescent="0.25">
      <c r="B470" t="s">
        <v>404</v>
      </c>
    </row>
    <row r="471" spans="2:2" x14ac:dyDescent="0.25">
      <c r="B471" t="s">
        <v>332</v>
      </c>
    </row>
    <row r="472" spans="2:2" x14ac:dyDescent="0.25">
      <c r="B472" t="s">
        <v>1216</v>
      </c>
    </row>
    <row r="473" spans="2:2" x14ac:dyDescent="0.25">
      <c r="B473" t="s">
        <v>954</v>
      </c>
    </row>
    <row r="474" spans="2:2" x14ac:dyDescent="0.25">
      <c r="B474" t="s">
        <v>876</v>
      </c>
    </row>
    <row r="475" spans="2:2" x14ac:dyDescent="0.25">
      <c r="B475" t="s">
        <v>963</v>
      </c>
    </row>
    <row r="476" spans="2:2" x14ac:dyDescent="0.25">
      <c r="B476" t="s">
        <v>189</v>
      </c>
    </row>
    <row r="477" spans="2:2" x14ac:dyDescent="0.25">
      <c r="B477" t="s">
        <v>76</v>
      </c>
    </row>
    <row r="478" spans="2:2" x14ac:dyDescent="0.25">
      <c r="B478" t="s">
        <v>1369</v>
      </c>
    </row>
    <row r="479" spans="2:2" x14ac:dyDescent="0.25">
      <c r="B479" t="s">
        <v>1211</v>
      </c>
    </row>
    <row r="480" spans="2:2" x14ac:dyDescent="0.25">
      <c r="B480" t="s">
        <v>831</v>
      </c>
    </row>
    <row r="481" spans="2:2" x14ac:dyDescent="0.25">
      <c r="B481" t="s">
        <v>77</v>
      </c>
    </row>
    <row r="482" spans="2:2" x14ac:dyDescent="0.25">
      <c r="B482" t="s">
        <v>772</v>
      </c>
    </row>
    <row r="483" spans="2:2" x14ac:dyDescent="0.25">
      <c r="B483" t="s">
        <v>1234</v>
      </c>
    </row>
    <row r="484" spans="2:2" x14ac:dyDescent="0.25">
      <c r="B484" t="s">
        <v>1123</v>
      </c>
    </row>
    <row r="485" spans="2:2" x14ac:dyDescent="0.25">
      <c r="B485" t="s">
        <v>636</v>
      </c>
    </row>
    <row r="486" spans="2:2" x14ac:dyDescent="0.25">
      <c r="B486" t="s">
        <v>553</v>
      </c>
    </row>
    <row r="487" spans="2:2" x14ac:dyDescent="0.25">
      <c r="B487" t="s">
        <v>1304</v>
      </c>
    </row>
    <row r="488" spans="2:2" x14ac:dyDescent="0.25">
      <c r="B488" t="s">
        <v>938</v>
      </c>
    </row>
    <row r="489" spans="2:2" x14ac:dyDescent="0.25">
      <c r="B489" t="s">
        <v>373</v>
      </c>
    </row>
    <row r="490" spans="2:2" x14ac:dyDescent="0.25">
      <c r="B490" t="s">
        <v>654</v>
      </c>
    </row>
    <row r="491" spans="2:2" x14ac:dyDescent="0.25">
      <c r="B491" t="s">
        <v>774</v>
      </c>
    </row>
    <row r="492" spans="2:2" x14ac:dyDescent="0.25">
      <c r="B492" t="s">
        <v>910</v>
      </c>
    </row>
    <row r="493" spans="2:2" x14ac:dyDescent="0.25">
      <c r="B493" t="s">
        <v>290</v>
      </c>
    </row>
    <row r="494" spans="2:2" x14ac:dyDescent="0.25">
      <c r="B494" t="s">
        <v>288</v>
      </c>
    </row>
    <row r="495" spans="2:2" x14ac:dyDescent="0.25">
      <c r="B495" t="s">
        <v>1152</v>
      </c>
    </row>
    <row r="496" spans="2:2" x14ac:dyDescent="0.25">
      <c r="B496" t="s">
        <v>741</v>
      </c>
    </row>
    <row r="497" spans="2:2" x14ac:dyDescent="0.25">
      <c r="B497" t="s">
        <v>310</v>
      </c>
    </row>
    <row r="498" spans="2:2" x14ac:dyDescent="0.25">
      <c r="B498" t="s">
        <v>1546</v>
      </c>
    </row>
    <row r="499" spans="2:2" x14ac:dyDescent="0.25">
      <c r="B499" t="s">
        <v>273</v>
      </c>
    </row>
    <row r="500" spans="2:2" x14ac:dyDescent="0.25">
      <c r="B500" t="s">
        <v>907</v>
      </c>
    </row>
    <row r="501" spans="2:2" x14ac:dyDescent="0.25">
      <c r="B501" t="s">
        <v>1107</v>
      </c>
    </row>
    <row r="502" spans="2:2" x14ac:dyDescent="0.25">
      <c r="B502" t="s">
        <v>601</v>
      </c>
    </row>
    <row r="503" spans="2:2" x14ac:dyDescent="0.25">
      <c r="B503" t="s">
        <v>185</v>
      </c>
    </row>
    <row r="504" spans="2:2" x14ac:dyDescent="0.25">
      <c r="B504" t="s">
        <v>68</v>
      </c>
    </row>
    <row r="505" spans="2:2" x14ac:dyDescent="0.25">
      <c r="B505" t="s">
        <v>1159</v>
      </c>
    </row>
    <row r="506" spans="2:2" x14ac:dyDescent="0.25">
      <c r="B506" t="s">
        <v>1538</v>
      </c>
    </row>
    <row r="507" spans="2:2" x14ac:dyDescent="0.25">
      <c r="B507" t="s">
        <v>460</v>
      </c>
    </row>
    <row r="508" spans="2:2" x14ac:dyDescent="0.25">
      <c r="B508" t="s">
        <v>1177</v>
      </c>
    </row>
    <row r="509" spans="2:2" x14ac:dyDescent="0.25">
      <c r="B509" t="s">
        <v>1343</v>
      </c>
    </row>
    <row r="510" spans="2:2" x14ac:dyDescent="0.25">
      <c r="B510" t="s">
        <v>126</v>
      </c>
    </row>
    <row r="511" spans="2:2" x14ac:dyDescent="0.25">
      <c r="B511" t="s">
        <v>72</v>
      </c>
    </row>
    <row r="512" spans="2:2" x14ac:dyDescent="0.25">
      <c r="B512" t="s">
        <v>1602</v>
      </c>
    </row>
    <row r="513" spans="2:2" x14ac:dyDescent="0.25">
      <c r="B513" t="s">
        <v>909</v>
      </c>
    </row>
    <row r="514" spans="2:2" x14ac:dyDescent="0.25">
      <c r="B514" t="s">
        <v>544</v>
      </c>
    </row>
    <row r="515" spans="2:2" x14ac:dyDescent="0.25">
      <c r="B515" t="s">
        <v>1125</v>
      </c>
    </row>
    <row r="516" spans="2:2" x14ac:dyDescent="0.25">
      <c r="B516" t="s">
        <v>765</v>
      </c>
    </row>
    <row r="517" spans="2:2" x14ac:dyDescent="0.25">
      <c r="B517" t="s">
        <v>1054</v>
      </c>
    </row>
    <row r="518" spans="2:2" x14ac:dyDescent="0.25">
      <c r="B518" t="s">
        <v>824</v>
      </c>
    </row>
    <row r="519" spans="2:2" x14ac:dyDescent="0.25">
      <c r="B519" t="s">
        <v>491</v>
      </c>
    </row>
    <row r="520" spans="2:2" x14ac:dyDescent="0.25">
      <c r="B520" t="s">
        <v>1760</v>
      </c>
    </row>
    <row r="521" spans="2:2" x14ac:dyDescent="0.25">
      <c r="B521" t="s">
        <v>1392</v>
      </c>
    </row>
    <row r="522" spans="2:2" x14ac:dyDescent="0.25">
      <c r="B522" t="s">
        <v>551</v>
      </c>
    </row>
    <row r="523" spans="2:2" x14ac:dyDescent="0.25">
      <c r="B523" t="s">
        <v>693</v>
      </c>
    </row>
    <row r="524" spans="2:2" x14ac:dyDescent="0.25">
      <c r="B524" t="s">
        <v>573</v>
      </c>
    </row>
    <row r="525" spans="2:2" x14ac:dyDescent="0.25">
      <c r="B525" t="s">
        <v>319</v>
      </c>
    </row>
    <row r="526" spans="2:2" x14ac:dyDescent="0.25">
      <c r="B526" t="s">
        <v>416</v>
      </c>
    </row>
    <row r="527" spans="2:2" x14ac:dyDescent="0.25">
      <c r="B527" t="s">
        <v>1523</v>
      </c>
    </row>
    <row r="528" spans="2:2" x14ac:dyDescent="0.25">
      <c r="B528" t="s">
        <v>343</v>
      </c>
    </row>
    <row r="529" spans="2:2" x14ac:dyDescent="0.25">
      <c r="B529" t="s">
        <v>1115</v>
      </c>
    </row>
    <row r="530" spans="2:2" x14ac:dyDescent="0.25">
      <c r="B530" t="s">
        <v>548</v>
      </c>
    </row>
    <row r="531" spans="2:2" x14ac:dyDescent="0.25">
      <c r="B531" t="s">
        <v>419</v>
      </c>
    </row>
    <row r="532" spans="2:2" x14ac:dyDescent="0.25">
      <c r="B532" t="s">
        <v>1267</v>
      </c>
    </row>
    <row r="533" spans="2:2" x14ac:dyDescent="0.25">
      <c r="B533" t="s">
        <v>646</v>
      </c>
    </row>
    <row r="534" spans="2:2" x14ac:dyDescent="0.25">
      <c r="B534" t="s">
        <v>143</v>
      </c>
    </row>
    <row r="535" spans="2:2" x14ac:dyDescent="0.25">
      <c r="B535" t="s">
        <v>1007</v>
      </c>
    </row>
    <row r="536" spans="2:2" x14ac:dyDescent="0.25">
      <c r="B536" t="s">
        <v>71</v>
      </c>
    </row>
    <row r="537" spans="2:2" x14ac:dyDescent="0.25">
      <c r="B537" t="s">
        <v>1243</v>
      </c>
    </row>
    <row r="538" spans="2:2" x14ac:dyDescent="0.25">
      <c r="B538" t="s">
        <v>1380</v>
      </c>
    </row>
    <row r="539" spans="2:2" x14ac:dyDescent="0.25">
      <c r="B539" t="s">
        <v>1227</v>
      </c>
    </row>
    <row r="540" spans="2:2" x14ac:dyDescent="0.25">
      <c r="B540" t="s">
        <v>515</v>
      </c>
    </row>
    <row r="541" spans="2:2" x14ac:dyDescent="0.25">
      <c r="B541" t="s">
        <v>943</v>
      </c>
    </row>
    <row r="542" spans="2:2" x14ac:dyDescent="0.25">
      <c r="B542" t="s">
        <v>958</v>
      </c>
    </row>
    <row r="543" spans="2:2" x14ac:dyDescent="0.25">
      <c r="B543" t="s">
        <v>1479</v>
      </c>
    </row>
    <row r="544" spans="2:2" x14ac:dyDescent="0.25">
      <c r="B544" t="s">
        <v>1075</v>
      </c>
    </row>
    <row r="545" spans="2:2" x14ac:dyDescent="0.25">
      <c r="B545" t="s">
        <v>1258</v>
      </c>
    </row>
    <row r="546" spans="2:2" x14ac:dyDescent="0.25">
      <c r="B546" t="s">
        <v>735</v>
      </c>
    </row>
    <row r="547" spans="2:2" x14ac:dyDescent="0.25">
      <c r="B547" t="s">
        <v>98</v>
      </c>
    </row>
    <row r="548" spans="2:2" x14ac:dyDescent="0.25">
      <c r="B548" t="s">
        <v>1750</v>
      </c>
    </row>
    <row r="549" spans="2:2" x14ac:dyDescent="0.25">
      <c r="B549" t="s">
        <v>1653</v>
      </c>
    </row>
    <row r="550" spans="2:2" x14ac:dyDescent="0.25">
      <c r="B550" t="s">
        <v>137</v>
      </c>
    </row>
    <row r="551" spans="2:2" x14ac:dyDescent="0.25">
      <c r="B551" t="s">
        <v>1680</v>
      </c>
    </row>
    <row r="552" spans="2:2" x14ac:dyDescent="0.25">
      <c r="B552" t="s">
        <v>1352</v>
      </c>
    </row>
    <row r="553" spans="2:2" x14ac:dyDescent="0.25">
      <c r="B553" t="s">
        <v>884</v>
      </c>
    </row>
    <row r="554" spans="2:2" x14ac:dyDescent="0.25">
      <c r="B554" t="s">
        <v>27</v>
      </c>
    </row>
    <row r="555" spans="2:2" x14ac:dyDescent="0.25">
      <c r="B555" t="s">
        <v>298</v>
      </c>
    </row>
    <row r="556" spans="2:2" x14ac:dyDescent="0.25">
      <c r="B556" t="s">
        <v>314</v>
      </c>
    </row>
    <row r="557" spans="2:2" x14ac:dyDescent="0.25">
      <c r="B557" t="s">
        <v>97</v>
      </c>
    </row>
    <row r="558" spans="2:2" x14ac:dyDescent="0.25">
      <c r="B558" t="s">
        <v>1284</v>
      </c>
    </row>
    <row r="559" spans="2:2" x14ac:dyDescent="0.25">
      <c r="B559" t="s">
        <v>864</v>
      </c>
    </row>
    <row r="560" spans="2:2" x14ac:dyDescent="0.25">
      <c r="B560" t="s">
        <v>716</v>
      </c>
    </row>
    <row r="561" spans="2:2" x14ac:dyDescent="0.25">
      <c r="B561" t="s">
        <v>1734</v>
      </c>
    </row>
    <row r="562" spans="2:2" x14ac:dyDescent="0.25">
      <c r="B562" t="s">
        <v>649</v>
      </c>
    </row>
    <row r="563" spans="2:2" x14ac:dyDescent="0.25">
      <c r="B563" t="s">
        <v>617</v>
      </c>
    </row>
    <row r="564" spans="2:2" x14ac:dyDescent="0.25">
      <c r="B564" t="s">
        <v>1588</v>
      </c>
    </row>
    <row r="565" spans="2:2" x14ac:dyDescent="0.25">
      <c r="B565" t="s">
        <v>1685</v>
      </c>
    </row>
    <row r="566" spans="2:2" x14ac:dyDescent="0.25">
      <c r="B566" t="s">
        <v>94</v>
      </c>
    </row>
    <row r="567" spans="2:2" x14ac:dyDescent="0.25">
      <c r="B567" t="s">
        <v>244</v>
      </c>
    </row>
    <row r="568" spans="2:2" x14ac:dyDescent="0.25">
      <c r="B568" t="s">
        <v>321</v>
      </c>
    </row>
    <row r="569" spans="2:2" x14ac:dyDescent="0.25">
      <c r="B569" t="s">
        <v>1006</v>
      </c>
    </row>
    <row r="570" spans="2:2" x14ac:dyDescent="0.25">
      <c r="B570" t="s">
        <v>935</v>
      </c>
    </row>
    <row r="571" spans="2:2" x14ac:dyDescent="0.25">
      <c r="B571" t="s">
        <v>333</v>
      </c>
    </row>
    <row r="572" spans="2:2" x14ac:dyDescent="0.25">
      <c r="B572" t="s">
        <v>670</v>
      </c>
    </row>
    <row r="573" spans="2:2" x14ac:dyDescent="0.25">
      <c r="B573" t="s">
        <v>639</v>
      </c>
    </row>
    <row r="574" spans="2:2" x14ac:dyDescent="0.25">
      <c r="B574" t="s">
        <v>641</v>
      </c>
    </row>
    <row r="575" spans="2:2" x14ac:dyDescent="0.25">
      <c r="B575" t="s">
        <v>1572</v>
      </c>
    </row>
    <row r="576" spans="2:2" x14ac:dyDescent="0.25">
      <c r="B576" t="s">
        <v>1016</v>
      </c>
    </row>
    <row r="577" spans="2:2" x14ac:dyDescent="0.25">
      <c r="B577" t="s">
        <v>802</v>
      </c>
    </row>
    <row r="578" spans="2:2" x14ac:dyDescent="0.25">
      <c r="B578" t="s">
        <v>1476</v>
      </c>
    </row>
    <row r="579" spans="2:2" x14ac:dyDescent="0.25">
      <c r="B579" t="s">
        <v>1688</v>
      </c>
    </row>
    <row r="580" spans="2:2" x14ac:dyDescent="0.25">
      <c r="B580" t="s">
        <v>906</v>
      </c>
    </row>
    <row r="581" spans="2:2" x14ac:dyDescent="0.25">
      <c r="B581" t="s">
        <v>571</v>
      </c>
    </row>
    <row r="582" spans="2:2" x14ac:dyDescent="0.25">
      <c r="B582" t="s">
        <v>146</v>
      </c>
    </row>
    <row r="583" spans="2:2" x14ac:dyDescent="0.25">
      <c r="B583" t="s">
        <v>499</v>
      </c>
    </row>
    <row r="584" spans="2:2" x14ac:dyDescent="0.25">
      <c r="B584" t="s">
        <v>1529</v>
      </c>
    </row>
    <row r="585" spans="2:2" x14ac:dyDescent="0.25">
      <c r="B585" t="s">
        <v>608</v>
      </c>
    </row>
    <row r="586" spans="2:2" x14ac:dyDescent="0.25">
      <c r="B586" t="s">
        <v>1314</v>
      </c>
    </row>
    <row r="587" spans="2:2" x14ac:dyDescent="0.25">
      <c r="B587" t="s">
        <v>1024</v>
      </c>
    </row>
    <row r="588" spans="2:2" x14ac:dyDescent="0.25">
      <c r="B588" t="s">
        <v>955</v>
      </c>
    </row>
    <row r="589" spans="2:2" x14ac:dyDescent="0.25">
      <c r="B589" t="s">
        <v>568</v>
      </c>
    </row>
    <row r="590" spans="2:2" x14ac:dyDescent="0.25">
      <c r="B590" t="s">
        <v>1489</v>
      </c>
    </row>
    <row r="591" spans="2:2" x14ac:dyDescent="0.25">
      <c r="B591" t="s">
        <v>95</v>
      </c>
    </row>
    <row r="592" spans="2:2" x14ac:dyDescent="0.25">
      <c r="B592" t="s">
        <v>210</v>
      </c>
    </row>
    <row r="593" spans="2:2" x14ac:dyDescent="0.25">
      <c r="B593" t="s">
        <v>1551</v>
      </c>
    </row>
    <row r="594" spans="2:2" x14ac:dyDescent="0.25">
      <c r="B594" t="s">
        <v>1131</v>
      </c>
    </row>
    <row r="595" spans="2:2" x14ac:dyDescent="0.25">
      <c r="B595" t="s">
        <v>233</v>
      </c>
    </row>
    <row r="596" spans="2:2" x14ac:dyDescent="0.25">
      <c r="B596" t="s">
        <v>1163</v>
      </c>
    </row>
    <row r="597" spans="2:2" x14ac:dyDescent="0.25">
      <c r="B597" t="s">
        <v>979</v>
      </c>
    </row>
    <row r="598" spans="2:2" x14ac:dyDescent="0.25">
      <c r="B598" t="s">
        <v>1232</v>
      </c>
    </row>
    <row r="599" spans="2:2" x14ac:dyDescent="0.25">
      <c r="B599" t="s">
        <v>730</v>
      </c>
    </row>
    <row r="600" spans="2:2" x14ac:dyDescent="0.25">
      <c r="B600" t="s">
        <v>392</v>
      </c>
    </row>
    <row r="601" spans="2:2" x14ac:dyDescent="0.25">
      <c r="B601" t="s">
        <v>972</v>
      </c>
    </row>
    <row r="602" spans="2:2" x14ac:dyDescent="0.25">
      <c r="B602" t="s">
        <v>529</v>
      </c>
    </row>
    <row r="603" spans="2:2" x14ac:dyDescent="0.25">
      <c r="B603" t="s">
        <v>336</v>
      </c>
    </row>
    <row r="604" spans="2:2" x14ac:dyDescent="0.25">
      <c r="B604" t="s">
        <v>727</v>
      </c>
    </row>
    <row r="605" spans="2:2" x14ac:dyDescent="0.25">
      <c r="B605" t="s">
        <v>1001</v>
      </c>
    </row>
    <row r="606" spans="2:2" x14ac:dyDescent="0.25">
      <c r="B606" t="s">
        <v>40</v>
      </c>
    </row>
    <row r="607" spans="2:2" x14ac:dyDescent="0.25">
      <c r="B607" t="s">
        <v>1377</v>
      </c>
    </row>
    <row r="608" spans="2:2" x14ac:dyDescent="0.25">
      <c r="B608" t="s">
        <v>706</v>
      </c>
    </row>
    <row r="609" spans="2:2" x14ac:dyDescent="0.25">
      <c r="B609" t="s">
        <v>1095</v>
      </c>
    </row>
    <row r="610" spans="2:2" x14ac:dyDescent="0.25">
      <c r="B610" t="s">
        <v>254</v>
      </c>
    </row>
    <row r="611" spans="2:2" x14ac:dyDescent="0.25">
      <c r="B611" t="s">
        <v>1542</v>
      </c>
    </row>
    <row r="612" spans="2:2" x14ac:dyDescent="0.25">
      <c r="B612" t="s">
        <v>282</v>
      </c>
    </row>
    <row r="613" spans="2:2" x14ac:dyDescent="0.25">
      <c r="B613" t="s">
        <v>1374</v>
      </c>
    </row>
    <row r="614" spans="2:2" x14ac:dyDescent="0.25">
      <c r="B614" t="s">
        <v>1426</v>
      </c>
    </row>
    <row r="615" spans="2:2" x14ac:dyDescent="0.25">
      <c r="B615" t="s">
        <v>1069</v>
      </c>
    </row>
    <row r="616" spans="2:2" x14ac:dyDescent="0.25">
      <c r="B616" t="s">
        <v>408</v>
      </c>
    </row>
    <row r="617" spans="2:2" x14ac:dyDescent="0.25">
      <c r="B617" t="s">
        <v>1126</v>
      </c>
    </row>
    <row r="618" spans="2:2" x14ac:dyDescent="0.25">
      <c r="B618" t="s">
        <v>934</v>
      </c>
    </row>
    <row r="619" spans="2:2" x14ac:dyDescent="0.25">
      <c r="B619" t="s">
        <v>1337</v>
      </c>
    </row>
    <row r="620" spans="2:2" x14ac:dyDescent="0.25">
      <c r="B620" t="s">
        <v>1493</v>
      </c>
    </row>
    <row r="621" spans="2:2" x14ac:dyDescent="0.25">
      <c r="B621" t="s">
        <v>1486</v>
      </c>
    </row>
    <row r="622" spans="2:2" x14ac:dyDescent="0.25">
      <c r="B622" t="s">
        <v>1504</v>
      </c>
    </row>
    <row r="623" spans="2:2" x14ac:dyDescent="0.25">
      <c r="B623" t="s">
        <v>1173</v>
      </c>
    </row>
    <row r="624" spans="2:2" x14ac:dyDescent="0.25">
      <c r="B624" t="s">
        <v>192</v>
      </c>
    </row>
    <row r="625" spans="2:2" x14ac:dyDescent="0.25">
      <c r="B625" t="s">
        <v>360</v>
      </c>
    </row>
    <row r="626" spans="2:2" x14ac:dyDescent="0.25">
      <c r="B626" t="s">
        <v>671</v>
      </c>
    </row>
    <row r="627" spans="2:2" x14ac:dyDescent="0.25">
      <c r="B627" t="s">
        <v>1646</v>
      </c>
    </row>
    <row r="628" spans="2:2" x14ac:dyDescent="0.25">
      <c r="B628" t="s">
        <v>992</v>
      </c>
    </row>
    <row r="629" spans="2:2" x14ac:dyDescent="0.25">
      <c r="B629" t="s">
        <v>1158</v>
      </c>
    </row>
    <row r="630" spans="2:2" x14ac:dyDescent="0.25">
      <c r="B630" t="s">
        <v>1144</v>
      </c>
    </row>
    <row r="631" spans="2:2" x14ac:dyDescent="0.25">
      <c r="B631" t="s">
        <v>144</v>
      </c>
    </row>
    <row r="632" spans="2:2" x14ac:dyDescent="0.25">
      <c r="B632" t="s">
        <v>229</v>
      </c>
    </row>
    <row r="633" spans="2:2" x14ac:dyDescent="0.25">
      <c r="B633" t="s">
        <v>626</v>
      </c>
    </row>
    <row r="634" spans="2:2" x14ac:dyDescent="0.25">
      <c r="B634" t="s">
        <v>1771</v>
      </c>
    </row>
    <row r="635" spans="2:2" x14ac:dyDescent="0.25">
      <c r="B635" t="s">
        <v>1229</v>
      </c>
    </row>
    <row r="636" spans="2:2" x14ac:dyDescent="0.25">
      <c r="B636" t="s">
        <v>1467</v>
      </c>
    </row>
    <row r="637" spans="2:2" x14ac:dyDescent="0.25">
      <c r="B637" t="s">
        <v>1619</v>
      </c>
    </row>
    <row r="638" spans="2:2" x14ac:dyDescent="0.25">
      <c r="B638" t="s">
        <v>401</v>
      </c>
    </row>
    <row r="639" spans="2:2" x14ac:dyDescent="0.25">
      <c r="B639" t="s">
        <v>472</v>
      </c>
    </row>
    <row r="640" spans="2:2" x14ac:dyDescent="0.25">
      <c r="B640" t="s">
        <v>1151</v>
      </c>
    </row>
    <row r="641" spans="2:2" x14ac:dyDescent="0.25">
      <c r="B641" t="s">
        <v>1409</v>
      </c>
    </row>
    <row r="642" spans="2:2" x14ac:dyDescent="0.25">
      <c r="B642" t="s">
        <v>692</v>
      </c>
    </row>
    <row r="643" spans="2:2" x14ac:dyDescent="0.25">
      <c r="B643" t="s">
        <v>1047</v>
      </c>
    </row>
    <row r="644" spans="2:2" x14ac:dyDescent="0.25">
      <c r="B644" t="s">
        <v>1327</v>
      </c>
    </row>
    <row r="645" spans="2:2" x14ac:dyDescent="0.25">
      <c r="B645" t="s">
        <v>582</v>
      </c>
    </row>
    <row r="646" spans="2:2" x14ac:dyDescent="0.25">
      <c r="B646" t="s">
        <v>58</v>
      </c>
    </row>
    <row r="647" spans="2:2" x14ac:dyDescent="0.25">
      <c r="B647" t="s">
        <v>177</v>
      </c>
    </row>
    <row r="648" spans="2:2" x14ac:dyDescent="0.25">
      <c r="B648" t="s">
        <v>1354</v>
      </c>
    </row>
    <row r="649" spans="2:2" x14ac:dyDescent="0.25">
      <c r="B649" t="s">
        <v>66</v>
      </c>
    </row>
    <row r="650" spans="2:2" x14ac:dyDescent="0.25">
      <c r="B650" t="s">
        <v>1165</v>
      </c>
    </row>
    <row r="651" spans="2:2" x14ac:dyDescent="0.25">
      <c r="B651" t="s">
        <v>1447</v>
      </c>
    </row>
    <row r="652" spans="2:2" x14ac:dyDescent="0.25">
      <c r="B652" t="s">
        <v>593</v>
      </c>
    </row>
    <row r="653" spans="2:2" x14ac:dyDescent="0.25">
      <c r="B653" t="s">
        <v>911</v>
      </c>
    </row>
    <row r="654" spans="2:2" x14ac:dyDescent="0.25">
      <c r="B654" t="s">
        <v>721</v>
      </c>
    </row>
    <row r="655" spans="2:2" x14ac:dyDescent="0.25">
      <c r="B655" t="s">
        <v>890</v>
      </c>
    </row>
    <row r="656" spans="2:2" x14ac:dyDescent="0.25">
      <c r="B656" t="s">
        <v>1639</v>
      </c>
    </row>
    <row r="657" spans="2:2" x14ac:dyDescent="0.25">
      <c r="B657" t="s">
        <v>1300</v>
      </c>
    </row>
    <row r="658" spans="2:2" x14ac:dyDescent="0.25">
      <c r="B658" t="s">
        <v>744</v>
      </c>
    </row>
    <row r="659" spans="2:2" x14ac:dyDescent="0.25">
      <c r="B659" t="s">
        <v>402</v>
      </c>
    </row>
    <row r="660" spans="2:2" x14ac:dyDescent="0.25">
      <c r="B660" t="s">
        <v>323</v>
      </c>
    </row>
    <row r="661" spans="2:2" x14ac:dyDescent="0.25">
      <c r="B661" t="s">
        <v>584</v>
      </c>
    </row>
    <row r="662" spans="2:2" x14ac:dyDescent="0.25">
      <c r="B662" t="s">
        <v>375</v>
      </c>
    </row>
    <row r="663" spans="2:2" x14ac:dyDescent="0.25">
      <c r="B663" t="s">
        <v>1728</v>
      </c>
    </row>
    <row r="664" spans="2:2" x14ac:dyDescent="0.25">
      <c r="B664" t="s">
        <v>1744</v>
      </c>
    </row>
    <row r="665" spans="2:2" x14ac:dyDescent="0.25">
      <c r="B665" t="s">
        <v>33</v>
      </c>
    </row>
    <row r="666" spans="2:2" x14ac:dyDescent="0.25">
      <c r="B666" t="s">
        <v>659</v>
      </c>
    </row>
    <row r="667" spans="2:2" x14ac:dyDescent="0.25">
      <c r="B667" t="s">
        <v>398</v>
      </c>
    </row>
    <row r="668" spans="2:2" x14ac:dyDescent="0.25">
      <c r="B668" t="s">
        <v>325</v>
      </c>
    </row>
    <row r="669" spans="2:2" x14ac:dyDescent="0.25">
      <c r="B669" t="s">
        <v>1022</v>
      </c>
    </row>
    <row r="670" spans="2:2" x14ac:dyDescent="0.25">
      <c r="B670" t="s">
        <v>1516</v>
      </c>
    </row>
    <row r="671" spans="2:2" x14ac:dyDescent="0.25">
      <c r="B671" t="s">
        <v>796</v>
      </c>
    </row>
    <row r="672" spans="2:2" x14ac:dyDescent="0.25">
      <c r="B672" t="s">
        <v>1552</v>
      </c>
    </row>
    <row r="673" spans="2:2" x14ac:dyDescent="0.25">
      <c r="B673" t="s">
        <v>1431</v>
      </c>
    </row>
    <row r="674" spans="2:2" x14ac:dyDescent="0.25">
      <c r="B674" t="s">
        <v>1583</v>
      </c>
    </row>
    <row r="675" spans="2:2" x14ac:dyDescent="0.25">
      <c r="B675" t="s">
        <v>1633</v>
      </c>
    </row>
    <row r="676" spans="2:2" x14ac:dyDescent="0.25">
      <c r="B676" t="s">
        <v>1325</v>
      </c>
    </row>
    <row r="677" spans="2:2" x14ac:dyDescent="0.25">
      <c r="B677" t="s">
        <v>32</v>
      </c>
    </row>
    <row r="678" spans="2:2" x14ac:dyDescent="0.25">
      <c r="B678" t="s">
        <v>448</v>
      </c>
    </row>
    <row r="679" spans="2:2" x14ac:dyDescent="0.25">
      <c r="B679" t="s">
        <v>580</v>
      </c>
    </row>
    <row r="680" spans="2:2" x14ac:dyDescent="0.25">
      <c r="B680" t="s">
        <v>552</v>
      </c>
    </row>
    <row r="681" spans="2:2" x14ac:dyDescent="0.25">
      <c r="B681" t="s">
        <v>1299</v>
      </c>
    </row>
    <row r="682" spans="2:2" x14ac:dyDescent="0.25">
      <c r="B682" t="s">
        <v>240</v>
      </c>
    </row>
    <row r="683" spans="2:2" x14ac:dyDescent="0.25">
      <c r="B683" t="s">
        <v>997</v>
      </c>
    </row>
    <row r="684" spans="2:2" x14ac:dyDescent="0.25">
      <c r="B684" t="s">
        <v>776</v>
      </c>
    </row>
    <row r="685" spans="2:2" x14ac:dyDescent="0.25">
      <c r="B685" t="s">
        <v>214</v>
      </c>
    </row>
    <row r="686" spans="2:2" x14ac:dyDescent="0.25">
      <c r="B686" t="s">
        <v>542</v>
      </c>
    </row>
    <row r="687" spans="2:2" x14ac:dyDescent="0.25">
      <c r="B687" t="s">
        <v>863</v>
      </c>
    </row>
    <row r="688" spans="2:2" x14ac:dyDescent="0.25">
      <c r="B688" t="s">
        <v>475</v>
      </c>
    </row>
    <row r="689" spans="2:2" x14ac:dyDescent="0.25">
      <c r="B689" t="s">
        <v>1019</v>
      </c>
    </row>
    <row r="690" spans="2:2" x14ac:dyDescent="0.25">
      <c r="B690" t="s">
        <v>1508</v>
      </c>
    </row>
    <row r="691" spans="2:2" x14ac:dyDescent="0.25">
      <c r="B691" t="s">
        <v>1036</v>
      </c>
    </row>
    <row r="692" spans="2:2" x14ac:dyDescent="0.25">
      <c r="B692" t="s">
        <v>908</v>
      </c>
    </row>
    <row r="693" spans="2:2" x14ac:dyDescent="0.25">
      <c r="B693" t="s">
        <v>1385</v>
      </c>
    </row>
    <row r="694" spans="2:2" x14ac:dyDescent="0.25">
      <c r="B694" t="s">
        <v>1268</v>
      </c>
    </row>
    <row r="695" spans="2:2" x14ac:dyDescent="0.25">
      <c r="B695" t="s">
        <v>393</v>
      </c>
    </row>
    <row r="696" spans="2:2" x14ac:dyDescent="0.25">
      <c r="B696" t="s">
        <v>605</v>
      </c>
    </row>
    <row r="697" spans="2:2" x14ac:dyDescent="0.25">
      <c r="B697" t="s">
        <v>403</v>
      </c>
    </row>
    <row r="698" spans="2:2" x14ac:dyDescent="0.25">
      <c r="B698" t="s">
        <v>888</v>
      </c>
    </row>
    <row r="699" spans="2:2" x14ac:dyDescent="0.25">
      <c r="B699" t="s">
        <v>647</v>
      </c>
    </row>
    <row r="700" spans="2:2" x14ac:dyDescent="0.25">
      <c r="B700" t="s">
        <v>1649</v>
      </c>
    </row>
    <row r="701" spans="2:2" x14ac:dyDescent="0.25">
      <c r="B701" t="s">
        <v>917</v>
      </c>
    </row>
    <row r="702" spans="2:2" x14ac:dyDescent="0.25">
      <c r="B702" t="s">
        <v>768</v>
      </c>
    </row>
    <row r="703" spans="2:2" x14ac:dyDescent="0.25">
      <c r="B703" t="s">
        <v>1430</v>
      </c>
    </row>
    <row r="704" spans="2:2" x14ac:dyDescent="0.25">
      <c r="B704" t="s">
        <v>1676</v>
      </c>
    </row>
    <row r="705" spans="2:2" x14ac:dyDescent="0.25">
      <c r="B705" t="s">
        <v>169</v>
      </c>
    </row>
    <row r="706" spans="2:2" x14ac:dyDescent="0.25">
      <c r="B706" t="s">
        <v>454</v>
      </c>
    </row>
    <row r="707" spans="2:2" x14ac:dyDescent="0.25">
      <c r="B707" t="s">
        <v>1420</v>
      </c>
    </row>
    <row r="708" spans="2:2" x14ac:dyDescent="0.25">
      <c r="B708" t="s">
        <v>585</v>
      </c>
    </row>
    <row r="709" spans="2:2" x14ac:dyDescent="0.25">
      <c r="B709" t="s">
        <v>509</v>
      </c>
    </row>
    <row r="710" spans="2:2" x14ac:dyDescent="0.25">
      <c r="B710" t="s">
        <v>344</v>
      </c>
    </row>
    <row r="711" spans="2:2" x14ac:dyDescent="0.25">
      <c r="B711" t="s">
        <v>183</v>
      </c>
    </row>
    <row r="712" spans="2:2" x14ac:dyDescent="0.25">
      <c r="B712" t="s">
        <v>522</v>
      </c>
    </row>
    <row r="713" spans="2:2" x14ac:dyDescent="0.25">
      <c r="B713" t="s">
        <v>689</v>
      </c>
    </row>
    <row r="714" spans="2:2" x14ac:dyDescent="0.25">
      <c r="B714" t="s">
        <v>770</v>
      </c>
    </row>
    <row r="715" spans="2:2" x14ac:dyDescent="0.25">
      <c r="B715" t="s">
        <v>931</v>
      </c>
    </row>
    <row r="716" spans="2:2" x14ac:dyDescent="0.25">
      <c r="B716" t="s">
        <v>891</v>
      </c>
    </row>
    <row r="717" spans="2:2" x14ac:dyDescent="0.25">
      <c r="B717" t="s">
        <v>498</v>
      </c>
    </row>
    <row r="718" spans="2:2" x14ac:dyDescent="0.25">
      <c r="B718" t="s">
        <v>978</v>
      </c>
    </row>
    <row r="719" spans="2:2" x14ac:dyDescent="0.25">
      <c r="B719" t="s">
        <v>818</v>
      </c>
    </row>
    <row r="720" spans="2:2" x14ac:dyDescent="0.25">
      <c r="B720" t="s">
        <v>241</v>
      </c>
    </row>
    <row r="721" spans="2:2" x14ac:dyDescent="0.25">
      <c r="B721" t="s">
        <v>1375</v>
      </c>
    </row>
    <row r="722" spans="2:2" x14ac:dyDescent="0.25">
      <c r="B722" t="s">
        <v>204</v>
      </c>
    </row>
    <row r="723" spans="2:2" x14ac:dyDescent="0.25">
      <c r="B723" t="s">
        <v>1541</v>
      </c>
    </row>
    <row r="724" spans="2:2" x14ac:dyDescent="0.25">
      <c r="B724" t="s">
        <v>1045</v>
      </c>
    </row>
    <row r="725" spans="2:2" x14ac:dyDescent="0.25">
      <c r="B725" t="s">
        <v>1647</v>
      </c>
    </row>
    <row r="726" spans="2:2" x14ac:dyDescent="0.25">
      <c r="B726" t="s">
        <v>1298</v>
      </c>
    </row>
    <row r="727" spans="2:2" x14ac:dyDescent="0.25">
      <c r="B727" t="s">
        <v>624</v>
      </c>
    </row>
    <row r="728" spans="2:2" x14ac:dyDescent="0.25">
      <c r="B728" t="s">
        <v>860</v>
      </c>
    </row>
    <row r="729" spans="2:2" x14ac:dyDescent="0.25">
      <c r="B729" t="s">
        <v>372</v>
      </c>
    </row>
    <row r="730" spans="2:2" x14ac:dyDescent="0.25">
      <c r="B730" t="s">
        <v>505</v>
      </c>
    </row>
    <row r="731" spans="2:2" x14ac:dyDescent="0.25">
      <c r="B731" t="s">
        <v>1147</v>
      </c>
    </row>
    <row r="732" spans="2:2" x14ac:dyDescent="0.25">
      <c r="B732" t="s">
        <v>701</v>
      </c>
    </row>
    <row r="733" spans="2:2" x14ac:dyDescent="0.25">
      <c r="B733" t="s">
        <v>811</v>
      </c>
    </row>
    <row r="734" spans="2:2" x14ac:dyDescent="0.25">
      <c r="B734" t="s">
        <v>57</v>
      </c>
    </row>
    <row r="735" spans="2:2" x14ac:dyDescent="0.25">
      <c r="B735" t="s">
        <v>371</v>
      </c>
    </row>
    <row r="736" spans="2:2" x14ac:dyDescent="0.25">
      <c r="B736" t="s">
        <v>1137</v>
      </c>
    </row>
    <row r="737" spans="2:2" x14ac:dyDescent="0.25">
      <c r="B737" t="s">
        <v>1607</v>
      </c>
    </row>
    <row r="738" spans="2:2" x14ac:dyDescent="0.25">
      <c r="B738" t="s">
        <v>512</v>
      </c>
    </row>
    <row r="739" spans="2:2" x14ac:dyDescent="0.25">
      <c r="B739" t="s">
        <v>669</v>
      </c>
    </row>
    <row r="740" spans="2:2" x14ac:dyDescent="0.25">
      <c r="B740" t="s">
        <v>1241</v>
      </c>
    </row>
    <row r="741" spans="2:2" x14ac:dyDescent="0.25">
      <c r="B741" t="s">
        <v>452</v>
      </c>
    </row>
    <row r="742" spans="2:2" x14ac:dyDescent="0.25">
      <c r="B742" t="s">
        <v>1066</v>
      </c>
    </row>
    <row r="743" spans="2:2" x14ac:dyDescent="0.25">
      <c r="B743" t="s">
        <v>361</v>
      </c>
    </row>
    <row r="744" spans="2:2" x14ac:dyDescent="0.25">
      <c r="B744" t="s">
        <v>1101</v>
      </c>
    </row>
    <row r="745" spans="2:2" x14ac:dyDescent="0.25">
      <c r="B745" t="s">
        <v>856</v>
      </c>
    </row>
    <row r="746" spans="2:2" x14ac:dyDescent="0.25">
      <c r="B746" t="s">
        <v>1752</v>
      </c>
    </row>
    <row r="747" spans="2:2" x14ac:dyDescent="0.25">
      <c r="B747" t="s">
        <v>561</v>
      </c>
    </row>
    <row r="748" spans="2:2" x14ac:dyDescent="0.25">
      <c r="B748" t="s">
        <v>369</v>
      </c>
    </row>
    <row r="749" spans="2:2" x14ac:dyDescent="0.25">
      <c r="B749" t="s">
        <v>1249</v>
      </c>
    </row>
    <row r="750" spans="2:2" x14ac:dyDescent="0.25">
      <c r="B750" t="s">
        <v>541</v>
      </c>
    </row>
    <row r="751" spans="2:2" x14ac:dyDescent="0.25">
      <c r="B751" t="s">
        <v>194</v>
      </c>
    </row>
    <row r="752" spans="2:2" x14ac:dyDescent="0.25">
      <c r="B752" t="s">
        <v>405</v>
      </c>
    </row>
    <row r="753" spans="2:2" x14ac:dyDescent="0.25">
      <c r="B753" t="s">
        <v>1345</v>
      </c>
    </row>
    <row r="754" spans="2:2" x14ac:dyDescent="0.25">
      <c r="B754" t="s">
        <v>591</v>
      </c>
    </row>
    <row r="755" spans="2:2" x14ac:dyDescent="0.25">
      <c r="B755" t="s">
        <v>447</v>
      </c>
    </row>
    <row r="756" spans="2:2" x14ac:dyDescent="0.25">
      <c r="B756" t="s">
        <v>308</v>
      </c>
    </row>
    <row r="757" spans="2:2" x14ac:dyDescent="0.25">
      <c r="B757" t="s">
        <v>1629</v>
      </c>
    </row>
    <row r="758" spans="2:2" x14ac:dyDescent="0.25">
      <c r="B758" t="s">
        <v>650</v>
      </c>
    </row>
    <row r="759" spans="2:2" x14ac:dyDescent="0.25">
      <c r="B759" t="s">
        <v>1758</v>
      </c>
    </row>
    <row r="760" spans="2:2" x14ac:dyDescent="0.25">
      <c r="B760" t="s">
        <v>539</v>
      </c>
    </row>
    <row r="761" spans="2:2" x14ac:dyDescent="0.25">
      <c r="B761" t="s">
        <v>1718</v>
      </c>
    </row>
    <row r="762" spans="2:2" x14ac:dyDescent="0.25">
      <c r="B762" t="s">
        <v>758</v>
      </c>
    </row>
    <row r="763" spans="2:2" x14ac:dyDescent="0.25">
      <c r="B763" t="s">
        <v>70</v>
      </c>
    </row>
    <row r="764" spans="2:2" x14ac:dyDescent="0.25">
      <c r="B764" t="s">
        <v>1697</v>
      </c>
    </row>
    <row r="765" spans="2:2" x14ac:dyDescent="0.25">
      <c r="B765" t="s">
        <v>1255</v>
      </c>
    </row>
    <row r="766" spans="2:2" x14ac:dyDescent="0.25">
      <c r="B766" t="s">
        <v>598</v>
      </c>
    </row>
    <row r="767" spans="2:2" x14ac:dyDescent="0.25">
      <c r="B767" t="s">
        <v>1231</v>
      </c>
    </row>
    <row r="768" spans="2:2" x14ac:dyDescent="0.25">
      <c r="B768" t="s">
        <v>104</v>
      </c>
    </row>
    <row r="769" spans="2:2" x14ac:dyDescent="0.25">
      <c r="B769" t="s">
        <v>96</v>
      </c>
    </row>
    <row r="770" spans="2:2" x14ac:dyDescent="0.25">
      <c r="B770" t="s">
        <v>100</v>
      </c>
    </row>
    <row r="771" spans="2:2" x14ac:dyDescent="0.25">
      <c r="B771" t="s">
        <v>1031</v>
      </c>
    </row>
    <row r="772" spans="2:2" x14ac:dyDescent="0.25">
      <c r="B772" t="s">
        <v>318</v>
      </c>
    </row>
    <row r="773" spans="2:2" x14ac:dyDescent="0.25">
      <c r="B773" t="s">
        <v>1444</v>
      </c>
    </row>
    <row r="774" spans="2:2" x14ac:dyDescent="0.25">
      <c r="B774" t="s">
        <v>1335</v>
      </c>
    </row>
    <row r="775" spans="2:2" x14ac:dyDescent="0.25">
      <c r="B775" t="s">
        <v>154</v>
      </c>
    </row>
    <row r="776" spans="2:2" x14ac:dyDescent="0.25">
      <c r="B776" t="s">
        <v>1548</v>
      </c>
    </row>
    <row r="777" spans="2:2" x14ac:dyDescent="0.25">
      <c r="B777" t="s">
        <v>1081</v>
      </c>
    </row>
    <row r="778" spans="2:2" x14ac:dyDescent="0.25">
      <c r="B778" t="s">
        <v>480</v>
      </c>
    </row>
    <row r="779" spans="2:2" x14ac:dyDescent="0.25">
      <c r="B779" t="s">
        <v>301</v>
      </c>
    </row>
    <row r="780" spans="2:2" x14ac:dyDescent="0.25">
      <c r="B780" t="s">
        <v>538</v>
      </c>
    </row>
    <row r="781" spans="2:2" x14ac:dyDescent="0.25">
      <c r="B781" t="s">
        <v>1175</v>
      </c>
    </row>
    <row r="782" spans="2:2" x14ac:dyDescent="0.25">
      <c r="B782" t="s">
        <v>1171</v>
      </c>
    </row>
    <row r="783" spans="2:2" x14ac:dyDescent="0.25">
      <c r="B783" t="s">
        <v>588</v>
      </c>
    </row>
    <row r="784" spans="2:2" x14ac:dyDescent="0.25">
      <c r="B784" t="s">
        <v>258</v>
      </c>
    </row>
    <row r="785" spans="2:2" x14ac:dyDescent="0.25">
      <c r="B785" t="s">
        <v>912</v>
      </c>
    </row>
    <row r="786" spans="2:2" x14ac:dyDescent="0.25">
      <c r="B786" t="s">
        <v>1745</v>
      </c>
    </row>
    <row r="787" spans="2:2" x14ac:dyDescent="0.25">
      <c r="B787" t="s">
        <v>1590</v>
      </c>
    </row>
    <row r="788" spans="2:2" x14ac:dyDescent="0.25">
      <c r="B788" t="s">
        <v>764</v>
      </c>
    </row>
    <row r="789" spans="2:2" x14ac:dyDescent="0.25">
      <c r="B789" t="s">
        <v>1017</v>
      </c>
    </row>
    <row r="790" spans="2:2" x14ac:dyDescent="0.25">
      <c r="B790" t="s">
        <v>1108</v>
      </c>
    </row>
    <row r="791" spans="2:2" x14ac:dyDescent="0.25">
      <c r="B791" t="s">
        <v>998</v>
      </c>
    </row>
    <row r="792" spans="2:2" x14ac:dyDescent="0.25">
      <c r="B792" t="s">
        <v>433</v>
      </c>
    </row>
    <row r="793" spans="2:2" x14ac:dyDescent="0.25">
      <c r="B793" t="s">
        <v>627</v>
      </c>
    </row>
    <row r="794" spans="2:2" x14ac:dyDescent="0.25">
      <c r="B794" t="s">
        <v>1530</v>
      </c>
    </row>
    <row r="795" spans="2:2" x14ac:dyDescent="0.25">
      <c r="B795" t="s">
        <v>1077</v>
      </c>
    </row>
    <row r="796" spans="2:2" x14ac:dyDescent="0.25">
      <c r="B796" t="s">
        <v>1245</v>
      </c>
    </row>
    <row r="797" spans="2:2" x14ac:dyDescent="0.25">
      <c r="B797" t="s">
        <v>469</v>
      </c>
    </row>
    <row r="798" spans="2:2" x14ac:dyDescent="0.25">
      <c r="B798" t="s">
        <v>898</v>
      </c>
    </row>
    <row r="799" spans="2:2" x14ac:dyDescent="0.25">
      <c r="B799" t="s">
        <v>1100</v>
      </c>
    </row>
    <row r="800" spans="2:2" x14ac:dyDescent="0.25">
      <c r="B800" t="s">
        <v>1396</v>
      </c>
    </row>
    <row r="801" spans="2:2" x14ac:dyDescent="0.25">
      <c r="B801" t="s">
        <v>1225</v>
      </c>
    </row>
    <row r="802" spans="2:2" x14ac:dyDescent="0.25">
      <c r="B802" t="s">
        <v>973</v>
      </c>
    </row>
    <row r="803" spans="2:2" x14ac:dyDescent="0.25">
      <c r="B803" t="s">
        <v>305</v>
      </c>
    </row>
    <row r="804" spans="2:2" x14ac:dyDescent="0.25">
      <c r="B804" t="s">
        <v>633</v>
      </c>
    </row>
    <row r="805" spans="2:2" x14ac:dyDescent="0.25">
      <c r="B805" t="s">
        <v>356</v>
      </c>
    </row>
    <row r="806" spans="2:2" x14ac:dyDescent="0.25">
      <c r="B806" t="s">
        <v>1281</v>
      </c>
    </row>
    <row r="807" spans="2:2" x14ac:dyDescent="0.25">
      <c r="B807" t="s">
        <v>43</v>
      </c>
    </row>
    <row r="808" spans="2:2" x14ac:dyDescent="0.25">
      <c r="B808" t="s">
        <v>1706</v>
      </c>
    </row>
    <row r="809" spans="2:2" x14ac:dyDescent="0.25">
      <c r="B809" t="s">
        <v>165</v>
      </c>
    </row>
    <row r="810" spans="2:2" x14ac:dyDescent="0.25">
      <c r="B810" t="s">
        <v>488</v>
      </c>
    </row>
    <row r="811" spans="2:2" x14ac:dyDescent="0.25">
      <c r="B811" t="s">
        <v>496</v>
      </c>
    </row>
    <row r="812" spans="2:2" x14ac:dyDescent="0.25">
      <c r="B812" t="s">
        <v>466</v>
      </c>
    </row>
    <row r="813" spans="2:2" x14ac:dyDescent="0.25">
      <c r="B813" t="s">
        <v>1712</v>
      </c>
    </row>
    <row r="814" spans="2:2" x14ac:dyDescent="0.25">
      <c r="B814" t="s">
        <v>1172</v>
      </c>
    </row>
    <row r="815" spans="2:2" x14ac:dyDescent="0.25">
      <c r="B815" t="s">
        <v>849</v>
      </c>
    </row>
    <row r="816" spans="2:2" x14ac:dyDescent="0.25">
      <c r="B816" t="s">
        <v>808</v>
      </c>
    </row>
    <row r="817" spans="2:2" x14ac:dyDescent="0.25">
      <c r="B817" t="s">
        <v>123</v>
      </c>
    </row>
    <row r="818" spans="2:2" x14ac:dyDescent="0.25">
      <c r="B818" t="s">
        <v>1769</v>
      </c>
    </row>
    <row r="819" spans="2:2" x14ac:dyDescent="0.25">
      <c r="B819" t="s">
        <v>1492</v>
      </c>
    </row>
    <row r="820" spans="2:2" x14ac:dyDescent="0.25">
      <c r="B820" t="s">
        <v>1223</v>
      </c>
    </row>
    <row r="821" spans="2:2" x14ac:dyDescent="0.25">
      <c r="B821" t="s">
        <v>904</v>
      </c>
    </row>
    <row r="822" spans="2:2" x14ac:dyDescent="0.25">
      <c r="B822" t="s">
        <v>881</v>
      </c>
    </row>
    <row r="823" spans="2:2" x14ac:dyDescent="0.25">
      <c r="B823" t="s">
        <v>117</v>
      </c>
    </row>
    <row r="824" spans="2:2" x14ac:dyDescent="0.25">
      <c r="B824" t="s">
        <v>1133</v>
      </c>
    </row>
    <row r="825" spans="2:2" x14ac:dyDescent="0.25">
      <c r="B825" t="s">
        <v>567</v>
      </c>
    </row>
    <row r="826" spans="2:2" x14ac:dyDescent="0.25">
      <c r="B826" t="s">
        <v>201</v>
      </c>
    </row>
    <row r="827" spans="2:2" x14ac:dyDescent="0.25">
      <c r="B827" t="s">
        <v>417</v>
      </c>
    </row>
    <row r="828" spans="2:2" x14ac:dyDescent="0.25">
      <c r="B828" t="s">
        <v>752</v>
      </c>
    </row>
    <row r="829" spans="2:2" x14ac:dyDescent="0.25">
      <c r="B829" t="s">
        <v>850</v>
      </c>
    </row>
    <row r="830" spans="2:2" x14ac:dyDescent="0.25">
      <c r="B830" t="s">
        <v>631</v>
      </c>
    </row>
    <row r="831" spans="2:2" x14ac:dyDescent="0.25">
      <c r="B831" t="s">
        <v>1290</v>
      </c>
    </row>
    <row r="832" spans="2:2" x14ac:dyDescent="0.25">
      <c r="B832" t="s">
        <v>1195</v>
      </c>
    </row>
    <row r="833" spans="2:2" x14ac:dyDescent="0.25">
      <c r="B833" t="s">
        <v>1199</v>
      </c>
    </row>
    <row r="834" spans="2:2" x14ac:dyDescent="0.25">
      <c r="B834" t="s">
        <v>1700</v>
      </c>
    </row>
    <row r="835" spans="2:2" x14ac:dyDescent="0.25">
      <c r="B835" t="s">
        <v>234</v>
      </c>
    </row>
    <row r="836" spans="2:2" x14ac:dyDescent="0.25">
      <c r="B836" t="s">
        <v>418</v>
      </c>
    </row>
    <row r="837" spans="2:2" x14ac:dyDescent="0.25">
      <c r="B837" t="s">
        <v>980</v>
      </c>
    </row>
    <row r="838" spans="2:2" x14ac:dyDescent="0.25">
      <c r="B838" t="s">
        <v>1210</v>
      </c>
    </row>
    <row r="839" spans="2:2" x14ac:dyDescent="0.25">
      <c r="B839" t="s">
        <v>235</v>
      </c>
    </row>
    <row r="840" spans="2:2" x14ac:dyDescent="0.25">
      <c r="B840" t="s">
        <v>1421</v>
      </c>
    </row>
    <row r="841" spans="2:2" x14ac:dyDescent="0.25">
      <c r="B841" t="s">
        <v>400</v>
      </c>
    </row>
    <row r="842" spans="2:2" x14ac:dyDescent="0.25">
      <c r="B842" t="s">
        <v>853</v>
      </c>
    </row>
    <row r="843" spans="2:2" x14ac:dyDescent="0.25">
      <c r="B843" t="s">
        <v>559</v>
      </c>
    </row>
    <row r="844" spans="2:2" x14ac:dyDescent="0.25">
      <c r="B844" t="s">
        <v>197</v>
      </c>
    </row>
    <row r="845" spans="2:2" x14ac:dyDescent="0.25">
      <c r="B845" t="s">
        <v>1491</v>
      </c>
    </row>
    <row r="846" spans="2:2" x14ac:dyDescent="0.25">
      <c r="B846" t="s">
        <v>1518</v>
      </c>
    </row>
    <row r="847" spans="2:2" x14ac:dyDescent="0.25">
      <c r="B847" t="s">
        <v>334</v>
      </c>
    </row>
    <row r="848" spans="2:2" x14ac:dyDescent="0.25">
      <c r="B848" t="s">
        <v>757</v>
      </c>
    </row>
    <row r="849" spans="2:2" x14ac:dyDescent="0.25">
      <c r="B849" t="s">
        <v>675</v>
      </c>
    </row>
    <row r="850" spans="2:2" x14ac:dyDescent="0.25">
      <c r="B850" t="s">
        <v>1408</v>
      </c>
    </row>
    <row r="851" spans="2:2" x14ac:dyDescent="0.25">
      <c r="B851" t="s">
        <v>645</v>
      </c>
    </row>
    <row r="852" spans="2:2" x14ac:dyDescent="0.25">
      <c r="B852" t="s">
        <v>339</v>
      </c>
    </row>
    <row r="853" spans="2:2" x14ac:dyDescent="0.25">
      <c r="B853" t="s">
        <v>604</v>
      </c>
    </row>
    <row r="854" spans="2:2" x14ac:dyDescent="0.25">
      <c r="B854" t="s">
        <v>833</v>
      </c>
    </row>
    <row r="855" spans="2:2" x14ac:dyDescent="0.25">
      <c r="B855" t="s">
        <v>1043</v>
      </c>
    </row>
    <row r="856" spans="2:2" x14ac:dyDescent="0.25">
      <c r="B856" t="s">
        <v>84</v>
      </c>
    </row>
    <row r="857" spans="2:2" x14ac:dyDescent="0.25">
      <c r="B857" t="s">
        <v>1040</v>
      </c>
    </row>
    <row r="858" spans="2:2" x14ac:dyDescent="0.25">
      <c r="B858" t="s">
        <v>207</v>
      </c>
    </row>
    <row r="859" spans="2:2" x14ac:dyDescent="0.25">
      <c r="B859" t="s">
        <v>667</v>
      </c>
    </row>
    <row r="860" spans="2:2" x14ac:dyDescent="0.25">
      <c r="B860" t="s">
        <v>1737</v>
      </c>
    </row>
    <row r="861" spans="2:2" x14ac:dyDescent="0.25">
      <c r="B861" t="s">
        <v>1124</v>
      </c>
    </row>
    <row r="862" spans="2:2" x14ac:dyDescent="0.25">
      <c r="B862" t="s">
        <v>49</v>
      </c>
    </row>
    <row r="863" spans="2:2" x14ac:dyDescent="0.25">
      <c r="B863" t="s">
        <v>268</v>
      </c>
    </row>
    <row r="864" spans="2:2" x14ac:dyDescent="0.25">
      <c r="B864" t="s">
        <v>1334</v>
      </c>
    </row>
    <row r="865" spans="2:2" x14ac:dyDescent="0.25">
      <c r="B865" t="s">
        <v>1399</v>
      </c>
    </row>
    <row r="866" spans="2:2" x14ac:dyDescent="0.25">
      <c r="B866" t="s">
        <v>1296</v>
      </c>
    </row>
    <row r="867" spans="2:2" x14ac:dyDescent="0.25">
      <c r="B867" t="s">
        <v>1273</v>
      </c>
    </row>
    <row r="868" spans="2:2" x14ac:dyDescent="0.25">
      <c r="B868" t="s">
        <v>611</v>
      </c>
    </row>
    <row r="869" spans="2:2" x14ac:dyDescent="0.25">
      <c r="B869" t="s">
        <v>1291</v>
      </c>
    </row>
    <row r="870" spans="2:2" x14ac:dyDescent="0.25">
      <c r="B870" t="s">
        <v>800</v>
      </c>
    </row>
    <row r="871" spans="2:2" x14ac:dyDescent="0.25">
      <c r="B871" t="s">
        <v>477</v>
      </c>
    </row>
    <row r="872" spans="2:2" x14ac:dyDescent="0.25">
      <c r="B872" t="s">
        <v>1667</v>
      </c>
    </row>
    <row r="873" spans="2:2" x14ac:dyDescent="0.25">
      <c r="B873" t="s">
        <v>1058</v>
      </c>
    </row>
    <row r="874" spans="2:2" x14ac:dyDescent="0.25">
      <c r="B874" t="s">
        <v>527</v>
      </c>
    </row>
    <row r="875" spans="2:2" x14ac:dyDescent="0.25">
      <c r="B875" t="s">
        <v>589</v>
      </c>
    </row>
    <row r="876" spans="2:2" x14ac:dyDescent="0.25">
      <c r="B876" t="s">
        <v>807</v>
      </c>
    </row>
    <row r="877" spans="2:2" x14ac:dyDescent="0.25">
      <c r="B877" t="s">
        <v>1478</v>
      </c>
    </row>
    <row r="878" spans="2:2" x14ac:dyDescent="0.25">
      <c r="B878" t="s">
        <v>87</v>
      </c>
    </row>
    <row r="879" spans="2:2" x14ac:dyDescent="0.25">
      <c r="B879" t="s">
        <v>1630</v>
      </c>
    </row>
    <row r="880" spans="2:2" x14ac:dyDescent="0.25">
      <c r="B880" t="s">
        <v>474</v>
      </c>
    </row>
    <row r="881" spans="2:2" x14ac:dyDescent="0.25">
      <c r="B881" t="s">
        <v>1594</v>
      </c>
    </row>
    <row r="882" spans="2:2" x14ac:dyDescent="0.25">
      <c r="B882" t="s">
        <v>1032</v>
      </c>
    </row>
    <row r="883" spans="2:2" x14ac:dyDescent="0.25">
      <c r="B883" t="s">
        <v>953</v>
      </c>
    </row>
    <row r="884" spans="2:2" x14ac:dyDescent="0.25">
      <c r="B884" t="s">
        <v>652</v>
      </c>
    </row>
    <row r="885" spans="2:2" x14ac:dyDescent="0.25">
      <c r="B885" t="s">
        <v>844</v>
      </c>
    </row>
    <row r="886" spans="2:2" x14ac:dyDescent="0.25">
      <c r="B886" t="s">
        <v>490</v>
      </c>
    </row>
    <row r="887" spans="2:2" x14ac:dyDescent="0.25">
      <c r="B887" t="s">
        <v>1184</v>
      </c>
    </row>
    <row r="888" spans="2:2" x14ac:dyDescent="0.25">
      <c r="B888" t="s">
        <v>845</v>
      </c>
    </row>
    <row r="889" spans="2:2" x14ac:dyDescent="0.25">
      <c r="B889" t="s">
        <v>289</v>
      </c>
    </row>
    <row r="890" spans="2:2" x14ac:dyDescent="0.25">
      <c r="B890" t="s">
        <v>239</v>
      </c>
    </row>
    <row r="891" spans="2:2" x14ac:dyDescent="0.25">
      <c r="B891" t="s">
        <v>481</v>
      </c>
    </row>
    <row r="892" spans="2:2" x14ac:dyDescent="0.25">
      <c r="B892" t="s">
        <v>302</v>
      </c>
    </row>
    <row r="893" spans="2:2" x14ac:dyDescent="0.25">
      <c r="B893" t="s">
        <v>1221</v>
      </c>
    </row>
    <row r="894" spans="2:2" x14ac:dyDescent="0.25">
      <c r="B894" t="s">
        <v>982</v>
      </c>
    </row>
    <row r="895" spans="2:2" x14ac:dyDescent="0.25">
      <c r="B895" t="s">
        <v>1681</v>
      </c>
    </row>
    <row r="896" spans="2:2" x14ac:dyDescent="0.25">
      <c r="B896" t="s">
        <v>1086</v>
      </c>
    </row>
    <row r="897" spans="2:2" x14ac:dyDescent="0.25">
      <c r="B897" t="s">
        <v>731</v>
      </c>
    </row>
    <row r="898" spans="2:2" x14ac:dyDescent="0.25">
      <c r="B898" t="s">
        <v>1561</v>
      </c>
    </row>
    <row r="899" spans="2:2" x14ac:dyDescent="0.25">
      <c r="B899" t="s">
        <v>945</v>
      </c>
    </row>
    <row r="900" spans="2:2" x14ac:dyDescent="0.25">
      <c r="B900" t="s">
        <v>848</v>
      </c>
    </row>
    <row r="901" spans="2:2" x14ac:dyDescent="0.25">
      <c r="B901" t="s">
        <v>196</v>
      </c>
    </row>
    <row r="902" spans="2:2" x14ac:dyDescent="0.25">
      <c r="B902" t="s">
        <v>1339</v>
      </c>
    </row>
    <row r="903" spans="2:2" x14ac:dyDescent="0.25">
      <c r="B903" t="s">
        <v>1059</v>
      </c>
    </row>
    <row r="904" spans="2:2" x14ac:dyDescent="0.25">
      <c r="B904" t="s">
        <v>1018</v>
      </c>
    </row>
    <row r="905" spans="2:2" x14ac:dyDescent="0.25">
      <c r="B905" t="s">
        <v>775</v>
      </c>
    </row>
    <row r="906" spans="2:2" x14ac:dyDescent="0.25">
      <c r="B906" t="s">
        <v>642</v>
      </c>
    </row>
    <row r="907" spans="2:2" x14ac:dyDescent="0.25">
      <c r="B907" t="s">
        <v>219</v>
      </c>
    </row>
    <row r="908" spans="2:2" x14ac:dyDescent="0.25">
      <c r="B908" t="s">
        <v>1028</v>
      </c>
    </row>
    <row r="909" spans="2:2" x14ac:dyDescent="0.25">
      <c r="B909" t="s">
        <v>1336</v>
      </c>
    </row>
    <row r="910" spans="2:2" x14ac:dyDescent="0.25">
      <c r="B910" t="s">
        <v>1146</v>
      </c>
    </row>
    <row r="911" spans="2:2" x14ac:dyDescent="0.25">
      <c r="B911" t="s">
        <v>470</v>
      </c>
    </row>
    <row r="912" spans="2:2" x14ac:dyDescent="0.25">
      <c r="B912" t="s">
        <v>1397</v>
      </c>
    </row>
    <row r="913" spans="2:2" x14ac:dyDescent="0.25">
      <c r="B913" t="s">
        <v>1625</v>
      </c>
    </row>
    <row r="914" spans="2:2" x14ac:dyDescent="0.25">
      <c r="B914" t="s">
        <v>1200</v>
      </c>
    </row>
    <row r="915" spans="2:2" x14ac:dyDescent="0.25">
      <c r="B915" t="s">
        <v>1204</v>
      </c>
    </row>
    <row r="916" spans="2:2" x14ac:dyDescent="0.25">
      <c r="B916" t="s">
        <v>1675</v>
      </c>
    </row>
    <row r="917" spans="2:2" x14ac:dyDescent="0.25">
      <c r="B917" t="s">
        <v>1459</v>
      </c>
    </row>
    <row r="918" spans="2:2" x14ac:dyDescent="0.25">
      <c r="B918" t="s">
        <v>1657</v>
      </c>
    </row>
    <row r="919" spans="2:2" x14ac:dyDescent="0.25">
      <c r="B919" t="s">
        <v>767</v>
      </c>
    </row>
    <row r="920" spans="2:2" x14ac:dyDescent="0.25">
      <c r="B920" t="s">
        <v>697</v>
      </c>
    </row>
    <row r="921" spans="2:2" x14ac:dyDescent="0.25">
      <c r="B921" t="s">
        <v>220</v>
      </c>
    </row>
    <row r="922" spans="2:2" x14ac:dyDescent="0.25">
      <c r="B922" t="s">
        <v>1766</v>
      </c>
    </row>
    <row r="923" spans="2:2" x14ac:dyDescent="0.25">
      <c r="B923" t="s">
        <v>1473</v>
      </c>
    </row>
    <row r="924" spans="2:2" x14ac:dyDescent="0.25">
      <c r="B924" t="s">
        <v>1347</v>
      </c>
    </row>
    <row r="925" spans="2:2" x14ac:dyDescent="0.25">
      <c r="B925" t="s">
        <v>29</v>
      </c>
    </row>
    <row r="926" spans="2:2" x14ac:dyDescent="0.25">
      <c r="B926" t="s">
        <v>1239</v>
      </c>
    </row>
    <row r="927" spans="2:2" x14ac:dyDescent="0.25">
      <c r="B927" t="s">
        <v>1403</v>
      </c>
    </row>
    <row r="928" spans="2:2" x14ac:dyDescent="0.25">
      <c r="B928" t="s">
        <v>10</v>
      </c>
    </row>
    <row r="929" spans="2:2" x14ac:dyDescent="0.25">
      <c r="B929" t="s">
        <v>367</v>
      </c>
    </row>
    <row r="930" spans="2:2" x14ac:dyDescent="0.25">
      <c r="B930" t="s">
        <v>1287</v>
      </c>
    </row>
    <row r="931" spans="2:2" x14ac:dyDescent="0.25">
      <c r="B931" t="s">
        <v>504</v>
      </c>
    </row>
    <row r="932" spans="2:2" x14ac:dyDescent="0.25">
      <c r="B932" t="s">
        <v>285</v>
      </c>
    </row>
    <row r="933" spans="2:2" x14ac:dyDescent="0.25">
      <c r="B933" t="s">
        <v>1279</v>
      </c>
    </row>
    <row r="934" spans="2:2" x14ac:dyDescent="0.25">
      <c r="B934" t="s">
        <v>1000</v>
      </c>
    </row>
    <row r="935" spans="2:2" x14ac:dyDescent="0.25">
      <c r="B935" t="s">
        <v>882</v>
      </c>
    </row>
    <row r="936" spans="2:2" x14ac:dyDescent="0.25">
      <c r="B936" t="s">
        <v>1466</v>
      </c>
    </row>
    <row r="937" spans="2:2" x14ac:dyDescent="0.25">
      <c r="B937" t="s">
        <v>622</v>
      </c>
    </row>
    <row r="938" spans="2:2" x14ac:dyDescent="0.25">
      <c r="B938" t="s">
        <v>1637</v>
      </c>
    </row>
    <row r="939" spans="2:2" x14ac:dyDescent="0.25">
      <c r="B939" t="s">
        <v>1242</v>
      </c>
    </row>
    <row r="940" spans="2:2" x14ac:dyDescent="0.25">
      <c r="B940" t="s">
        <v>149</v>
      </c>
    </row>
    <row r="941" spans="2:2" x14ac:dyDescent="0.25">
      <c r="B941" t="s">
        <v>1259</v>
      </c>
    </row>
    <row r="942" spans="2:2" x14ac:dyDescent="0.25">
      <c r="B942" t="s">
        <v>1711</v>
      </c>
    </row>
    <row r="943" spans="2:2" x14ac:dyDescent="0.25">
      <c r="B943" t="s">
        <v>1099</v>
      </c>
    </row>
    <row r="944" spans="2:2" x14ac:dyDescent="0.25">
      <c r="B944" t="s">
        <v>740</v>
      </c>
    </row>
    <row r="945" spans="2:2" x14ac:dyDescent="0.25">
      <c r="B945" t="s">
        <v>78</v>
      </c>
    </row>
    <row r="946" spans="2:2" x14ac:dyDescent="0.25">
      <c r="B946" t="s">
        <v>925</v>
      </c>
    </row>
    <row r="947" spans="2:2" x14ac:dyDescent="0.25">
      <c r="B947" t="s">
        <v>1672</v>
      </c>
    </row>
    <row r="948" spans="2:2" x14ac:dyDescent="0.25">
      <c r="B948" t="s">
        <v>101</v>
      </c>
    </row>
    <row r="949" spans="2:2" x14ac:dyDescent="0.25">
      <c r="B949" t="s">
        <v>253</v>
      </c>
    </row>
    <row r="950" spans="2:2" x14ac:dyDescent="0.25">
      <c r="B950" t="s">
        <v>941</v>
      </c>
    </row>
    <row r="951" spans="2:2" x14ac:dyDescent="0.25">
      <c r="B951" t="s">
        <v>1733</v>
      </c>
    </row>
    <row r="952" spans="2:2" x14ac:dyDescent="0.25">
      <c r="B952" t="s">
        <v>1482</v>
      </c>
    </row>
    <row r="953" spans="2:2" x14ac:dyDescent="0.25">
      <c r="B953" t="s">
        <v>887</v>
      </c>
    </row>
    <row r="954" spans="2:2" x14ac:dyDescent="0.25">
      <c r="B954" t="s">
        <v>1289</v>
      </c>
    </row>
    <row r="955" spans="2:2" x14ac:dyDescent="0.25">
      <c r="B955" t="s">
        <v>1445</v>
      </c>
    </row>
    <row r="956" spans="2:2" x14ac:dyDescent="0.25">
      <c r="B956" t="s">
        <v>1160</v>
      </c>
    </row>
    <row r="957" spans="2:2" x14ac:dyDescent="0.25">
      <c r="B957" t="s">
        <v>976</v>
      </c>
    </row>
    <row r="958" spans="2:2" x14ac:dyDescent="0.25">
      <c r="B958" t="s">
        <v>226</v>
      </c>
    </row>
    <row r="959" spans="2:2" x14ac:dyDescent="0.25">
      <c r="B959" t="s">
        <v>793</v>
      </c>
    </row>
    <row r="960" spans="2:2" x14ac:dyDescent="0.25">
      <c r="B960" t="s">
        <v>1632</v>
      </c>
    </row>
    <row r="961" spans="2:2" x14ac:dyDescent="0.25">
      <c r="B961" t="s">
        <v>1674</v>
      </c>
    </row>
    <row r="962" spans="2:2" x14ac:dyDescent="0.25">
      <c r="B962" t="s">
        <v>38</v>
      </c>
    </row>
    <row r="963" spans="2:2" x14ac:dyDescent="0.25">
      <c r="B963" t="s">
        <v>0</v>
      </c>
    </row>
    <row r="964" spans="2:2" x14ac:dyDescent="0.25">
      <c r="B964" t="s">
        <v>264</v>
      </c>
    </row>
    <row r="965" spans="2:2" x14ac:dyDescent="0.25">
      <c r="B965" t="s">
        <v>378</v>
      </c>
    </row>
    <row r="966" spans="2:2" x14ac:dyDescent="0.25">
      <c r="B966" t="s">
        <v>1563</v>
      </c>
    </row>
    <row r="967" spans="2:2" x14ac:dyDescent="0.25">
      <c r="B967" t="s">
        <v>961</v>
      </c>
    </row>
    <row r="968" spans="2:2" x14ac:dyDescent="0.25">
      <c r="B968" t="s">
        <v>322</v>
      </c>
    </row>
    <row r="969" spans="2:2" x14ac:dyDescent="0.25">
      <c r="B969" t="s">
        <v>637</v>
      </c>
    </row>
    <row r="970" spans="2:2" x14ac:dyDescent="0.25">
      <c r="B970" t="s">
        <v>44</v>
      </c>
    </row>
    <row r="971" spans="2:2" x14ac:dyDescent="0.25">
      <c r="B971" t="s">
        <v>46</v>
      </c>
    </row>
    <row r="972" spans="2:2" x14ac:dyDescent="0.25">
      <c r="B972" t="s">
        <v>1215</v>
      </c>
    </row>
    <row r="973" spans="2:2" x14ac:dyDescent="0.25">
      <c r="B973" t="s">
        <v>1698</v>
      </c>
    </row>
    <row r="974" spans="2:2" x14ac:dyDescent="0.25">
      <c r="B974" t="s">
        <v>1623</v>
      </c>
    </row>
    <row r="975" spans="2:2" x14ac:dyDescent="0.25">
      <c r="B975" t="s">
        <v>212</v>
      </c>
    </row>
    <row r="976" spans="2:2" x14ac:dyDescent="0.25">
      <c r="B976" t="s">
        <v>107</v>
      </c>
    </row>
    <row r="977" spans="2:2" x14ac:dyDescent="0.25">
      <c r="B977" t="s">
        <v>610</v>
      </c>
    </row>
    <row r="978" spans="2:2" x14ac:dyDescent="0.25">
      <c r="B978" t="s">
        <v>1358</v>
      </c>
    </row>
    <row r="979" spans="2:2" x14ac:dyDescent="0.25">
      <c r="B979" t="s">
        <v>572</v>
      </c>
    </row>
    <row r="980" spans="2:2" x14ac:dyDescent="0.25">
      <c r="B980" t="s">
        <v>432</v>
      </c>
    </row>
    <row r="981" spans="2:2" x14ac:dyDescent="0.25">
      <c r="B981" t="s">
        <v>395</v>
      </c>
    </row>
    <row r="982" spans="2:2" x14ac:dyDescent="0.25">
      <c r="B982" t="s">
        <v>575</v>
      </c>
    </row>
    <row r="983" spans="2:2" x14ac:dyDescent="0.25">
      <c r="B983" t="s">
        <v>1074</v>
      </c>
    </row>
    <row r="984" spans="2:2" x14ac:dyDescent="0.25">
      <c r="B984" t="s">
        <v>421</v>
      </c>
    </row>
    <row r="985" spans="2:2" x14ac:dyDescent="0.25">
      <c r="B985" t="s">
        <v>1145</v>
      </c>
    </row>
    <row r="986" spans="2:2" x14ac:dyDescent="0.25">
      <c r="B986" t="s">
        <v>1543</v>
      </c>
    </row>
    <row r="987" spans="2:2" x14ac:dyDescent="0.25">
      <c r="B987" t="s">
        <v>869</v>
      </c>
    </row>
    <row r="988" spans="2:2" x14ac:dyDescent="0.25">
      <c r="B988" t="s">
        <v>1342</v>
      </c>
    </row>
    <row r="989" spans="2:2" x14ac:dyDescent="0.25">
      <c r="B989" t="s">
        <v>1309</v>
      </c>
    </row>
    <row r="990" spans="2:2" x14ac:dyDescent="0.25">
      <c r="B990" t="s">
        <v>769</v>
      </c>
    </row>
    <row r="991" spans="2:2" x14ac:dyDescent="0.25">
      <c r="B991" t="s">
        <v>471</v>
      </c>
    </row>
    <row r="992" spans="2:2" x14ac:dyDescent="0.25">
      <c r="B992" t="s">
        <v>450</v>
      </c>
    </row>
    <row r="993" spans="2:2" x14ac:dyDescent="0.25">
      <c r="B993" t="s">
        <v>62</v>
      </c>
    </row>
    <row r="994" spans="2:2" x14ac:dyDescent="0.25">
      <c r="B994" t="s">
        <v>1038</v>
      </c>
    </row>
    <row r="995" spans="2:2" x14ac:dyDescent="0.25">
      <c r="B995" t="s">
        <v>1272</v>
      </c>
    </row>
    <row r="996" spans="2:2" x14ac:dyDescent="0.25">
      <c r="B996" t="s">
        <v>1669</v>
      </c>
    </row>
    <row r="997" spans="2:2" x14ac:dyDescent="0.25">
      <c r="B997" t="s">
        <v>600</v>
      </c>
    </row>
    <row r="998" spans="2:2" x14ac:dyDescent="0.25">
      <c r="B998" t="s">
        <v>346</v>
      </c>
    </row>
    <row r="999" spans="2:2" x14ac:dyDescent="0.25">
      <c r="B999" t="s">
        <v>873</v>
      </c>
    </row>
    <row r="1000" spans="2:2" x14ac:dyDescent="0.25">
      <c r="B1000" t="s">
        <v>1064</v>
      </c>
    </row>
    <row r="1001" spans="2:2" x14ac:dyDescent="0.25">
      <c r="B1001" t="s">
        <v>1011</v>
      </c>
    </row>
    <row r="1002" spans="2:2" x14ac:dyDescent="0.25">
      <c r="B1002" t="s">
        <v>514</v>
      </c>
    </row>
    <row r="1003" spans="2:2" x14ac:dyDescent="0.25">
      <c r="B1003" t="s">
        <v>1076</v>
      </c>
    </row>
    <row r="1004" spans="2:2" x14ac:dyDescent="0.25">
      <c r="B1004" t="s">
        <v>733</v>
      </c>
    </row>
    <row r="1005" spans="2:2" x14ac:dyDescent="0.25">
      <c r="B1005" t="s">
        <v>1217</v>
      </c>
    </row>
    <row r="1006" spans="2:2" x14ac:dyDescent="0.25">
      <c r="B1006" t="s">
        <v>266</v>
      </c>
    </row>
    <row r="1007" spans="2:2" x14ac:dyDescent="0.25">
      <c r="B1007" t="s">
        <v>806</v>
      </c>
    </row>
    <row r="1008" spans="2:2" x14ac:dyDescent="0.25">
      <c r="B1008" t="s">
        <v>847</v>
      </c>
    </row>
    <row r="1009" spans="2:2" x14ac:dyDescent="0.25">
      <c r="B1009" t="s">
        <v>116</v>
      </c>
    </row>
    <row r="1010" spans="2:2" x14ac:dyDescent="0.25">
      <c r="B1010" t="s">
        <v>1161</v>
      </c>
    </row>
    <row r="1011" spans="2:2" x14ac:dyDescent="0.25">
      <c r="B1011" t="s">
        <v>827</v>
      </c>
    </row>
    <row r="1012" spans="2:2" x14ac:dyDescent="0.25">
      <c r="B1012" t="s">
        <v>81</v>
      </c>
    </row>
    <row r="1013" spans="2:2" x14ac:dyDescent="0.25">
      <c r="B1013" t="s">
        <v>275</v>
      </c>
    </row>
    <row r="1014" spans="2:2" x14ac:dyDescent="0.25">
      <c r="B1014" t="s">
        <v>1119</v>
      </c>
    </row>
    <row r="1015" spans="2:2" x14ac:dyDescent="0.25">
      <c r="B1015" t="s">
        <v>1634</v>
      </c>
    </row>
    <row r="1016" spans="2:2" x14ac:dyDescent="0.25">
      <c r="B1016" t="s">
        <v>960</v>
      </c>
    </row>
    <row r="1017" spans="2:2" x14ac:dyDescent="0.25">
      <c r="B1017" t="s">
        <v>1730</v>
      </c>
    </row>
    <row r="1018" spans="2:2" x14ac:dyDescent="0.25">
      <c r="B1018" t="s">
        <v>820</v>
      </c>
    </row>
    <row r="1019" spans="2:2" x14ac:dyDescent="0.25">
      <c r="B1019" t="s">
        <v>141</v>
      </c>
    </row>
    <row r="1020" spans="2:2" x14ac:dyDescent="0.25">
      <c r="B1020" t="s">
        <v>1212</v>
      </c>
    </row>
    <row r="1021" spans="2:2" x14ac:dyDescent="0.25">
      <c r="B1021" t="s">
        <v>1441</v>
      </c>
    </row>
    <row r="1022" spans="2:2" x14ac:dyDescent="0.25">
      <c r="B1022" t="s">
        <v>1391</v>
      </c>
    </row>
    <row r="1023" spans="2:2" x14ac:dyDescent="0.25">
      <c r="B1023" t="s">
        <v>1317</v>
      </c>
    </row>
    <row r="1024" spans="2:2" x14ac:dyDescent="0.25">
      <c r="B1024" t="s">
        <v>1265</v>
      </c>
    </row>
    <row r="1025" spans="2:2" x14ac:dyDescent="0.25">
      <c r="B1025" t="s">
        <v>1181</v>
      </c>
    </row>
    <row r="1026" spans="2:2" x14ac:dyDescent="0.25">
      <c r="B1026" t="s">
        <v>956</v>
      </c>
    </row>
    <row r="1027" spans="2:2" x14ac:dyDescent="0.25">
      <c r="B1027" t="s">
        <v>458</v>
      </c>
    </row>
    <row r="1028" spans="2:2" x14ac:dyDescent="0.25">
      <c r="B1028" t="s">
        <v>1141</v>
      </c>
    </row>
    <row r="1029" spans="2:2" x14ac:dyDescent="0.25">
      <c r="B1029" t="s">
        <v>377</v>
      </c>
    </row>
    <row r="1030" spans="2:2" x14ac:dyDescent="0.25">
      <c r="B1030" t="s">
        <v>1513</v>
      </c>
    </row>
    <row r="1031" spans="2:2" x14ac:dyDescent="0.25">
      <c r="B1031" t="s">
        <v>1254</v>
      </c>
    </row>
    <row r="1032" spans="2:2" x14ac:dyDescent="0.25">
      <c r="B1032" t="s">
        <v>756</v>
      </c>
    </row>
    <row r="1033" spans="2:2" x14ac:dyDescent="0.25">
      <c r="B1033" t="s">
        <v>658</v>
      </c>
    </row>
    <row r="1034" spans="2:2" x14ac:dyDescent="0.25">
      <c r="B1034" t="s">
        <v>1120</v>
      </c>
    </row>
    <row r="1035" spans="2:2" x14ac:dyDescent="0.25">
      <c r="B1035" t="s">
        <v>1462</v>
      </c>
    </row>
    <row r="1036" spans="2:2" x14ac:dyDescent="0.25">
      <c r="B1036" t="s">
        <v>1061</v>
      </c>
    </row>
    <row r="1037" spans="2:2" x14ac:dyDescent="0.25">
      <c r="B1037" t="s">
        <v>1301</v>
      </c>
    </row>
    <row r="1038" spans="2:2" x14ac:dyDescent="0.25">
      <c r="B1038" t="s">
        <v>1773</v>
      </c>
    </row>
    <row r="1039" spans="2:2" x14ac:dyDescent="0.25">
      <c r="B1039" t="s">
        <v>1526</v>
      </c>
    </row>
    <row r="1040" spans="2:2" x14ac:dyDescent="0.25">
      <c r="B1040" t="s">
        <v>483</v>
      </c>
    </row>
    <row r="1041" spans="2:2" x14ac:dyDescent="0.25">
      <c r="B1041" t="s">
        <v>163</v>
      </c>
    </row>
    <row r="1042" spans="2:2" x14ac:dyDescent="0.25">
      <c r="B1042" t="s">
        <v>299</v>
      </c>
    </row>
    <row r="1043" spans="2:2" x14ac:dyDescent="0.25">
      <c r="B1043" t="s">
        <v>1109</v>
      </c>
    </row>
    <row r="1044" spans="2:2" x14ac:dyDescent="0.25">
      <c r="B1044" t="s">
        <v>1402</v>
      </c>
    </row>
    <row r="1045" spans="2:2" x14ac:dyDescent="0.25">
      <c r="B1045" t="s">
        <v>1628</v>
      </c>
    </row>
    <row r="1046" spans="2:2" x14ac:dyDescent="0.25">
      <c r="B1046" t="s">
        <v>1579</v>
      </c>
    </row>
    <row r="1047" spans="2:2" x14ac:dyDescent="0.25">
      <c r="B1047" t="s">
        <v>791</v>
      </c>
    </row>
    <row r="1048" spans="2:2" x14ac:dyDescent="0.25">
      <c r="B1048" t="s">
        <v>1346</v>
      </c>
    </row>
    <row r="1049" spans="2:2" x14ac:dyDescent="0.25">
      <c r="B1049" t="s">
        <v>14</v>
      </c>
    </row>
    <row r="1050" spans="2:2" x14ac:dyDescent="0.25">
      <c r="B1050" t="s">
        <v>463</v>
      </c>
    </row>
    <row r="1051" spans="2:2" x14ac:dyDescent="0.25">
      <c r="B1051" t="s">
        <v>1261</v>
      </c>
    </row>
    <row r="1052" spans="2:2" x14ac:dyDescent="0.25">
      <c r="B1052" t="s">
        <v>1593</v>
      </c>
    </row>
    <row r="1053" spans="2:2" x14ac:dyDescent="0.25">
      <c r="B1053" t="s">
        <v>750</v>
      </c>
    </row>
    <row r="1054" spans="2:2" x14ac:dyDescent="0.25">
      <c r="B1054" t="s">
        <v>1182</v>
      </c>
    </row>
    <row r="1055" spans="2:2" x14ac:dyDescent="0.25">
      <c r="B1055" t="s">
        <v>634</v>
      </c>
    </row>
    <row r="1056" spans="2:2" x14ac:dyDescent="0.25">
      <c r="B1056" t="s">
        <v>1060</v>
      </c>
    </row>
    <row r="1057" spans="2:2" x14ac:dyDescent="0.25">
      <c r="B1057" t="s">
        <v>635</v>
      </c>
    </row>
    <row r="1058" spans="2:2" x14ac:dyDescent="0.25">
      <c r="B1058" t="s">
        <v>232</v>
      </c>
    </row>
    <row r="1059" spans="2:2" x14ac:dyDescent="0.25">
      <c r="B1059" t="s">
        <v>1088</v>
      </c>
    </row>
    <row r="1060" spans="2:2" x14ac:dyDescent="0.25">
      <c r="B1060" t="s">
        <v>1446</v>
      </c>
    </row>
    <row r="1061" spans="2:2" x14ac:dyDescent="0.25">
      <c r="B1061" t="s">
        <v>1455</v>
      </c>
    </row>
    <row r="1062" spans="2:2" x14ac:dyDescent="0.25">
      <c r="B1062" t="s">
        <v>916</v>
      </c>
    </row>
    <row r="1063" spans="2:2" x14ac:dyDescent="0.25">
      <c r="B1063" t="s">
        <v>502</v>
      </c>
    </row>
    <row r="1064" spans="2:2" x14ac:dyDescent="0.25">
      <c r="B1064" t="s">
        <v>222</v>
      </c>
    </row>
    <row r="1065" spans="2:2" x14ac:dyDescent="0.25">
      <c r="B1065" t="s">
        <v>267</v>
      </c>
    </row>
    <row r="1066" spans="2:2" x14ac:dyDescent="0.25">
      <c r="B1066" t="s">
        <v>725</v>
      </c>
    </row>
    <row r="1067" spans="2:2" x14ac:dyDescent="0.25">
      <c r="B1067" t="s">
        <v>1065</v>
      </c>
    </row>
    <row r="1068" spans="2:2" x14ac:dyDescent="0.25">
      <c r="B1068" t="s">
        <v>801</v>
      </c>
    </row>
    <row r="1069" spans="2:2" x14ac:dyDescent="0.25">
      <c r="B1069" t="s">
        <v>1155</v>
      </c>
    </row>
    <row r="1070" spans="2:2" x14ac:dyDescent="0.25">
      <c r="B1070" t="s">
        <v>1365</v>
      </c>
    </row>
    <row r="1071" spans="2:2" x14ac:dyDescent="0.25">
      <c r="B1071" t="s">
        <v>330</v>
      </c>
    </row>
    <row r="1072" spans="2:2" x14ac:dyDescent="0.25">
      <c r="B1072" t="s">
        <v>1724</v>
      </c>
    </row>
    <row r="1073" spans="2:2" x14ac:dyDescent="0.25">
      <c r="B1073" t="s">
        <v>993</v>
      </c>
    </row>
    <row r="1074" spans="2:2" x14ac:dyDescent="0.25">
      <c r="B1074" t="s">
        <v>1277</v>
      </c>
    </row>
    <row r="1075" spans="2:2" x14ac:dyDescent="0.25">
      <c r="B1075" t="s">
        <v>215</v>
      </c>
    </row>
    <row r="1076" spans="2:2" x14ac:dyDescent="0.25">
      <c r="B1076" t="s">
        <v>792</v>
      </c>
    </row>
    <row r="1077" spans="2:2" x14ac:dyDescent="0.25">
      <c r="B1077" t="s">
        <v>145</v>
      </c>
    </row>
    <row r="1078" spans="2:2" x14ac:dyDescent="0.25">
      <c r="B1078" t="s">
        <v>1443</v>
      </c>
    </row>
    <row r="1079" spans="2:2" x14ac:dyDescent="0.25">
      <c r="B1079" t="s">
        <v>1297</v>
      </c>
    </row>
    <row r="1080" spans="2:2" x14ac:dyDescent="0.25">
      <c r="B1080" t="s">
        <v>513</v>
      </c>
    </row>
    <row r="1081" spans="2:2" x14ac:dyDescent="0.25">
      <c r="B1081" t="s">
        <v>785</v>
      </c>
    </row>
    <row r="1082" spans="2:2" x14ac:dyDescent="0.25">
      <c r="B1082" t="s">
        <v>303</v>
      </c>
    </row>
    <row r="1083" spans="2:2" x14ac:dyDescent="0.25">
      <c r="B1083" t="s">
        <v>350</v>
      </c>
    </row>
    <row r="1084" spans="2:2" x14ac:dyDescent="0.25">
      <c r="B1084" t="s">
        <v>227</v>
      </c>
    </row>
    <row r="1085" spans="2:2" x14ac:dyDescent="0.25">
      <c r="B1085" t="s">
        <v>1351</v>
      </c>
    </row>
    <row r="1086" spans="2:2" x14ac:dyDescent="0.25">
      <c r="B1086" t="s">
        <v>1521</v>
      </c>
    </row>
    <row r="1087" spans="2:2" x14ac:dyDescent="0.25">
      <c r="B1087" t="s">
        <v>1439</v>
      </c>
    </row>
    <row r="1088" spans="2:2" x14ac:dyDescent="0.25">
      <c r="B1088" t="s">
        <v>157</v>
      </c>
    </row>
    <row r="1089" spans="2:2" x14ac:dyDescent="0.25">
      <c r="B1089" t="s">
        <v>805</v>
      </c>
    </row>
    <row r="1090" spans="2:2" x14ac:dyDescent="0.25">
      <c r="B1090" t="s">
        <v>842</v>
      </c>
    </row>
    <row r="1091" spans="2:2" x14ac:dyDescent="0.25">
      <c r="B1091" t="s">
        <v>320</v>
      </c>
    </row>
    <row r="1092" spans="2:2" x14ac:dyDescent="0.25">
      <c r="B1092" t="s">
        <v>612</v>
      </c>
    </row>
    <row r="1093" spans="2:2" x14ac:dyDescent="0.25">
      <c r="B1093" t="s">
        <v>1767</v>
      </c>
    </row>
    <row r="1094" spans="2:2" x14ac:dyDescent="0.25">
      <c r="B1094" t="s">
        <v>809</v>
      </c>
    </row>
    <row r="1095" spans="2:2" x14ac:dyDescent="0.25">
      <c r="B1095" t="s">
        <v>409</v>
      </c>
    </row>
    <row r="1096" spans="2:2" x14ac:dyDescent="0.25">
      <c r="B1096" t="s">
        <v>1570</v>
      </c>
    </row>
    <row r="1097" spans="2:2" x14ac:dyDescent="0.25">
      <c r="B1097" t="s">
        <v>940</v>
      </c>
    </row>
    <row r="1098" spans="2:2" x14ac:dyDescent="0.25">
      <c r="B1098" t="s">
        <v>304</v>
      </c>
    </row>
    <row r="1099" spans="2:2" x14ac:dyDescent="0.25">
      <c r="B1099" t="s">
        <v>150</v>
      </c>
    </row>
    <row r="1100" spans="2:2" x14ac:dyDescent="0.25">
      <c r="B1100" t="s">
        <v>991</v>
      </c>
    </row>
    <row r="1101" spans="2:2" x14ac:dyDescent="0.25">
      <c r="B1101" t="s">
        <v>439</v>
      </c>
    </row>
    <row r="1102" spans="2:2" x14ac:dyDescent="0.25">
      <c r="B1102" t="s">
        <v>306</v>
      </c>
    </row>
    <row r="1103" spans="2:2" x14ac:dyDescent="0.25">
      <c r="B1103" t="s">
        <v>382</v>
      </c>
    </row>
    <row r="1104" spans="2:2" x14ac:dyDescent="0.25">
      <c r="B1104" t="s">
        <v>205</v>
      </c>
    </row>
    <row r="1105" spans="2:2" x14ac:dyDescent="0.25">
      <c r="B1105" t="s">
        <v>1749</v>
      </c>
    </row>
    <row r="1106" spans="2:2" x14ac:dyDescent="0.25">
      <c r="B1106" t="s">
        <v>519</v>
      </c>
    </row>
    <row r="1107" spans="2:2" x14ac:dyDescent="0.25">
      <c r="B1107" t="s">
        <v>1582</v>
      </c>
    </row>
    <row r="1108" spans="2:2" x14ac:dyDescent="0.25">
      <c r="B1108" t="s">
        <v>1587</v>
      </c>
    </row>
    <row r="1109" spans="2:2" x14ac:dyDescent="0.25">
      <c r="B1109" t="s">
        <v>643</v>
      </c>
    </row>
    <row r="1110" spans="2:2" x14ac:dyDescent="0.25">
      <c r="B1110" t="s">
        <v>1704</v>
      </c>
    </row>
    <row r="1111" spans="2:2" x14ac:dyDescent="0.25">
      <c r="B1111" t="s">
        <v>1454</v>
      </c>
    </row>
    <row r="1112" spans="2:2" x14ac:dyDescent="0.25">
      <c r="B1112" t="s">
        <v>1485</v>
      </c>
    </row>
    <row r="1113" spans="2:2" x14ac:dyDescent="0.25">
      <c r="B1113" t="s">
        <v>1315</v>
      </c>
    </row>
    <row r="1114" spans="2:2" x14ac:dyDescent="0.25">
      <c r="B1114" t="s">
        <v>384</v>
      </c>
    </row>
    <row r="1115" spans="2:2" x14ac:dyDescent="0.25">
      <c r="B1115" t="s">
        <v>464</v>
      </c>
    </row>
    <row r="1116" spans="2:2" x14ac:dyDescent="0.25">
      <c r="B1116" t="s">
        <v>872</v>
      </c>
    </row>
    <row r="1117" spans="2:2" x14ac:dyDescent="0.25">
      <c r="B1117" t="s">
        <v>171</v>
      </c>
    </row>
    <row r="1118" spans="2:2" x14ac:dyDescent="0.25">
      <c r="B1118" t="s">
        <v>381</v>
      </c>
    </row>
    <row r="1119" spans="2:2" x14ac:dyDescent="0.25">
      <c r="B1119" t="s">
        <v>1575</v>
      </c>
    </row>
    <row r="1120" spans="2:2" x14ac:dyDescent="0.25">
      <c r="B1120" t="s">
        <v>1057</v>
      </c>
    </row>
    <row r="1121" spans="2:2" x14ac:dyDescent="0.25">
      <c r="B1121" t="s">
        <v>1615</v>
      </c>
    </row>
    <row r="1122" spans="2:2" x14ac:dyDescent="0.25">
      <c r="B1122" t="s">
        <v>1092</v>
      </c>
    </row>
    <row r="1123" spans="2:2" x14ac:dyDescent="0.25">
      <c r="B1123" t="s">
        <v>532</v>
      </c>
    </row>
    <row r="1124" spans="2:2" x14ac:dyDescent="0.25">
      <c r="B1124" t="s">
        <v>131</v>
      </c>
    </row>
    <row r="1125" spans="2:2" x14ac:dyDescent="0.25">
      <c r="B1125" t="s">
        <v>1376</v>
      </c>
    </row>
    <row r="1126" spans="2:2" x14ac:dyDescent="0.25">
      <c r="B1126" t="s">
        <v>1278</v>
      </c>
    </row>
    <row r="1127" spans="2:2" x14ac:dyDescent="0.25">
      <c r="B1127" t="s">
        <v>1514</v>
      </c>
    </row>
    <row r="1128" spans="2:2" x14ac:dyDescent="0.25">
      <c r="B1128" t="s">
        <v>1333</v>
      </c>
    </row>
    <row r="1129" spans="2:2" x14ac:dyDescent="0.25">
      <c r="B1129" t="s">
        <v>406</v>
      </c>
    </row>
    <row r="1130" spans="2:2" x14ac:dyDescent="0.25">
      <c r="B1130" t="s">
        <v>746</v>
      </c>
    </row>
    <row r="1131" spans="2:2" x14ac:dyDescent="0.25">
      <c r="B1131" t="s">
        <v>900</v>
      </c>
    </row>
    <row r="1132" spans="2:2" x14ac:dyDescent="0.25">
      <c r="B1132" t="s">
        <v>779</v>
      </c>
    </row>
    <row r="1133" spans="2:2" x14ac:dyDescent="0.25">
      <c r="B1133" t="s">
        <v>1437</v>
      </c>
    </row>
    <row r="1134" spans="2:2" x14ac:dyDescent="0.25">
      <c r="B1134" t="s">
        <v>720</v>
      </c>
    </row>
    <row r="1135" spans="2:2" x14ac:dyDescent="0.25">
      <c r="B1135" t="s">
        <v>391</v>
      </c>
    </row>
    <row r="1136" spans="2:2" x14ac:dyDescent="0.25">
      <c r="B1136" t="s">
        <v>897</v>
      </c>
    </row>
    <row r="1137" spans="2:2" x14ac:dyDescent="0.25">
      <c r="B1137" t="s">
        <v>1285</v>
      </c>
    </row>
    <row r="1138" spans="2:2" x14ac:dyDescent="0.25">
      <c r="B1138" t="s">
        <v>354</v>
      </c>
    </row>
    <row r="1139" spans="2:2" x14ac:dyDescent="0.25">
      <c r="B1139" t="s">
        <v>936</v>
      </c>
    </row>
    <row r="1140" spans="2:2" x14ac:dyDescent="0.25">
      <c r="B1140" t="s">
        <v>125</v>
      </c>
    </row>
    <row r="1141" spans="2:2" x14ac:dyDescent="0.25">
      <c r="B1141" t="s">
        <v>986</v>
      </c>
    </row>
    <row r="1142" spans="2:2" x14ac:dyDescent="0.25">
      <c r="B1142" t="s">
        <v>583</v>
      </c>
    </row>
    <row r="1143" spans="2:2" x14ac:dyDescent="0.25">
      <c r="B1143" t="s">
        <v>1765</v>
      </c>
    </row>
    <row r="1144" spans="2:2" x14ac:dyDescent="0.25">
      <c r="B1144" t="s">
        <v>1438</v>
      </c>
    </row>
    <row r="1145" spans="2:2" x14ac:dyDescent="0.25">
      <c r="B1145" t="s">
        <v>749</v>
      </c>
    </row>
    <row r="1146" spans="2:2" x14ac:dyDescent="0.25">
      <c r="B1146" t="s">
        <v>160</v>
      </c>
    </row>
    <row r="1147" spans="2:2" x14ac:dyDescent="0.25">
      <c r="B1147" t="s">
        <v>437</v>
      </c>
    </row>
    <row r="1148" spans="2:2" x14ac:dyDescent="0.25">
      <c r="B1148" t="s">
        <v>211</v>
      </c>
    </row>
    <row r="1149" spans="2:2" x14ac:dyDescent="0.25">
      <c r="B1149" t="s">
        <v>26</v>
      </c>
    </row>
    <row r="1150" spans="2:2" x14ac:dyDescent="0.25">
      <c r="B1150" t="s">
        <v>517</v>
      </c>
    </row>
    <row r="1151" spans="2:2" x14ac:dyDescent="0.25">
      <c r="B1151" t="s">
        <v>1658</v>
      </c>
    </row>
    <row r="1152" spans="2:2" x14ac:dyDescent="0.25">
      <c r="B1152" t="s">
        <v>666</v>
      </c>
    </row>
    <row r="1153" spans="2:2" x14ac:dyDescent="0.25">
      <c r="B1153" t="s">
        <v>80</v>
      </c>
    </row>
    <row r="1154" spans="2:2" x14ac:dyDescent="0.25">
      <c r="B1154" t="s">
        <v>1515</v>
      </c>
    </row>
    <row r="1155" spans="2:2" x14ac:dyDescent="0.25">
      <c r="B1155" t="s">
        <v>129</v>
      </c>
    </row>
    <row r="1156" spans="2:2" x14ac:dyDescent="0.25">
      <c r="B1156" t="s">
        <v>1450</v>
      </c>
    </row>
    <row r="1157" spans="2:2" x14ac:dyDescent="0.25">
      <c r="B1157" t="s">
        <v>1620</v>
      </c>
    </row>
    <row r="1158" spans="2:2" x14ac:dyDescent="0.25">
      <c r="B1158" t="s">
        <v>1090</v>
      </c>
    </row>
    <row r="1159" spans="2:2" x14ac:dyDescent="0.25">
      <c r="B1159" t="s">
        <v>618</v>
      </c>
    </row>
    <row r="1160" spans="2:2" x14ac:dyDescent="0.25">
      <c r="B1160" t="s">
        <v>59</v>
      </c>
    </row>
    <row r="1161" spans="2:2" x14ac:dyDescent="0.25">
      <c r="B1161" t="s">
        <v>175</v>
      </c>
    </row>
    <row r="1162" spans="2:2" x14ac:dyDescent="0.25">
      <c r="B1162" t="s">
        <v>1746</v>
      </c>
    </row>
    <row r="1163" spans="2:2" x14ac:dyDescent="0.25">
      <c r="B1163" t="s">
        <v>1185</v>
      </c>
    </row>
    <row r="1164" spans="2:2" x14ac:dyDescent="0.25">
      <c r="B1164" t="s">
        <v>922</v>
      </c>
    </row>
    <row r="1165" spans="2:2" x14ac:dyDescent="0.25">
      <c r="B1165" t="s">
        <v>814</v>
      </c>
    </row>
    <row r="1166" spans="2:2" x14ac:dyDescent="0.25">
      <c r="B1166" t="s">
        <v>161</v>
      </c>
    </row>
    <row r="1167" spans="2:2" x14ac:dyDescent="0.25">
      <c r="B1167" t="s">
        <v>1220</v>
      </c>
    </row>
    <row r="1168" spans="2:2" x14ac:dyDescent="0.25">
      <c r="B1168" t="s">
        <v>1702</v>
      </c>
    </row>
    <row r="1169" spans="2:2" x14ac:dyDescent="0.25">
      <c r="B1169" t="s">
        <v>852</v>
      </c>
    </row>
    <row r="1170" spans="2:2" x14ac:dyDescent="0.25">
      <c r="B1170" t="s">
        <v>413</v>
      </c>
    </row>
    <row r="1171" spans="2:2" x14ac:dyDescent="0.25">
      <c r="B1171" t="s">
        <v>152</v>
      </c>
    </row>
    <row r="1172" spans="2:2" x14ac:dyDescent="0.25">
      <c r="B1172" t="s">
        <v>1592</v>
      </c>
    </row>
    <row r="1173" spans="2:2" x14ac:dyDescent="0.25">
      <c r="B1173" t="s">
        <v>1183</v>
      </c>
    </row>
    <row r="1174" spans="2:2" x14ac:dyDescent="0.25">
      <c r="B1174" t="s">
        <v>374</v>
      </c>
    </row>
    <row r="1175" spans="2:2" x14ac:dyDescent="0.25">
      <c r="B1175" t="s">
        <v>1274</v>
      </c>
    </row>
    <row r="1176" spans="2:2" x14ac:dyDescent="0.25">
      <c r="B1176" t="s">
        <v>722</v>
      </c>
    </row>
    <row r="1177" spans="2:2" x14ac:dyDescent="0.25">
      <c r="B1177" t="s">
        <v>184</v>
      </c>
    </row>
    <row r="1178" spans="2:2" x14ac:dyDescent="0.25">
      <c r="B1178" t="s">
        <v>843</v>
      </c>
    </row>
    <row r="1179" spans="2:2" x14ac:dyDescent="0.25">
      <c r="B1179" t="s">
        <v>1094</v>
      </c>
    </row>
    <row r="1180" spans="2:2" x14ac:dyDescent="0.25">
      <c r="B1180" t="s">
        <v>728</v>
      </c>
    </row>
    <row r="1181" spans="2:2" x14ac:dyDescent="0.25">
      <c r="B1181" t="s">
        <v>1361</v>
      </c>
    </row>
    <row r="1182" spans="2:2" x14ac:dyDescent="0.25">
      <c r="B1182" t="s">
        <v>1416</v>
      </c>
    </row>
    <row r="1183" spans="2:2" x14ac:dyDescent="0.25">
      <c r="B1183" t="s">
        <v>1308</v>
      </c>
    </row>
    <row r="1184" spans="2:2" x14ac:dyDescent="0.25">
      <c r="B1184" t="s">
        <v>223</v>
      </c>
    </row>
    <row r="1185" spans="2:2" x14ac:dyDescent="0.25">
      <c r="B1185" t="s">
        <v>1440</v>
      </c>
    </row>
    <row r="1186" spans="2:2" x14ac:dyDescent="0.25">
      <c r="B1186" t="s">
        <v>1318</v>
      </c>
    </row>
    <row r="1187" spans="2:2" x14ac:dyDescent="0.25">
      <c r="B1187" t="s">
        <v>313</v>
      </c>
    </row>
    <row r="1188" spans="2:2" x14ac:dyDescent="0.25">
      <c r="B1188" t="s">
        <v>630</v>
      </c>
    </row>
    <row r="1189" spans="2:2" x14ac:dyDescent="0.25">
      <c r="B1189" t="s">
        <v>1693</v>
      </c>
    </row>
    <row r="1190" spans="2:2" x14ac:dyDescent="0.25">
      <c r="B1190" t="s">
        <v>358</v>
      </c>
    </row>
    <row r="1191" spans="2:2" x14ac:dyDescent="0.25">
      <c r="B1191" t="s">
        <v>337</v>
      </c>
    </row>
    <row r="1192" spans="2:2" x14ac:dyDescent="0.25">
      <c r="B1192" t="s">
        <v>1201</v>
      </c>
    </row>
    <row r="1193" spans="2:2" x14ac:dyDescent="0.25">
      <c r="B1193" t="s">
        <v>1096</v>
      </c>
    </row>
    <row r="1194" spans="2:2" x14ac:dyDescent="0.25">
      <c r="B1194" t="s">
        <v>198</v>
      </c>
    </row>
    <row r="1195" spans="2:2" x14ac:dyDescent="0.25">
      <c r="B1195" t="s">
        <v>1303</v>
      </c>
    </row>
    <row r="1196" spans="2:2" x14ac:dyDescent="0.25">
      <c r="B1196" t="s">
        <v>928</v>
      </c>
    </row>
    <row r="1197" spans="2:2" x14ac:dyDescent="0.25">
      <c r="B1197" t="s">
        <v>989</v>
      </c>
    </row>
    <row r="1198" spans="2:2" x14ac:dyDescent="0.25">
      <c r="B1198" t="s">
        <v>1156</v>
      </c>
    </row>
    <row r="1199" spans="2:2" x14ac:dyDescent="0.25">
      <c r="B1199" t="s">
        <v>1511</v>
      </c>
    </row>
    <row r="1200" spans="2:2" x14ac:dyDescent="0.25">
      <c r="B1200" t="s">
        <v>1411</v>
      </c>
    </row>
    <row r="1201" spans="2:2" x14ac:dyDescent="0.25">
      <c r="B1201" t="s">
        <v>252</v>
      </c>
    </row>
    <row r="1202" spans="2:2" x14ac:dyDescent="0.25">
      <c r="B1202" t="s">
        <v>1618</v>
      </c>
    </row>
    <row r="1203" spans="2:2" x14ac:dyDescent="0.25">
      <c r="B1203" t="s">
        <v>1320</v>
      </c>
    </row>
    <row r="1204" spans="2:2" x14ac:dyDescent="0.25">
      <c r="B1204" t="s">
        <v>810</v>
      </c>
    </row>
    <row r="1205" spans="2:2" x14ac:dyDescent="0.25">
      <c r="B1205" t="s">
        <v>1463</v>
      </c>
    </row>
    <row r="1206" spans="2:2" x14ac:dyDescent="0.25">
      <c r="B1206" t="s">
        <v>174</v>
      </c>
    </row>
    <row r="1207" spans="2:2" x14ac:dyDescent="0.25">
      <c r="B1207" t="s">
        <v>536</v>
      </c>
    </row>
    <row r="1208" spans="2:2" x14ac:dyDescent="0.25">
      <c r="B1208" t="s">
        <v>595</v>
      </c>
    </row>
    <row r="1209" spans="2:2" x14ac:dyDescent="0.25">
      <c r="B1209" t="s">
        <v>1106</v>
      </c>
    </row>
    <row r="1210" spans="2:2" x14ac:dyDescent="0.25">
      <c r="B1210" t="s">
        <v>1550</v>
      </c>
    </row>
    <row r="1211" spans="2:2" x14ac:dyDescent="0.25">
      <c r="B1211" t="s">
        <v>1306</v>
      </c>
    </row>
    <row r="1212" spans="2:2" x14ac:dyDescent="0.25">
      <c r="B1212" t="s">
        <v>37</v>
      </c>
    </row>
    <row r="1213" spans="2:2" x14ac:dyDescent="0.25">
      <c r="B1213" t="s">
        <v>1168</v>
      </c>
    </row>
    <row r="1214" spans="2:2" x14ac:dyDescent="0.25">
      <c r="B1214" t="s">
        <v>501</v>
      </c>
    </row>
    <row r="1215" spans="2:2" x14ac:dyDescent="0.25">
      <c r="B1215" t="s">
        <v>708</v>
      </c>
    </row>
    <row r="1216" spans="2:2" x14ac:dyDescent="0.25">
      <c r="B1216" t="s">
        <v>399</v>
      </c>
    </row>
    <row r="1217" spans="2:2" x14ac:dyDescent="0.25">
      <c r="B1217" t="s">
        <v>1340</v>
      </c>
    </row>
    <row r="1218" spans="2:2" x14ac:dyDescent="0.25">
      <c r="B1218" t="s">
        <v>3</v>
      </c>
    </row>
    <row r="1219" spans="2:2" x14ac:dyDescent="0.25">
      <c r="B1219" t="s">
        <v>105</v>
      </c>
    </row>
    <row r="1220" spans="2:2" x14ac:dyDescent="0.25">
      <c r="B1220" t="s">
        <v>103</v>
      </c>
    </row>
    <row r="1221" spans="2:2" x14ac:dyDescent="0.25">
      <c r="B1221" t="s">
        <v>576</v>
      </c>
    </row>
    <row r="1222" spans="2:2" x14ac:dyDescent="0.25">
      <c r="B1222" t="s">
        <v>1499</v>
      </c>
    </row>
    <row r="1223" spans="2:2" x14ac:dyDescent="0.25">
      <c r="B1223" t="s">
        <v>1608</v>
      </c>
    </row>
    <row r="1224" spans="2:2" x14ac:dyDescent="0.25">
      <c r="B1224" t="s">
        <v>1295</v>
      </c>
    </row>
    <row r="1225" spans="2:2" x14ac:dyDescent="0.25">
      <c r="B1225" t="s">
        <v>17</v>
      </c>
    </row>
    <row r="1226" spans="2:2" x14ac:dyDescent="0.25">
      <c r="B1226" t="s">
        <v>1457</v>
      </c>
    </row>
    <row r="1227" spans="2:2" x14ac:dyDescent="0.25">
      <c r="B1227" t="s">
        <v>1663</v>
      </c>
    </row>
    <row r="1228" spans="2:2" x14ac:dyDescent="0.25">
      <c r="B1228" t="s">
        <v>1470</v>
      </c>
    </row>
    <row r="1229" spans="2:2" x14ac:dyDescent="0.25">
      <c r="B1229" t="s">
        <v>674</v>
      </c>
    </row>
    <row r="1230" spans="2:2" x14ac:dyDescent="0.25">
      <c r="B1230" t="s">
        <v>563</v>
      </c>
    </row>
    <row r="1231" spans="2:2" x14ac:dyDescent="0.25">
      <c r="B1231" t="s">
        <v>1677</v>
      </c>
    </row>
    <row r="1232" spans="2:2" x14ac:dyDescent="0.25">
      <c r="B1232" t="s">
        <v>1599</v>
      </c>
    </row>
    <row r="1233" spans="2:2" x14ac:dyDescent="0.25">
      <c r="B1233" t="s">
        <v>1164</v>
      </c>
    </row>
    <row r="1234" spans="2:2" x14ac:dyDescent="0.25">
      <c r="B1234" t="s">
        <v>782</v>
      </c>
    </row>
    <row r="1235" spans="2:2" x14ac:dyDescent="0.25">
      <c r="B1235" t="s">
        <v>39</v>
      </c>
    </row>
    <row r="1236" spans="2:2" x14ac:dyDescent="0.25">
      <c r="B1236" t="s">
        <v>489</v>
      </c>
    </row>
    <row r="1237" spans="2:2" x14ac:dyDescent="0.25">
      <c r="B1237" t="s">
        <v>90</v>
      </c>
    </row>
    <row r="1238" spans="2:2" x14ac:dyDescent="0.25">
      <c r="B1238" t="s">
        <v>487</v>
      </c>
    </row>
    <row r="1239" spans="2:2" x14ac:dyDescent="0.25">
      <c r="B1239" t="s">
        <v>1169</v>
      </c>
    </row>
    <row r="1240" spans="2:2" x14ac:dyDescent="0.25">
      <c r="B1240" t="s">
        <v>1104</v>
      </c>
    </row>
    <row r="1241" spans="2:2" x14ac:dyDescent="0.25">
      <c r="B1241" t="s">
        <v>434</v>
      </c>
    </row>
    <row r="1242" spans="2:2" x14ac:dyDescent="0.25">
      <c r="B1242" t="s">
        <v>28</v>
      </c>
    </row>
    <row r="1243" spans="2:2" x14ac:dyDescent="0.25">
      <c r="B1243" t="s">
        <v>1046</v>
      </c>
    </row>
    <row r="1244" spans="2:2" x14ac:dyDescent="0.25">
      <c r="B1244" t="s">
        <v>745</v>
      </c>
    </row>
    <row r="1245" spans="2:2" x14ac:dyDescent="0.25">
      <c r="B1245" t="s">
        <v>1262</v>
      </c>
    </row>
    <row r="1246" spans="2:2" x14ac:dyDescent="0.25">
      <c r="B1246" t="s">
        <v>1188</v>
      </c>
    </row>
    <row r="1247" spans="2:2" x14ac:dyDescent="0.25">
      <c r="B1247" t="s">
        <v>1574</v>
      </c>
    </row>
    <row r="1248" spans="2:2" x14ac:dyDescent="0.25">
      <c r="B1248" t="s">
        <v>147</v>
      </c>
    </row>
    <row r="1249" spans="2:2" x14ac:dyDescent="0.25">
      <c r="B1249" t="s">
        <v>1237</v>
      </c>
    </row>
    <row r="1250" spans="2:2" x14ac:dyDescent="0.25">
      <c r="B1250" t="s">
        <v>1452</v>
      </c>
    </row>
    <row r="1251" spans="2:2" x14ac:dyDescent="0.25">
      <c r="B1251" t="s">
        <v>274</v>
      </c>
    </row>
    <row r="1252" spans="2:2" x14ac:dyDescent="0.25">
      <c r="B1252" t="s">
        <v>713</v>
      </c>
    </row>
    <row r="1253" spans="2:2" x14ac:dyDescent="0.25">
      <c r="B1253" t="s">
        <v>787</v>
      </c>
    </row>
    <row r="1254" spans="2:2" x14ac:dyDescent="0.25">
      <c r="B1254" t="s">
        <v>1687</v>
      </c>
    </row>
    <row r="1255" spans="2:2" x14ac:dyDescent="0.25">
      <c r="B1255" t="s">
        <v>1266</v>
      </c>
    </row>
    <row r="1256" spans="2:2" x14ac:dyDescent="0.25">
      <c r="B1256" t="s">
        <v>1228</v>
      </c>
    </row>
    <row r="1257" spans="2:2" x14ac:dyDescent="0.25">
      <c r="B1257" t="s">
        <v>15</v>
      </c>
    </row>
    <row r="1258" spans="2:2" x14ac:dyDescent="0.25">
      <c r="B1258" t="s">
        <v>1348</v>
      </c>
    </row>
    <row r="1259" spans="2:2" x14ac:dyDescent="0.25">
      <c r="B1259" t="s">
        <v>1338</v>
      </c>
    </row>
    <row r="1260" spans="2:2" x14ac:dyDescent="0.25">
      <c r="B1260" t="s">
        <v>82</v>
      </c>
    </row>
    <row r="1261" spans="2:2" x14ac:dyDescent="0.25">
      <c r="B1261" t="s">
        <v>902</v>
      </c>
    </row>
    <row r="1262" spans="2:2" x14ac:dyDescent="0.25">
      <c r="B1262" t="s">
        <v>1121</v>
      </c>
    </row>
    <row r="1263" spans="2:2" x14ac:dyDescent="0.25">
      <c r="B1263" t="s">
        <v>1288</v>
      </c>
    </row>
    <row r="1264" spans="2:2" x14ac:dyDescent="0.25">
      <c r="B1264" t="s">
        <v>494</v>
      </c>
    </row>
    <row r="1265" spans="2:2" x14ac:dyDescent="0.25">
      <c r="B1265" t="s">
        <v>1591</v>
      </c>
    </row>
    <row r="1266" spans="2:2" x14ac:dyDescent="0.25">
      <c r="B1266" t="s">
        <v>747</v>
      </c>
    </row>
    <row r="1267" spans="2:2" x14ac:dyDescent="0.25">
      <c r="B1267" t="s">
        <v>974</v>
      </c>
    </row>
    <row r="1268" spans="2:2" x14ac:dyDescent="0.25">
      <c r="B1268" t="s">
        <v>885</v>
      </c>
    </row>
    <row r="1269" spans="2:2" x14ac:dyDescent="0.25">
      <c r="B1269" t="s">
        <v>1015</v>
      </c>
    </row>
    <row r="1270" spans="2:2" x14ac:dyDescent="0.25">
      <c r="B1270" t="s">
        <v>1238</v>
      </c>
    </row>
    <row r="1271" spans="2:2" x14ac:dyDescent="0.25">
      <c r="B1271" t="s">
        <v>291</v>
      </c>
    </row>
    <row r="1272" spans="2:2" x14ac:dyDescent="0.25">
      <c r="B1272" t="s">
        <v>1622</v>
      </c>
    </row>
    <row r="1273" spans="2:2" x14ac:dyDescent="0.25">
      <c r="B1273" t="s">
        <v>1129</v>
      </c>
    </row>
    <row r="1274" spans="2:2" x14ac:dyDescent="0.25">
      <c r="B1274" t="s">
        <v>468</v>
      </c>
    </row>
    <row r="1275" spans="2:2" x14ac:dyDescent="0.25">
      <c r="B1275" t="s">
        <v>817</v>
      </c>
    </row>
    <row r="1276" spans="2:2" x14ac:dyDescent="0.25">
      <c r="B1276" t="s">
        <v>7</v>
      </c>
    </row>
    <row r="1277" spans="2:2" x14ac:dyDescent="0.25">
      <c r="B1277" t="s">
        <v>1179</v>
      </c>
    </row>
    <row r="1278" spans="2:2" x14ac:dyDescent="0.25">
      <c r="B1278" t="s">
        <v>511</v>
      </c>
    </row>
    <row r="1279" spans="2:2" x14ac:dyDescent="0.25">
      <c r="B1279" t="s">
        <v>603</v>
      </c>
    </row>
    <row r="1280" spans="2:2" x14ac:dyDescent="0.25">
      <c r="B1280" t="s">
        <v>926</v>
      </c>
    </row>
    <row r="1281" spans="2:2" x14ac:dyDescent="0.25">
      <c r="B1281" t="s">
        <v>168</v>
      </c>
    </row>
    <row r="1282" spans="2:2" x14ac:dyDescent="0.25">
      <c r="B1282" t="s">
        <v>357</v>
      </c>
    </row>
    <row r="1283" spans="2:2" x14ac:dyDescent="0.25">
      <c r="B1283" t="s">
        <v>1612</v>
      </c>
    </row>
    <row r="1284" spans="2:2" x14ac:dyDescent="0.25">
      <c r="B1284" t="s">
        <v>242</v>
      </c>
    </row>
    <row r="1285" spans="2:2" x14ac:dyDescent="0.25">
      <c r="B1285" t="s">
        <v>389</v>
      </c>
    </row>
    <row r="1286" spans="2:2" x14ac:dyDescent="0.25">
      <c r="B1286" t="s">
        <v>644</v>
      </c>
    </row>
    <row r="1287" spans="2:2" x14ac:dyDescent="0.25">
      <c r="B1287" t="s">
        <v>586</v>
      </c>
    </row>
    <row r="1288" spans="2:2" x14ac:dyDescent="0.25">
      <c r="B1288" t="s">
        <v>1557</v>
      </c>
    </row>
    <row r="1289" spans="2:2" x14ac:dyDescent="0.25">
      <c r="B1289" t="s">
        <v>293</v>
      </c>
    </row>
    <row r="1290" spans="2:2" x14ac:dyDescent="0.25">
      <c r="B1290" t="s">
        <v>1756</v>
      </c>
    </row>
    <row r="1291" spans="2:2" x14ac:dyDescent="0.25">
      <c r="B1291" t="s">
        <v>1474</v>
      </c>
    </row>
    <row r="1292" spans="2:2" x14ac:dyDescent="0.25">
      <c r="B1292" t="s">
        <v>686</v>
      </c>
    </row>
    <row r="1293" spans="2:2" x14ac:dyDescent="0.25">
      <c r="B1293" t="s">
        <v>23</v>
      </c>
    </row>
    <row r="1294" spans="2:2" x14ac:dyDescent="0.25">
      <c r="B1294" t="s">
        <v>987</v>
      </c>
    </row>
    <row r="1295" spans="2:2" x14ac:dyDescent="0.25">
      <c r="B1295" t="s">
        <v>1302</v>
      </c>
    </row>
    <row r="1296" spans="2:2" x14ac:dyDescent="0.25">
      <c r="B1296" t="s">
        <v>1224</v>
      </c>
    </row>
    <row r="1297" spans="2:2" x14ac:dyDescent="0.25">
      <c r="B1297" t="s">
        <v>1604</v>
      </c>
    </row>
    <row r="1298" spans="2:2" x14ac:dyDescent="0.25">
      <c r="B1298" t="s">
        <v>710</v>
      </c>
    </row>
    <row r="1299" spans="2:2" x14ac:dyDescent="0.25">
      <c r="B1299" t="s">
        <v>407</v>
      </c>
    </row>
    <row r="1300" spans="2:2" x14ac:dyDescent="0.25">
      <c r="B1300" t="s">
        <v>51</v>
      </c>
    </row>
    <row r="1301" spans="2:2" x14ac:dyDescent="0.25">
      <c r="B1301" t="s">
        <v>362</v>
      </c>
    </row>
    <row r="1302" spans="2:2" x14ac:dyDescent="0.25">
      <c r="B1302" t="s">
        <v>1696</v>
      </c>
    </row>
    <row r="1303" spans="2:2" x14ac:dyDescent="0.25">
      <c r="B1303" t="s">
        <v>507</v>
      </c>
    </row>
    <row r="1304" spans="2:2" x14ac:dyDescent="0.25">
      <c r="B1304" t="s">
        <v>1536</v>
      </c>
    </row>
    <row r="1305" spans="2:2" x14ac:dyDescent="0.25">
      <c r="B1305" t="s">
        <v>35</v>
      </c>
    </row>
    <row r="1306" spans="2:2" x14ac:dyDescent="0.25">
      <c r="B1306" t="s">
        <v>370</v>
      </c>
    </row>
    <row r="1307" spans="2:2" x14ac:dyDescent="0.25">
      <c r="B1307" t="s">
        <v>1189</v>
      </c>
    </row>
    <row r="1308" spans="2:2" x14ac:dyDescent="0.25">
      <c r="B1308" t="s">
        <v>815</v>
      </c>
    </row>
    <row r="1309" spans="2:2" x14ac:dyDescent="0.25">
      <c r="B1309" t="s">
        <v>549</v>
      </c>
    </row>
    <row r="1310" spans="2:2" x14ac:dyDescent="0.25">
      <c r="B1310" t="s">
        <v>182</v>
      </c>
    </row>
    <row r="1311" spans="2:2" x14ac:dyDescent="0.25">
      <c r="B1311" t="s">
        <v>428</v>
      </c>
    </row>
    <row r="1312" spans="2:2" x14ac:dyDescent="0.25">
      <c r="B1312" t="s">
        <v>1206</v>
      </c>
    </row>
    <row r="1313" spans="2:2" x14ac:dyDescent="0.25">
      <c r="B1313" t="s">
        <v>690</v>
      </c>
    </row>
    <row r="1314" spans="2:2" x14ac:dyDescent="0.25">
      <c r="B1314" t="s">
        <v>278</v>
      </c>
    </row>
    <row r="1315" spans="2:2" x14ac:dyDescent="0.25">
      <c r="B1315" t="s">
        <v>970</v>
      </c>
    </row>
    <row r="1316" spans="2:2" x14ac:dyDescent="0.25">
      <c r="B1316" t="s">
        <v>554</v>
      </c>
    </row>
    <row r="1317" spans="2:2" x14ac:dyDescent="0.25">
      <c r="B1317" t="s">
        <v>347</v>
      </c>
    </row>
    <row r="1318" spans="2:2" x14ac:dyDescent="0.25">
      <c r="B1318" t="s">
        <v>983</v>
      </c>
    </row>
    <row r="1319" spans="2:2" x14ac:dyDescent="0.25">
      <c r="B1319" t="s">
        <v>435</v>
      </c>
    </row>
    <row r="1320" spans="2:2" x14ac:dyDescent="0.25">
      <c r="B1320" t="s">
        <v>359</v>
      </c>
    </row>
    <row r="1321" spans="2:2" x14ac:dyDescent="0.25">
      <c r="B1321" t="s">
        <v>1573</v>
      </c>
    </row>
    <row r="1322" spans="2:2" x14ac:dyDescent="0.25">
      <c r="B1322" t="s">
        <v>379</v>
      </c>
    </row>
    <row r="1323" spans="2:2" x14ac:dyDescent="0.25">
      <c r="B1323" t="s">
        <v>861</v>
      </c>
    </row>
    <row r="1324" spans="2:2" x14ac:dyDescent="0.25">
      <c r="B1324" t="s">
        <v>1321</v>
      </c>
    </row>
    <row r="1325" spans="2:2" x14ac:dyDescent="0.25">
      <c r="B1325" t="s">
        <v>228</v>
      </c>
    </row>
    <row r="1326" spans="2:2" x14ac:dyDescent="0.25">
      <c r="B1326" t="s">
        <v>1673</v>
      </c>
    </row>
    <row r="1327" spans="2:2" x14ac:dyDescent="0.25">
      <c r="B1327" t="s">
        <v>1388</v>
      </c>
    </row>
    <row r="1328" spans="2:2" x14ac:dyDescent="0.25">
      <c r="B1328" t="s">
        <v>1330</v>
      </c>
    </row>
    <row r="1329" spans="2:2" x14ac:dyDescent="0.25">
      <c r="B1329" t="s">
        <v>1715</v>
      </c>
    </row>
    <row r="1330" spans="2:2" x14ac:dyDescent="0.25">
      <c r="B1330" t="s">
        <v>874</v>
      </c>
    </row>
    <row r="1331" spans="2:2" x14ac:dyDescent="0.25">
      <c r="B1331" t="s">
        <v>1412</v>
      </c>
    </row>
    <row r="1332" spans="2:2" x14ac:dyDescent="0.25">
      <c r="B1332" t="s">
        <v>89</v>
      </c>
    </row>
    <row r="1333" spans="2:2" x14ac:dyDescent="0.25">
      <c r="B1333" t="s">
        <v>581</v>
      </c>
    </row>
    <row r="1334" spans="2:2" x14ac:dyDescent="0.25">
      <c r="B1334" t="s">
        <v>799</v>
      </c>
    </row>
    <row r="1335" spans="2:2" x14ac:dyDescent="0.25">
      <c r="B1335" t="s">
        <v>167</v>
      </c>
    </row>
    <row r="1336" spans="2:2" x14ac:dyDescent="0.25">
      <c r="B1336" t="s">
        <v>1002</v>
      </c>
    </row>
    <row r="1337" spans="2:2" x14ac:dyDescent="0.25">
      <c r="B1337" t="s">
        <v>5</v>
      </c>
    </row>
    <row r="1338" spans="2:2" x14ac:dyDescent="0.25">
      <c r="B1338" t="s">
        <v>249</v>
      </c>
    </row>
    <row r="1339" spans="2:2" x14ac:dyDescent="0.25">
      <c r="B1339" t="s">
        <v>1586</v>
      </c>
    </row>
    <row r="1340" spans="2:2" x14ac:dyDescent="0.25">
      <c r="B1340" t="s">
        <v>1631</v>
      </c>
    </row>
    <row r="1341" spans="2:2" x14ac:dyDescent="0.25">
      <c r="B1341" t="s">
        <v>1105</v>
      </c>
    </row>
    <row r="1342" spans="2:2" x14ac:dyDescent="0.25">
      <c r="B1342" t="s">
        <v>1233</v>
      </c>
    </row>
    <row r="1343" spans="2:2" x14ac:dyDescent="0.25">
      <c r="B1343" t="s">
        <v>1004</v>
      </c>
    </row>
    <row r="1344" spans="2:2" x14ac:dyDescent="0.25">
      <c r="B1344" t="s">
        <v>279</v>
      </c>
    </row>
    <row r="1345" spans="2:2" x14ac:dyDescent="0.25">
      <c r="B1345" t="s">
        <v>1679</v>
      </c>
    </row>
    <row r="1346" spans="2:2" x14ac:dyDescent="0.25">
      <c r="B1346" t="s">
        <v>835</v>
      </c>
    </row>
    <row r="1347" spans="2:2" x14ac:dyDescent="0.25">
      <c r="B1347" t="s">
        <v>1471</v>
      </c>
    </row>
    <row r="1348" spans="2:2" x14ac:dyDescent="0.25">
      <c r="B1348" t="s">
        <v>93</v>
      </c>
    </row>
    <row r="1349" spans="2:2" x14ac:dyDescent="0.25">
      <c r="B1349" t="s">
        <v>574</v>
      </c>
    </row>
    <row r="1350" spans="2:2" x14ac:dyDescent="0.25">
      <c r="B1350" t="s">
        <v>73</v>
      </c>
    </row>
    <row r="1351" spans="2:2" x14ac:dyDescent="0.25">
      <c r="B1351" t="s">
        <v>1545</v>
      </c>
    </row>
    <row r="1352" spans="2:2" x14ac:dyDescent="0.25">
      <c r="B1352" t="s">
        <v>533</v>
      </c>
    </row>
    <row r="1353" spans="2:2" x14ac:dyDescent="0.25">
      <c r="B1353" t="s">
        <v>1735</v>
      </c>
    </row>
    <row r="1354" spans="2:2" x14ac:dyDescent="0.25">
      <c r="B1354" t="s">
        <v>1122</v>
      </c>
    </row>
    <row r="1355" spans="2:2" x14ac:dyDescent="0.25">
      <c r="B1355" t="s">
        <v>271</v>
      </c>
    </row>
    <row r="1356" spans="2:2" x14ac:dyDescent="0.25">
      <c r="B1356" t="s">
        <v>1524</v>
      </c>
    </row>
    <row r="1357" spans="2:2" x14ac:dyDescent="0.25">
      <c r="B1357" t="s">
        <v>1434</v>
      </c>
    </row>
    <row r="1358" spans="2:2" x14ac:dyDescent="0.25">
      <c r="B1358" t="s">
        <v>924</v>
      </c>
    </row>
    <row r="1359" spans="2:2" x14ac:dyDescent="0.25">
      <c r="B1359" t="s">
        <v>479</v>
      </c>
    </row>
    <row r="1360" spans="2:2" x14ac:dyDescent="0.25">
      <c r="B1360" t="s">
        <v>656</v>
      </c>
    </row>
    <row r="1361" spans="2:2" x14ac:dyDescent="0.25">
      <c r="B1361" t="s">
        <v>1197</v>
      </c>
    </row>
    <row r="1362" spans="2:2" x14ac:dyDescent="0.25">
      <c r="B1362" t="s">
        <v>1500</v>
      </c>
    </row>
    <row r="1363" spans="2:2" x14ac:dyDescent="0.25">
      <c r="B1363" t="s">
        <v>48</v>
      </c>
    </row>
    <row r="1364" spans="2:2" x14ac:dyDescent="0.25">
      <c r="B1364" t="s">
        <v>1395</v>
      </c>
    </row>
    <row r="1365" spans="2:2" x14ac:dyDescent="0.25">
      <c r="B1365" t="s">
        <v>1256</v>
      </c>
    </row>
    <row r="1366" spans="2:2" x14ac:dyDescent="0.25">
      <c r="B1366" t="s">
        <v>1527</v>
      </c>
    </row>
    <row r="1367" spans="2:2" x14ac:dyDescent="0.25">
      <c r="B1367" t="s">
        <v>180</v>
      </c>
    </row>
    <row r="1368" spans="2:2" x14ac:dyDescent="0.25">
      <c r="B1368" t="s">
        <v>1180</v>
      </c>
    </row>
    <row r="1369" spans="2:2" x14ac:dyDescent="0.25">
      <c r="B1369" t="s">
        <v>1328</v>
      </c>
    </row>
    <row r="1370" spans="2:2" x14ac:dyDescent="0.25">
      <c r="B1370" t="s">
        <v>880</v>
      </c>
    </row>
    <row r="1371" spans="2:2" x14ac:dyDescent="0.25">
      <c r="B1371" t="s">
        <v>762</v>
      </c>
    </row>
    <row r="1372" spans="2:2" x14ac:dyDescent="0.25">
      <c r="B1372" t="s">
        <v>726</v>
      </c>
    </row>
    <row r="1373" spans="2:2" x14ac:dyDescent="0.25">
      <c r="B1373" t="s">
        <v>368</v>
      </c>
    </row>
    <row r="1374" spans="2:2" x14ac:dyDescent="0.25">
      <c r="B1374" t="s">
        <v>719</v>
      </c>
    </row>
    <row r="1375" spans="2:2" x14ac:dyDescent="0.25">
      <c r="B1375" t="s">
        <v>1027</v>
      </c>
    </row>
    <row r="1376" spans="2:2" x14ac:dyDescent="0.25">
      <c r="B1376" t="s">
        <v>162</v>
      </c>
    </row>
    <row r="1377" spans="2:2" x14ac:dyDescent="0.25">
      <c r="B1377" t="s">
        <v>109</v>
      </c>
    </row>
    <row r="1378" spans="2:2" x14ac:dyDescent="0.25">
      <c r="B1378" t="s">
        <v>251</v>
      </c>
    </row>
    <row r="1379" spans="2:2" x14ac:dyDescent="0.25">
      <c r="B1379" t="s">
        <v>1312</v>
      </c>
    </row>
    <row r="1380" spans="2:2" x14ac:dyDescent="0.25">
      <c r="B1380" t="s">
        <v>1635</v>
      </c>
    </row>
    <row r="1381" spans="2:2" x14ac:dyDescent="0.25">
      <c r="B1381" t="s">
        <v>946</v>
      </c>
    </row>
    <row r="1382" spans="2:2" x14ac:dyDescent="0.25">
      <c r="B1382" t="s">
        <v>832</v>
      </c>
    </row>
    <row r="1383" spans="2:2" x14ac:dyDescent="0.25">
      <c r="B1383" t="s">
        <v>1692</v>
      </c>
    </row>
    <row r="1384" spans="2:2" x14ac:dyDescent="0.25">
      <c r="B1384" t="s">
        <v>786</v>
      </c>
    </row>
    <row r="1385" spans="2:2" x14ac:dyDescent="0.25">
      <c r="B1385" t="s">
        <v>1761</v>
      </c>
    </row>
    <row r="1386" spans="2:2" x14ac:dyDescent="0.25">
      <c r="B1386" t="s">
        <v>919</v>
      </c>
    </row>
    <row r="1387" spans="2:2" x14ac:dyDescent="0.25">
      <c r="B1387" t="s">
        <v>1257</v>
      </c>
    </row>
    <row r="1388" spans="2:2" x14ac:dyDescent="0.25">
      <c r="B1388" t="s">
        <v>662</v>
      </c>
    </row>
    <row r="1389" spans="2:2" x14ac:dyDescent="0.25">
      <c r="B1389" t="s">
        <v>53</v>
      </c>
    </row>
    <row r="1390" spans="2:2" x14ac:dyDescent="0.25">
      <c r="B1390" t="s">
        <v>1193</v>
      </c>
    </row>
    <row r="1391" spans="2:2" x14ac:dyDescent="0.25">
      <c r="B1391" t="s">
        <v>1624</v>
      </c>
    </row>
    <row r="1392" spans="2:2" x14ac:dyDescent="0.25">
      <c r="B1392" t="s">
        <v>1276</v>
      </c>
    </row>
    <row r="1393" spans="2:2" x14ac:dyDescent="0.25">
      <c r="B1393" t="s">
        <v>1305</v>
      </c>
    </row>
    <row r="1394" spans="2:2" x14ac:dyDescent="0.25">
      <c r="B1394" t="s">
        <v>679</v>
      </c>
    </row>
    <row r="1395" spans="2:2" x14ac:dyDescent="0.25">
      <c r="B1395" t="s">
        <v>616</v>
      </c>
    </row>
    <row r="1396" spans="2:2" x14ac:dyDescent="0.25">
      <c r="B1396" t="s">
        <v>540</v>
      </c>
    </row>
    <row r="1397" spans="2:2" x14ac:dyDescent="0.25">
      <c r="B1397" t="s">
        <v>839</v>
      </c>
    </row>
    <row r="1398" spans="2:2" x14ac:dyDescent="0.25">
      <c r="B1398" t="s">
        <v>592</v>
      </c>
    </row>
    <row r="1399" spans="2:2" x14ac:dyDescent="0.25">
      <c r="B1399" t="s">
        <v>159</v>
      </c>
    </row>
    <row r="1400" spans="2:2" x14ac:dyDescent="0.25">
      <c r="B1400" t="s">
        <v>1359</v>
      </c>
    </row>
    <row r="1401" spans="2:2" x14ac:dyDescent="0.25">
      <c r="B1401" t="s">
        <v>1010</v>
      </c>
    </row>
    <row r="1402" spans="2:2" x14ac:dyDescent="0.25">
      <c r="B1402" t="s">
        <v>136</v>
      </c>
    </row>
    <row r="1403" spans="2:2" x14ac:dyDescent="0.25">
      <c r="B1403" t="s">
        <v>1005</v>
      </c>
    </row>
    <row r="1404" spans="2:2" x14ac:dyDescent="0.25">
      <c r="B1404" t="s">
        <v>20</v>
      </c>
    </row>
    <row r="1405" spans="2:2" x14ac:dyDescent="0.25">
      <c r="B1405" t="s">
        <v>1610</v>
      </c>
    </row>
    <row r="1406" spans="2:2" x14ac:dyDescent="0.25">
      <c r="B1406" t="s">
        <v>1418</v>
      </c>
    </row>
    <row r="1407" spans="2:2" x14ac:dyDescent="0.25">
      <c r="B1407" t="s">
        <v>283</v>
      </c>
    </row>
    <row r="1408" spans="2:2" x14ac:dyDescent="0.25">
      <c r="B1408" t="s">
        <v>959</v>
      </c>
    </row>
    <row r="1409" spans="2:2" x14ac:dyDescent="0.25">
      <c r="B1409" t="s">
        <v>1140</v>
      </c>
    </row>
    <row r="1410" spans="2:2" x14ac:dyDescent="0.25">
      <c r="B1410" t="s">
        <v>1468</v>
      </c>
    </row>
    <row r="1411" spans="2:2" x14ac:dyDescent="0.25">
      <c r="B1411" t="s">
        <v>1023</v>
      </c>
    </row>
    <row r="1412" spans="2:2" x14ac:dyDescent="0.25">
      <c r="B1412" t="s">
        <v>1554</v>
      </c>
    </row>
    <row r="1413" spans="2:2" x14ac:dyDescent="0.25">
      <c r="B1413" t="s">
        <v>870</v>
      </c>
    </row>
    <row r="1414" spans="2:2" x14ac:dyDescent="0.25">
      <c r="B1414" t="s">
        <v>836</v>
      </c>
    </row>
    <row r="1415" spans="2:2" x14ac:dyDescent="0.25">
      <c r="B1415" t="s">
        <v>535</v>
      </c>
    </row>
    <row r="1416" spans="2:2" x14ac:dyDescent="0.25">
      <c r="B1416" t="s">
        <v>1643</v>
      </c>
    </row>
    <row r="1417" spans="2:2" x14ac:dyDescent="0.25">
      <c r="B1417" t="s">
        <v>173</v>
      </c>
    </row>
    <row r="1418" spans="2:2" x14ac:dyDescent="0.25">
      <c r="B1418" t="s">
        <v>309</v>
      </c>
    </row>
    <row r="1419" spans="2:2" x14ac:dyDescent="0.25">
      <c r="B1419" t="s">
        <v>1719</v>
      </c>
    </row>
    <row r="1420" spans="2:2" x14ac:dyDescent="0.25">
      <c r="B1420" t="s">
        <v>1460</v>
      </c>
    </row>
    <row r="1421" spans="2:2" x14ac:dyDescent="0.25">
      <c r="B1421" t="s">
        <v>1414</v>
      </c>
    </row>
    <row r="1422" spans="2:2" x14ac:dyDescent="0.25">
      <c r="B1422" t="s">
        <v>1606</v>
      </c>
    </row>
    <row r="1423" spans="2:2" x14ac:dyDescent="0.25">
      <c r="B1423" t="s">
        <v>83</v>
      </c>
    </row>
    <row r="1424" spans="2:2" x14ac:dyDescent="0.25">
      <c r="B1424" t="s">
        <v>1764</v>
      </c>
    </row>
    <row r="1425" spans="2:2" x14ac:dyDescent="0.25">
      <c r="B1425" t="s">
        <v>1642</v>
      </c>
    </row>
    <row r="1426" spans="2:2" x14ac:dyDescent="0.25">
      <c r="B1426" t="s">
        <v>1390</v>
      </c>
    </row>
    <row r="1427" spans="2:2" x14ac:dyDescent="0.25">
      <c r="B1427" t="s">
        <v>1051</v>
      </c>
    </row>
    <row r="1428" spans="2:2" x14ac:dyDescent="0.25">
      <c r="B1428" t="s">
        <v>387</v>
      </c>
    </row>
    <row r="1429" spans="2:2" x14ac:dyDescent="0.25">
      <c r="B1429" t="s">
        <v>1222</v>
      </c>
    </row>
    <row r="1430" spans="2:2" x14ac:dyDescent="0.25">
      <c r="B1430" t="s">
        <v>857</v>
      </c>
    </row>
    <row r="1431" spans="2:2" x14ac:dyDescent="0.25">
      <c r="B1431" t="s">
        <v>1659</v>
      </c>
    </row>
    <row r="1432" spans="2:2" x14ac:dyDescent="0.25">
      <c r="B1432" t="s">
        <v>420</v>
      </c>
    </row>
    <row r="1433" spans="2:2" x14ac:dyDescent="0.25">
      <c r="B1433" t="s">
        <v>651</v>
      </c>
    </row>
    <row r="1434" spans="2:2" x14ac:dyDescent="0.25">
      <c r="B1434" t="s">
        <v>1310</v>
      </c>
    </row>
    <row r="1435" spans="2:2" x14ac:dyDescent="0.25">
      <c r="B1435" t="s">
        <v>75</v>
      </c>
    </row>
    <row r="1436" spans="2:2" x14ac:dyDescent="0.25">
      <c r="B1436" t="s">
        <v>1547</v>
      </c>
    </row>
    <row r="1437" spans="2:2" x14ac:dyDescent="0.25">
      <c r="B1437" t="s">
        <v>1721</v>
      </c>
    </row>
    <row r="1438" spans="2:2" x14ac:dyDescent="0.25">
      <c r="B1438" t="s">
        <v>209</v>
      </c>
    </row>
    <row r="1439" spans="2:2" x14ac:dyDescent="0.25">
      <c r="B1439" t="s">
        <v>1367</v>
      </c>
    </row>
    <row r="1440" spans="2:2" x14ac:dyDescent="0.25">
      <c r="B1440" t="s">
        <v>858</v>
      </c>
    </row>
    <row r="1441" spans="2:2" x14ac:dyDescent="0.25">
      <c r="B1441" t="s">
        <v>638</v>
      </c>
    </row>
    <row r="1442" spans="2:2" x14ac:dyDescent="0.25">
      <c r="B1442" t="s">
        <v>259</v>
      </c>
    </row>
    <row r="1443" spans="2:2" x14ac:dyDescent="0.25">
      <c r="B1443" t="s">
        <v>1136</v>
      </c>
    </row>
    <row r="1444" spans="2:2" x14ac:dyDescent="0.25">
      <c r="B1444" t="s">
        <v>287</v>
      </c>
    </row>
    <row r="1445" spans="2:2" x14ac:dyDescent="0.25">
      <c r="B1445" t="s">
        <v>794</v>
      </c>
    </row>
    <row r="1446" spans="2:2" x14ac:dyDescent="0.25">
      <c r="B1446" t="s">
        <v>1323</v>
      </c>
    </row>
    <row r="1447" spans="2:2" x14ac:dyDescent="0.25">
      <c r="B1447" t="s">
        <v>11</v>
      </c>
    </row>
    <row r="1448" spans="2:2" x14ac:dyDescent="0.25">
      <c r="B1448" t="s">
        <v>1621</v>
      </c>
    </row>
    <row r="1449" spans="2:2" x14ac:dyDescent="0.25">
      <c r="B1449" t="s">
        <v>1584</v>
      </c>
    </row>
    <row r="1450" spans="2:2" x14ac:dyDescent="0.25">
      <c r="B1450" t="s">
        <v>1198</v>
      </c>
    </row>
    <row r="1451" spans="2:2" x14ac:dyDescent="0.25">
      <c r="B1451" t="s">
        <v>18</v>
      </c>
    </row>
    <row r="1452" spans="2:2" x14ac:dyDescent="0.25">
      <c r="B1452" t="s">
        <v>883</v>
      </c>
    </row>
    <row r="1453" spans="2:2" x14ac:dyDescent="0.25">
      <c r="B1453" t="s">
        <v>415</v>
      </c>
    </row>
    <row r="1454" spans="2:2" x14ac:dyDescent="0.25">
      <c r="B1454" t="s">
        <v>1729</v>
      </c>
    </row>
    <row r="1455" spans="2:2" x14ac:dyDescent="0.25">
      <c r="B1455" t="s">
        <v>99</v>
      </c>
    </row>
    <row r="1456" spans="2:2" x14ac:dyDescent="0.25">
      <c r="B1456" t="s">
        <v>703</v>
      </c>
    </row>
    <row r="1457" spans="2:2" x14ac:dyDescent="0.25">
      <c r="B1457" t="s">
        <v>1329</v>
      </c>
    </row>
    <row r="1458" spans="2:2" x14ac:dyDescent="0.25">
      <c r="B1458" t="s">
        <v>665</v>
      </c>
    </row>
    <row r="1459" spans="2:2" x14ac:dyDescent="0.25">
      <c r="B1459" t="s">
        <v>1690</v>
      </c>
    </row>
    <row r="1460" spans="2:2" x14ac:dyDescent="0.25">
      <c r="B1460" t="s">
        <v>462</v>
      </c>
    </row>
    <row r="1461" spans="2:2" x14ac:dyDescent="0.25">
      <c r="B1461" t="s">
        <v>1617</v>
      </c>
    </row>
    <row r="1462" spans="2:2" x14ac:dyDescent="0.25">
      <c r="B1462" t="s">
        <v>1495</v>
      </c>
    </row>
    <row r="1463" spans="2:2" x14ac:dyDescent="0.25">
      <c r="B1463" t="s">
        <v>383</v>
      </c>
    </row>
    <row r="1464" spans="2:2" x14ac:dyDescent="0.25">
      <c r="B1464" t="s">
        <v>895</v>
      </c>
    </row>
    <row r="1465" spans="2:2" x14ac:dyDescent="0.25">
      <c r="B1465" t="s">
        <v>1049</v>
      </c>
    </row>
    <row r="1466" spans="2:2" x14ac:dyDescent="0.25">
      <c r="B1466" t="s">
        <v>115</v>
      </c>
    </row>
    <row r="1467" spans="2:2" x14ac:dyDescent="0.25">
      <c r="B1467" t="s">
        <v>1014</v>
      </c>
    </row>
    <row r="1468" spans="2:2" x14ac:dyDescent="0.25">
      <c r="B1468" t="s">
        <v>388</v>
      </c>
    </row>
    <row r="1469" spans="2:2" x14ac:dyDescent="0.25">
      <c r="B1469" t="s">
        <v>457</v>
      </c>
    </row>
    <row r="1470" spans="2:2" x14ac:dyDescent="0.25">
      <c r="B1470" t="s">
        <v>822</v>
      </c>
    </row>
    <row r="1471" spans="2:2" x14ac:dyDescent="0.25">
      <c r="B1471" t="s">
        <v>1134</v>
      </c>
    </row>
    <row r="1472" spans="2:2" x14ac:dyDescent="0.25">
      <c r="B1472" t="s">
        <v>1153</v>
      </c>
    </row>
    <row r="1473" spans="2:2" x14ac:dyDescent="0.25">
      <c r="B1473" t="s">
        <v>655</v>
      </c>
    </row>
    <row r="1474" spans="2:2" x14ac:dyDescent="0.25">
      <c r="B1474" t="s">
        <v>566</v>
      </c>
    </row>
    <row r="1475" spans="2:2" x14ac:dyDescent="0.25">
      <c r="B1475" t="s">
        <v>1113</v>
      </c>
    </row>
    <row r="1476" spans="2:2" x14ac:dyDescent="0.25">
      <c r="B1476" t="s">
        <v>245</v>
      </c>
    </row>
    <row r="1477" spans="2:2" x14ac:dyDescent="0.25">
      <c r="B1477" t="s">
        <v>967</v>
      </c>
    </row>
    <row r="1478" spans="2:2" x14ac:dyDescent="0.25">
      <c r="B1478" t="s">
        <v>1664</v>
      </c>
    </row>
    <row r="1479" spans="2:2" x14ac:dyDescent="0.25">
      <c r="B1479" t="s">
        <v>1235</v>
      </c>
    </row>
    <row r="1480" spans="2:2" x14ac:dyDescent="0.25">
      <c r="B1480" t="s">
        <v>1694</v>
      </c>
    </row>
    <row r="1481" spans="2:2" x14ac:dyDescent="0.25">
      <c r="B1481" t="s">
        <v>1191</v>
      </c>
    </row>
    <row r="1482" spans="2:2" x14ac:dyDescent="0.25">
      <c r="B1482" t="s">
        <v>534</v>
      </c>
    </row>
    <row r="1483" spans="2:2" x14ac:dyDescent="0.25">
      <c r="B1483" t="s">
        <v>1034</v>
      </c>
    </row>
    <row r="1484" spans="2:2" x14ac:dyDescent="0.25">
      <c r="B1484" t="s">
        <v>86</v>
      </c>
    </row>
    <row r="1485" spans="2:2" x14ac:dyDescent="0.25">
      <c r="B1485" t="s">
        <v>1754</v>
      </c>
    </row>
    <row r="1486" spans="2:2" x14ac:dyDescent="0.25">
      <c r="B1486" t="s">
        <v>1714</v>
      </c>
    </row>
    <row r="1487" spans="2:2" x14ac:dyDescent="0.25">
      <c r="B1487" t="s">
        <v>1763</v>
      </c>
    </row>
    <row r="1488" spans="2:2" x14ac:dyDescent="0.25">
      <c r="B1488" t="s">
        <v>913</v>
      </c>
    </row>
    <row r="1489" spans="2:2" x14ac:dyDescent="0.25">
      <c r="B1489" t="s">
        <v>723</v>
      </c>
    </row>
    <row r="1490" spans="2:2" x14ac:dyDescent="0.25">
      <c r="B1490" t="s">
        <v>1207</v>
      </c>
    </row>
    <row r="1491" spans="2:2" x14ac:dyDescent="0.25">
      <c r="B1491" t="s">
        <v>1379</v>
      </c>
    </row>
    <row r="1492" spans="2:2" x14ac:dyDescent="0.25">
      <c r="B1492" t="s">
        <v>558</v>
      </c>
    </row>
    <row r="1493" spans="2:2" x14ac:dyDescent="0.25">
      <c r="B1493" t="s">
        <v>248</v>
      </c>
    </row>
    <row r="1494" spans="2:2" x14ac:dyDescent="0.25">
      <c r="B1494" t="s">
        <v>230</v>
      </c>
    </row>
    <row r="1495" spans="2:2" x14ac:dyDescent="0.25">
      <c r="B1495" t="s">
        <v>1555</v>
      </c>
    </row>
    <row r="1496" spans="2:2" x14ac:dyDescent="0.25">
      <c r="B1496" t="s">
        <v>1098</v>
      </c>
    </row>
    <row r="1497" spans="2:2" x14ac:dyDescent="0.25">
      <c r="B1497" t="s">
        <v>1013</v>
      </c>
    </row>
    <row r="1498" spans="2:2" x14ac:dyDescent="0.25">
      <c r="B1498" t="s">
        <v>394</v>
      </c>
    </row>
    <row r="1499" spans="2:2" x14ac:dyDescent="0.25">
      <c r="B1499" t="s">
        <v>1576</v>
      </c>
    </row>
    <row r="1500" spans="2:2" x14ac:dyDescent="0.25">
      <c r="B1500" t="s">
        <v>218</v>
      </c>
    </row>
    <row r="1501" spans="2:2" x14ac:dyDescent="0.25">
      <c r="B1501" t="s">
        <v>1596</v>
      </c>
    </row>
    <row r="1502" spans="2:2" x14ac:dyDescent="0.25">
      <c r="B1502" t="s">
        <v>102</v>
      </c>
    </row>
    <row r="1503" spans="2:2" x14ac:dyDescent="0.25">
      <c r="B1503" t="s">
        <v>202</v>
      </c>
    </row>
    <row r="1504" spans="2:2" x14ac:dyDescent="0.25">
      <c r="B1504" t="s">
        <v>761</v>
      </c>
    </row>
    <row r="1505" spans="2:2" x14ac:dyDescent="0.25">
      <c r="B1505" t="s">
        <v>1544</v>
      </c>
    </row>
    <row r="1506" spans="2:2" x14ac:dyDescent="0.25">
      <c r="B1506" t="s">
        <v>1357</v>
      </c>
    </row>
    <row r="1507" spans="2:2" x14ac:dyDescent="0.25">
      <c r="B1507" t="s">
        <v>45</v>
      </c>
    </row>
    <row r="1508" spans="2:2" x14ac:dyDescent="0.25">
      <c r="B1508" t="s">
        <v>139</v>
      </c>
    </row>
    <row r="1509" spans="2:2" x14ac:dyDescent="0.25">
      <c r="B1509" t="s">
        <v>1282</v>
      </c>
    </row>
    <row r="1510" spans="2:2" x14ac:dyDescent="0.25">
      <c r="B1510" t="s">
        <v>1176</v>
      </c>
    </row>
    <row r="1511" spans="2:2" x14ac:dyDescent="0.25">
      <c r="B1511" t="s">
        <v>1496</v>
      </c>
    </row>
    <row r="1512" spans="2:2" x14ac:dyDescent="0.25">
      <c r="B1512" t="s">
        <v>1382</v>
      </c>
    </row>
    <row r="1513" spans="2:2" x14ac:dyDescent="0.25">
      <c r="B1513" t="s">
        <v>386</v>
      </c>
    </row>
    <row r="1514" spans="2:2" x14ac:dyDescent="0.25">
      <c r="B1514" t="s">
        <v>1091</v>
      </c>
    </row>
    <row r="1515" spans="2:2" x14ac:dyDescent="0.25">
      <c r="B1515" t="s">
        <v>896</v>
      </c>
    </row>
    <row r="1516" spans="2:2" x14ac:dyDescent="0.25">
      <c r="B1516" t="s">
        <v>1240</v>
      </c>
    </row>
    <row r="1517" spans="2:2" x14ac:dyDescent="0.25">
      <c r="B1517" t="s">
        <v>250</v>
      </c>
    </row>
    <row r="1518" spans="2:2" x14ac:dyDescent="0.25">
      <c r="B1518" t="s">
        <v>903</v>
      </c>
    </row>
    <row r="1519" spans="2:2" x14ac:dyDescent="0.25">
      <c r="B1519" t="s">
        <v>1116</v>
      </c>
    </row>
    <row r="1520" spans="2:2" x14ac:dyDescent="0.25">
      <c r="B1520" t="s">
        <v>172</v>
      </c>
    </row>
    <row r="1521" spans="2:2" x14ac:dyDescent="0.25">
      <c r="B1521" t="s">
        <v>1404</v>
      </c>
    </row>
    <row r="1522" spans="2:2" x14ac:dyDescent="0.25">
      <c r="B1522" t="s">
        <v>1026</v>
      </c>
    </row>
    <row r="1523" spans="2:2" x14ac:dyDescent="0.25">
      <c r="B1523" t="s">
        <v>565</v>
      </c>
    </row>
    <row r="1524" spans="2:2" x14ac:dyDescent="0.25">
      <c r="B1524" t="s">
        <v>1205</v>
      </c>
    </row>
    <row r="1525" spans="2:2" x14ac:dyDescent="0.25">
      <c r="B1525" t="s">
        <v>1067</v>
      </c>
    </row>
    <row r="1526" spans="2:2" x14ac:dyDescent="0.25">
      <c r="B1526" t="s">
        <v>892</v>
      </c>
    </row>
    <row r="1527" spans="2:2" x14ac:dyDescent="0.25">
      <c r="B1527" t="s">
        <v>1073</v>
      </c>
    </row>
    <row r="1528" spans="2:2" x14ac:dyDescent="0.25">
      <c r="B1528" t="s">
        <v>1616</v>
      </c>
    </row>
    <row r="1529" spans="2:2" x14ac:dyDescent="0.25">
      <c r="B1529" t="s">
        <v>927</v>
      </c>
    </row>
    <row r="1530" spans="2:2" x14ac:dyDescent="0.25">
      <c r="B1530" t="s">
        <v>628</v>
      </c>
    </row>
    <row r="1531" spans="2:2" x14ac:dyDescent="0.25">
      <c r="B1531" t="s">
        <v>1534</v>
      </c>
    </row>
    <row r="1532" spans="2:2" x14ac:dyDescent="0.25">
      <c r="B1532" t="s">
        <v>1360</v>
      </c>
    </row>
    <row r="1533" spans="2:2" x14ac:dyDescent="0.25">
      <c r="B1533" t="s">
        <v>311</v>
      </c>
    </row>
    <row r="1534" spans="2:2" x14ac:dyDescent="0.25">
      <c r="B1534" t="s">
        <v>506</v>
      </c>
    </row>
    <row r="1535" spans="2:2" x14ac:dyDescent="0.25">
      <c r="B1535" t="s">
        <v>431</v>
      </c>
    </row>
    <row r="1536" spans="2:2" x14ac:dyDescent="0.25">
      <c r="B1536" t="s">
        <v>1738</v>
      </c>
    </row>
    <row r="1537" spans="2:2" x14ac:dyDescent="0.25">
      <c r="B1537" t="s">
        <v>877</v>
      </c>
    </row>
    <row r="1538" spans="2:2" x14ac:dyDescent="0.25">
      <c r="B1538" t="s">
        <v>625</v>
      </c>
    </row>
    <row r="1539" spans="2:2" x14ac:dyDescent="0.25">
      <c r="B1539" t="s">
        <v>459</v>
      </c>
    </row>
    <row r="1540" spans="2:2" x14ac:dyDescent="0.25">
      <c r="B1540" t="s">
        <v>485</v>
      </c>
    </row>
    <row r="1541" spans="2:2" x14ac:dyDescent="0.25">
      <c r="B1541" t="s">
        <v>353</v>
      </c>
    </row>
    <row r="1542" spans="2:2" x14ac:dyDescent="0.25">
      <c r="B1542" t="s">
        <v>473</v>
      </c>
    </row>
    <row r="1543" spans="2:2" x14ac:dyDescent="0.25">
      <c r="B1543" t="s">
        <v>1695</v>
      </c>
    </row>
    <row r="1544" spans="2:2" x14ac:dyDescent="0.25">
      <c r="B1544" t="s">
        <v>67</v>
      </c>
    </row>
    <row r="1545" spans="2:2" x14ac:dyDescent="0.25">
      <c r="B1545" t="s">
        <v>280</v>
      </c>
    </row>
    <row r="1546" spans="2:2" x14ac:dyDescent="0.25">
      <c r="B1546" t="s">
        <v>1118</v>
      </c>
    </row>
    <row r="1547" spans="2:2" x14ac:dyDescent="0.25">
      <c r="B1547" t="s">
        <v>508</v>
      </c>
    </row>
    <row r="1548" spans="2:2" x14ac:dyDescent="0.25">
      <c r="B1548" t="s">
        <v>813</v>
      </c>
    </row>
    <row r="1549" spans="2:2" x14ac:dyDescent="0.25">
      <c r="B1549" t="s">
        <v>1670</v>
      </c>
    </row>
    <row r="1550" spans="2:2" x14ac:dyDescent="0.25">
      <c r="B1550" t="s">
        <v>1483</v>
      </c>
    </row>
    <row r="1551" spans="2:2" x14ac:dyDescent="0.25">
      <c r="B1551" t="s">
        <v>683</v>
      </c>
    </row>
    <row r="1552" spans="2:2" x14ac:dyDescent="0.25">
      <c r="B1552" t="s">
        <v>543</v>
      </c>
    </row>
    <row r="1553" spans="2:2" x14ac:dyDescent="0.25">
      <c r="B1553" t="s">
        <v>1595</v>
      </c>
    </row>
    <row r="1554" spans="2:2" x14ac:dyDescent="0.25">
      <c r="B1554" t="s">
        <v>1322</v>
      </c>
    </row>
    <row r="1555" spans="2:2" x14ac:dyDescent="0.25">
      <c r="B1555" t="s">
        <v>195</v>
      </c>
    </row>
    <row r="1556" spans="2:2" x14ac:dyDescent="0.25">
      <c r="B1556" t="s">
        <v>140</v>
      </c>
    </row>
    <row r="1557" spans="2:2" x14ac:dyDescent="0.25">
      <c r="B1557" t="s">
        <v>1130</v>
      </c>
    </row>
    <row r="1558" spans="2:2" x14ac:dyDescent="0.25">
      <c r="B1558" t="s">
        <v>328</v>
      </c>
    </row>
    <row r="1559" spans="2:2" x14ac:dyDescent="0.25">
      <c r="B1559" t="s">
        <v>497</v>
      </c>
    </row>
    <row r="1560" spans="2:2" x14ac:dyDescent="0.25">
      <c r="B1560" t="s">
        <v>427</v>
      </c>
    </row>
    <row r="1561" spans="2:2" x14ac:dyDescent="0.25">
      <c r="B1561" t="s">
        <v>1294</v>
      </c>
    </row>
    <row r="1562" spans="2:2" x14ac:dyDescent="0.25">
      <c r="B1562" t="s">
        <v>1556</v>
      </c>
    </row>
    <row r="1563" spans="2:2" x14ac:dyDescent="0.25">
      <c r="B1563" t="s">
        <v>216</v>
      </c>
    </row>
    <row r="1564" spans="2:2" x14ac:dyDescent="0.25">
      <c r="B1564" t="s">
        <v>247</v>
      </c>
    </row>
    <row r="1565" spans="2:2" x14ac:dyDescent="0.25">
      <c r="B1565" t="s">
        <v>597</v>
      </c>
    </row>
    <row r="1566" spans="2:2" x14ac:dyDescent="0.25">
      <c r="B1566" t="s">
        <v>54</v>
      </c>
    </row>
    <row r="1567" spans="2:2" x14ac:dyDescent="0.25">
      <c r="B1567" t="s">
        <v>555</v>
      </c>
    </row>
    <row r="1568" spans="2:2" x14ac:dyDescent="0.25">
      <c r="B1568" t="s">
        <v>1691</v>
      </c>
    </row>
    <row r="1569" spans="2:2" x14ac:dyDescent="0.25">
      <c r="B1569" t="s">
        <v>1701</v>
      </c>
    </row>
    <row r="1570" spans="2:2" x14ac:dyDescent="0.25">
      <c r="B1570" t="s">
        <v>734</v>
      </c>
    </row>
    <row r="1571" spans="2:2" x14ac:dyDescent="0.25">
      <c r="B1571" t="s">
        <v>673</v>
      </c>
    </row>
    <row r="1572" spans="2:2" x14ac:dyDescent="0.25">
      <c r="B1572" t="s">
        <v>1378</v>
      </c>
    </row>
    <row r="1573" spans="2:2" x14ac:dyDescent="0.25">
      <c r="B1573" t="s">
        <v>1056</v>
      </c>
    </row>
    <row r="1574" spans="2:2" x14ac:dyDescent="0.25">
      <c r="B1574" t="s">
        <v>804</v>
      </c>
    </row>
    <row r="1575" spans="2:2" x14ac:dyDescent="0.25">
      <c r="B1575" t="s">
        <v>962</v>
      </c>
    </row>
    <row r="1576" spans="2:2" x14ac:dyDescent="0.25">
      <c r="B1576" t="s">
        <v>1671</v>
      </c>
    </row>
    <row r="1577" spans="2:2" x14ac:dyDescent="0.25">
      <c r="B1577" t="s">
        <v>158</v>
      </c>
    </row>
    <row r="1578" spans="2:2" x14ac:dyDescent="0.25">
      <c r="B1578" t="s">
        <v>438</v>
      </c>
    </row>
    <row r="1579" spans="2:2" x14ac:dyDescent="0.25">
      <c r="B1579" t="s">
        <v>1370</v>
      </c>
    </row>
    <row r="1580" spans="2:2" x14ac:dyDescent="0.25">
      <c r="B1580" t="s">
        <v>1723</v>
      </c>
    </row>
    <row r="1581" spans="2:2" x14ac:dyDescent="0.25">
      <c r="B1581" t="s">
        <v>327</v>
      </c>
    </row>
    <row r="1582" spans="2:2" x14ac:dyDescent="0.25">
      <c r="B1582" t="s">
        <v>1089</v>
      </c>
    </row>
    <row r="1583" spans="2:2" x14ac:dyDescent="0.25">
      <c r="B1583" t="s">
        <v>724</v>
      </c>
    </row>
    <row r="1584" spans="2:2" x14ac:dyDescent="0.25">
      <c r="B1584" t="s">
        <v>1044</v>
      </c>
    </row>
    <row r="1585" spans="2:2" x14ac:dyDescent="0.25">
      <c r="B1585" t="s">
        <v>1710</v>
      </c>
    </row>
    <row r="1586" spans="2:2" x14ac:dyDescent="0.25">
      <c r="B1586" t="s">
        <v>789</v>
      </c>
    </row>
    <row r="1587" spans="2:2" x14ac:dyDescent="0.25">
      <c r="B1587" t="s">
        <v>276</v>
      </c>
    </row>
    <row r="1588" spans="2:2" x14ac:dyDescent="0.25">
      <c r="B1588" t="s">
        <v>1597</v>
      </c>
    </row>
    <row r="1589" spans="2:2" x14ac:dyDescent="0.25">
      <c r="B1589" t="s">
        <v>613</v>
      </c>
    </row>
    <row r="1590" spans="2:2" x14ac:dyDescent="0.25">
      <c r="B1590" t="s">
        <v>632</v>
      </c>
    </row>
    <row r="1591" spans="2:2" x14ac:dyDescent="0.25">
      <c r="B1591" t="s">
        <v>121</v>
      </c>
    </row>
    <row r="1592" spans="2:2" x14ac:dyDescent="0.25">
      <c r="B1592" t="s">
        <v>964</v>
      </c>
    </row>
    <row r="1593" spans="2:2" x14ac:dyDescent="0.25">
      <c r="B1593" t="s">
        <v>478</v>
      </c>
    </row>
    <row r="1594" spans="2:2" x14ac:dyDescent="0.25">
      <c r="B1594" t="s">
        <v>134</v>
      </c>
    </row>
    <row r="1595" spans="2:2" x14ac:dyDescent="0.25">
      <c r="B1595" t="s">
        <v>677</v>
      </c>
    </row>
    <row r="1596" spans="2:2" x14ac:dyDescent="0.25">
      <c r="B1596" t="s">
        <v>878</v>
      </c>
    </row>
    <row r="1597" spans="2:2" x14ac:dyDescent="0.25">
      <c r="B1597" t="s">
        <v>1656</v>
      </c>
    </row>
    <row r="1598" spans="2:2" x14ac:dyDescent="0.25">
      <c r="B1598" t="s">
        <v>1349</v>
      </c>
    </row>
    <row r="1599" spans="2:2" x14ac:dyDescent="0.25">
      <c r="B1599" t="s">
        <v>503</v>
      </c>
    </row>
    <row r="1600" spans="2:2" x14ac:dyDescent="0.25">
      <c r="B1600" t="s">
        <v>704</v>
      </c>
    </row>
    <row r="1601" spans="2:2" x14ac:dyDescent="0.25">
      <c r="B1601" t="s">
        <v>790</v>
      </c>
    </row>
    <row r="1602" spans="2:2" x14ac:dyDescent="0.25">
      <c r="B1602" t="s">
        <v>823</v>
      </c>
    </row>
    <row r="1603" spans="2:2" x14ac:dyDescent="0.25">
      <c r="B1603" t="s">
        <v>246</v>
      </c>
    </row>
    <row r="1604" spans="2:2" x14ac:dyDescent="0.25">
      <c r="B1604" t="s">
        <v>1150</v>
      </c>
    </row>
    <row r="1605" spans="2:2" x14ac:dyDescent="0.25">
      <c r="B1605" t="s">
        <v>345</v>
      </c>
    </row>
    <row r="1606" spans="2:2" x14ac:dyDescent="0.25">
      <c r="B1606" t="s">
        <v>944</v>
      </c>
    </row>
    <row r="1607" spans="2:2" x14ac:dyDescent="0.25">
      <c r="B1607" t="s">
        <v>85</v>
      </c>
    </row>
    <row r="1608" spans="2:2" x14ac:dyDescent="0.25">
      <c r="B1608" t="s">
        <v>1509</v>
      </c>
    </row>
    <row r="1609" spans="2:2" x14ac:dyDescent="0.25">
      <c r="B1609" t="s">
        <v>1143</v>
      </c>
    </row>
    <row r="1610" spans="2:2" x14ac:dyDescent="0.25">
      <c r="B1610" t="s">
        <v>1722</v>
      </c>
    </row>
    <row r="1611" spans="2:2" x14ac:dyDescent="0.25">
      <c r="B1611" t="s">
        <v>31</v>
      </c>
    </row>
    <row r="1612" spans="2:2" x14ac:dyDescent="0.25">
      <c r="B1612" t="s">
        <v>355</v>
      </c>
    </row>
    <row r="1613" spans="2:2" x14ac:dyDescent="0.25">
      <c r="B1613" t="s">
        <v>128</v>
      </c>
    </row>
    <row r="1614" spans="2:2" x14ac:dyDescent="0.25">
      <c r="B1614" t="s">
        <v>1041</v>
      </c>
    </row>
    <row r="1615" spans="2:2" x14ac:dyDescent="0.25">
      <c r="B1615" t="s">
        <v>181</v>
      </c>
    </row>
    <row r="1616" spans="2:2" x14ac:dyDescent="0.25">
      <c r="B1616" t="s">
        <v>208</v>
      </c>
    </row>
    <row r="1617" spans="2:2" x14ac:dyDescent="0.25">
      <c r="B1617" t="s">
        <v>1448</v>
      </c>
    </row>
    <row r="1618" spans="2:2" x14ac:dyDescent="0.25">
      <c r="B1618" t="s">
        <v>577</v>
      </c>
    </row>
    <row r="1619" spans="2:2" x14ac:dyDescent="0.25">
      <c r="B1619" t="s">
        <v>465</v>
      </c>
    </row>
    <row r="1620" spans="2:2" x14ac:dyDescent="0.25">
      <c r="B1620" t="s">
        <v>1731</v>
      </c>
    </row>
    <row r="1621" spans="2:2" x14ac:dyDescent="0.25">
      <c r="B1621" t="s">
        <v>803</v>
      </c>
    </row>
    <row r="1622" spans="2:2" x14ac:dyDescent="0.25">
      <c r="B1622" t="s">
        <v>36</v>
      </c>
    </row>
    <row r="1623" spans="2:2" x14ac:dyDescent="0.25">
      <c r="B1623" t="s">
        <v>1510</v>
      </c>
    </row>
    <row r="1624" spans="2:2" x14ac:dyDescent="0.25">
      <c r="B1624" t="s">
        <v>455</v>
      </c>
    </row>
    <row r="1625" spans="2:2" x14ac:dyDescent="0.25">
      <c r="B1625" t="s">
        <v>1202</v>
      </c>
    </row>
    <row r="1626" spans="2:2" x14ac:dyDescent="0.25">
      <c r="B1626" t="s">
        <v>569</v>
      </c>
    </row>
    <row r="1627" spans="2:2" x14ac:dyDescent="0.25">
      <c r="B1627" t="s">
        <v>423</v>
      </c>
    </row>
    <row r="1628" spans="2:2" x14ac:dyDescent="0.25">
      <c r="B1628" t="s">
        <v>696</v>
      </c>
    </row>
    <row r="1629" spans="2:2" x14ac:dyDescent="0.25">
      <c r="B1629" t="s">
        <v>524</v>
      </c>
    </row>
    <row r="1630" spans="2:2" x14ac:dyDescent="0.25">
      <c r="B1630" t="s">
        <v>530</v>
      </c>
    </row>
    <row r="1631" spans="2:2" x14ac:dyDescent="0.25">
      <c r="B1631" t="s">
        <v>1753</v>
      </c>
    </row>
    <row r="1632" spans="2:2" x14ac:dyDescent="0.25">
      <c r="B1632" t="s">
        <v>921</v>
      </c>
    </row>
    <row r="1633" spans="2:2" x14ac:dyDescent="0.25">
      <c r="B1633" t="s">
        <v>1383</v>
      </c>
    </row>
    <row r="1634" spans="2:2" x14ac:dyDescent="0.25">
      <c r="B1634" t="s">
        <v>657</v>
      </c>
    </row>
    <row r="1635" spans="2:2" x14ac:dyDescent="0.25">
      <c r="B1635" t="s">
        <v>607</v>
      </c>
    </row>
    <row r="1636" spans="2:2" x14ac:dyDescent="0.25">
      <c r="B1636" t="s">
        <v>312</v>
      </c>
    </row>
    <row r="1637" spans="2:2" x14ac:dyDescent="0.25">
      <c r="B1637" t="s">
        <v>609</v>
      </c>
    </row>
    <row r="1638" spans="2:2" x14ac:dyDescent="0.25">
      <c r="B1638" t="s">
        <v>1453</v>
      </c>
    </row>
    <row r="1639" spans="2:2" x14ac:dyDescent="0.25">
      <c r="B1639" t="s">
        <v>60</v>
      </c>
    </row>
    <row r="1640" spans="2:2" x14ac:dyDescent="0.25">
      <c r="B1640" t="s">
        <v>523</v>
      </c>
    </row>
    <row r="1641" spans="2:2" x14ac:dyDescent="0.25">
      <c r="B1641" t="s">
        <v>754</v>
      </c>
    </row>
    <row r="1642" spans="2:2" x14ac:dyDescent="0.25">
      <c r="B1642" t="s">
        <v>1209</v>
      </c>
    </row>
    <row r="1643" spans="2:2" x14ac:dyDescent="0.25">
      <c r="B1643" t="s">
        <v>1533</v>
      </c>
    </row>
    <row r="1644" spans="2:2" x14ac:dyDescent="0.25">
      <c r="B1644" t="s">
        <v>905</v>
      </c>
    </row>
    <row r="1645" spans="2:2" x14ac:dyDescent="0.25">
      <c r="B1645" t="s">
        <v>1650</v>
      </c>
    </row>
    <row r="1646" spans="2:2" x14ac:dyDescent="0.25">
      <c r="B1646" t="s">
        <v>660</v>
      </c>
    </row>
    <row r="1647" spans="2:2" x14ac:dyDescent="0.25">
      <c r="B1647" t="s">
        <v>663</v>
      </c>
    </row>
    <row r="1648" spans="2:2" x14ac:dyDescent="0.25">
      <c r="B1648" t="s">
        <v>1488</v>
      </c>
    </row>
    <row r="1649" spans="2:2" x14ac:dyDescent="0.25">
      <c r="B1649" t="s">
        <v>1477</v>
      </c>
    </row>
    <row r="1650" spans="2:2" x14ac:dyDescent="0.25">
      <c r="B1650" t="s">
        <v>221</v>
      </c>
    </row>
    <row r="1651" spans="2:2" x14ac:dyDescent="0.25">
      <c r="B1651" t="s">
        <v>300</v>
      </c>
    </row>
    <row r="1652" spans="2:2" x14ac:dyDescent="0.25">
      <c r="B1652" t="s">
        <v>148</v>
      </c>
    </row>
    <row r="1653" spans="2:2" x14ac:dyDescent="0.25">
      <c r="B1653" t="s">
        <v>41</v>
      </c>
    </row>
    <row r="1654" spans="2:2" x14ac:dyDescent="0.25">
      <c r="B1654" t="s">
        <v>1127</v>
      </c>
    </row>
    <row r="1655" spans="2:2" x14ac:dyDescent="0.25">
      <c r="B1655" t="s">
        <v>4</v>
      </c>
    </row>
    <row r="1656" spans="2:2" x14ac:dyDescent="0.25">
      <c r="B1656" t="s">
        <v>1497</v>
      </c>
    </row>
    <row r="1657" spans="2:2" x14ac:dyDescent="0.25">
      <c r="B1657" t="s">
        <v>691</v>
      </c>
    </row>
    <row r="1658" spans="2:2" x14ac:dyDescent="0.25">
      <c r="B1658" t="s">
        <v>50</v>
      </c>
    </row>
    <row r="1659" spans="2:2" x14ac:dyDescent="0.25">
      <c r="B1659" t="s">
        <v>269</v>
      </c>
    </row>
    <row r="1660" spans="2:2" x14ac:dyDescent="0.25">
      <c r="B1660" t="s">
        <v>1648</v>
      </c>
    </row>
    <row r="1661" spans="2:2" x14ac:dyDescent="0.25">
      <c r="B1661" t="s">
        <v>1102</v>
      </c>
    </row>
    <row r="1662" spans="2:2" x14ac:dyDescent="0.25">
      <c r="B1662" t="s">
        <v>203</v>
      </c>
    </row>
    <row r="1663" spans="2:2" x14ac:dyDescent="0.25">
      <c r="B1663" t="s">
        <v>939</v>
      </c>
    </row>
    <row r="1664" spans="2:2" x14ac:dyDescent="0.25">
      <c r="B1664" t="s">
        <v>19</v>
      </c>
    </row>
    <row r="1665" spans="2:2" x14ac:dyDescent="0.25">
      <c r="B1665" t="s">
        <v>893</v>
      </c>
    </row>
    <row r="1666" spans="2:2" x14ac:dyDescent="0.25">
      <c r="B1666" t="s">
        <v>482</v>
      </c>
    </row>
    <row r="1667" spans="2:2" x14ac:dyDescent="0.25">
      <c r="B1667" t="s">
        <v>296</v>
      </c>
    </row>
    <row r="1668" spans="2:2" x14ac:dyDescent="0.25">
      <c r="B1668" t="s">
        <v>1400</v>
      </c>
    </row>
    <row r="1669" spans="2:2" x14ac:dyDescent="0.25">
      <c r="B1669" t="s">
        <v>1368</v>
      </c>
    </row>
    <row r="1670" spans="2:2" x14ac:dyDescent="0.25">
      <c r="B1670" t="s">
        <v>1247</v>
      </c>
    </row>
    <row r="1671" spans="2:2" x14ac:dyDescent="0.25">
      <c r="B1671" t="s">
        <v>1512</v>
      </c>
    </row>
    <row r="1672" spans="2:2" x14ac:dyDescent="0.25">
      <c r="B1672" t="s">
        <v>1651</v>
      </c>
    </row>
    <row r="1673" spans="2:2" x14ac:dyDescent="0.25">
      <c r="B1673" t="s">
        <v>1384</v>
      </c>
    </row>
    <row r="1674" spans="2:2" x14ac:dyDescent="0.25">
      <c r="B1674" t="s">
        <v>261</v>
      </c>
    </row>
    <row r="1675" spans="2:2" x14ac:dyDescent="0.25">
      <c r="B1675" t="s">
        <v>88</v>
      </c>
    </row>
    <row r="1676" spans="2:2" x14ac:dyDescent="0.25">
      <c r="B1676" t="s">
        <v>862</v>
      </c>
    </row>
    <row r="1677" spans="2:2" x14ac:dyDescent="0.25">
      <c r="B1677" t="s">
        <v>1716</v>
      </c>
    </row>
    <row r="1678" spans="2:2" x14ac:dyDescent="0.25">
      <c r="B1678" t="s">
        <v>1263</v>
      </c>
    </row>
    <row r="1679" spans="2:2" x14ac:dyDescent="0.25">
      <c r="B1679" t="s">
        <v>1490</v>
      </c>
    </row>
    <row r="1680" spans="2:2" x14ac:dyDescent="0.25">
      <c r="B1680" t="s">
        <v>178</v>
      </c>
    </row>
    <row r="1681" spans="2:2" x14ac:dyDescent="0.25">
      <c r="B1681" t="s">
        <v>1432</v>
      </c>
    </row>
    <row r="1682" spans="2:2" x14ac:dyDescent="0.25">
      <c r="B1682" t="s">
        <v>342</v>
      </c>
    </row>
    <row r="1683" spans="2:2" x14ac:dyDescent="0.25">
      <c r="B1683" t="s">
        <v>1398</v>
      </c>
    </row>
    <row r="1684" spans="2:2" x14ac:dyDescent="0.25">
      <c r="B1684" t="s">
        <v>564</v>
      </c>
    </row>
    <row r="1685" spans="2:2" x14ac:dyDescent="0.25">
      <c r="B1685" t="s">
        <v>920</v>
      </c>
    </row>
    <row r="1686" spans="2:2" x14ac:dyDescent="0.25">
      <c r="B1686" t="s">
        <v>1072</v>
      </c>
    </row>
    <row r="1687" spans="2:2" x14ac:dyDescent="0.25">
      <c r="B1687" t="s">
        <v>1503</v>
      </c>
    </row>
    <row r="1688" spans="2:2" x14ac:dyDescent="0.25">
      <c r="B1688" t="s">
        <v>1406</v>
      </c>
    </row>
    <row r="1689" spans="2:2" x14ac:dyDescent="0.25">
      <c r="B1689" t="s">
        <v>429</v>
      </c>
    </row>
    <row r="1690" spans="2:2" x14ac:dyDescent="0.25">
      <c r="B1690" t="s">
        <v>113</v>
      </c>
    </row>
    <row r="1691" spans="2:2" x14ac:dyDescent="0.25">
      <c r="B1691" t="s">
        <v>1413</v>
      </c>
    </row>
    <row r="1692" spans="2:2" x14ac:dyDescent="0.25">
      <c r="B1692" t="s">
        <v>366</v>
      </c>
    </row>
    <row r="1693" spans="2:2" x14ac:dyDescent="0.25">
      <c r="B1693" t="s">
        <v>732</v>
      </c>
    </row>
    <row r="1694" spans="2:2" x14ac:dyDescent="0.25">
      <c r="B1694" t="s">
        <v>763</v>
      </c>
    </row>
    <row r="1695" spans="2:2" x14ac:dyDescent="0.25">
      <c r="B1695" t="s">
        <v>352</v>
      </c>
    </row>
    <row r="1696" spans="2:2" x14ac:dyDescent="0.25">
      <c r="B1696" t="s">
        <v>461</v>
      </c>
    </row>
    <row r="1697" spans="2:2" x14ac:dyDescent="0.25">
      <c r="B1697" t="s">
        <v>988</v>
      </c>
    </row>
    <row r="1698" spans="2:2" x14ac:dyDescent="0.25">
      <c r="B1698" t="s">
        <v>1636</v>
      </c>
    </row>
    <row r="1699" spans="2:2" x14ac:dyDescent="0.25">
      <c r="B1699" t="s">
        <v>1537</v>
      </c>
    </row>
    <row r="1700" spans="2:2" x14ac:dyDescent="0.25">
      <c r="B1700" t="s">
        <v>688</v>
      </c>
    </row>
    <row r="1701" spans="2:2" x14ac:dyDescent="0.25">
      <c r="B1701" t="s">
        <v>1103</v>
      </c>
    </row>
    <row r="1702" spans="2:2" x14ac:dyDescent="0.25">
      <c r="B1702" t="s">
        <v>1699</v>
      </c>
    </row>
    <row r="1703" spans="2:2" x14ac:dyDescent="0.25">
      <c r="B1703" t="s">
        <v>1755</v>
      </c>
    </row>
    <row r="1704" spans="2:2" x14ac:dyDescent="0.25">
      <c r="B1704" t="s">
        <v>30</v>
      </c>
    </row>
    <row r="1705" spans="2:2" x14ac:dyDescent="0.25">
      <c r="B1705" t="s">
        <v>777</v>
      </c>
    </row>
    <row r="1706" spans="2:2" x14ac:dyDescent="0.25">
      <c r="B1706" t="s">
        <v>1253</v>
      </c>
    </row>
    <row r="1707" spans="2:2" x14ac:dyDescent="0.25">
      <c r="B1707" t="s">
        <v>1703</v>
      </c>
    </row>
    <row r="1708" spans="2:2" x14ac:dyDescent="0.25">
      <c r="B1708" t="s">
        <v>712</v>
      </c>
    </row>
    <row r="1709" spans="2:2" x14ac:dyDescent="0.25">
      <c r="B1709" t="s">
        <v>441</v>
      </c>
    </row>
    <row r="1710" spans="2:2" x14ac:dyDescent="0.25">
      <c r="B1710" t="s">
        <v>753</v>
      </c>
    </row>
    <row r="1711" spans="2:2" x14ac:dyDescent="0.25">
      <c r="B1711" t="s">
        <v>1307</v>
      </c>
    </row>
    <row r="1712" spans="2:2" x14ac:dyDescent="0.25">
      <c r="B1712" t="s">
        <v>1192</v>
      </c>
    </row>
    <row r="1713" spans="2:2" x14ac:dyDescent="0.25">
      <c r="B1713" t="s">
        <v>64</v>
      </c>
    </row>
    <row r="1714" spans="2:2" x14ac:dyDescent="0.25">
      <c r="B1714" t="s">
        <v>1506</v>
      </c>
    </row>
    <row r="1715" spans="2:2" x14ac:dyDescent="0.25">
      <c r="B1715" t="s">
        <v>1720</v>
      </c>
    </row>
    <row r="1716" spans="2:2" x14ac:dyDescent="0.25">
      <c r="B1716" t="s">
        <v>1048</v>
      </c>
    </row>
    <row r="1717" spans="2:2" x14ac:dyDescent="0.25">
      <c r="B1717" t="s">
        <v>376</v>
      </c>
    </row>
    <row r="1718" spans="2:2" x14ac:dyDescent="0.25">
      <c r="B1718" t="s">
        <v>364</v>
      </c>
    </row>
    <row r="1719" spans="2:2" x14ac:dyDescent="0.25">
      <c r="B1719" t="s">
        <v>272</v>
      </c>
    </row>
    <row r="1720" spans="2:2" x14ac:dyDescent="0.25">
      <c r="B1720" t="s">
        <v>411</v>
      </c>
    </row>
    <row r="1721" spans="2:2" x14ac:dyDescent="0.25">
      <c r="B1721" t="s">
        <v>830</v>
      </c>
    </row>
    <row r="1722" spans="2:2" x14ac:dyDescent="0.25">
      <c r="B1722" t="s">
        <v>1132</v>
      </c>
    </row>
    <row r="1723" spans="2:2" x14ac:dyDescent="0.25">
      <c r="B1723" t="s">
        <v>476</v>
      </c>
    </row>
    <row r="1724" spans="2:2" x14ac:dyDescent="0.25">
      <c r="B1724" t="s">
        <v>1401</v>
      </c>
    </row>
    <row r="1725" spans="2:2" x14ac:dyDescent="0.25">
      <c r="B1725" t="s">
        <v>1062</v>
      </c>
    </row>
    <row r="1726" spans="2:2" x14ac:dyDescent="0.25">
      <c r="B1726" t="s">
        <v>1568</v>
      </c>
    </row>
    <row r="1727" spans="2:2" x14ac:dyDescent="0.25">
      <c r="B1727" t="s">
        <v>238</v>
      </c>
    </row>
    <row r="1728" spans="2:2" x14ac:dyDescent="0.25">
      <c r="B1728" t="s">
        <v>1381</v>
      </c>
    </row>
    <row r="1729" spans="2:2" x14ac:dyDescent="0.25">
      <c r="B1729" t="s">
        <v>1292</v>
      </c>
    </row>
    <row r="1730" spans="2:2" x14ac:dyDescent="0.25">
      <c r="B1730" t="s">
        <v>453</v>
      </c>
    </row>
    <row r="1731" spans="2:2" x14ac:dyDescent="0.25">
      <c r="B1731" t="s">
        <v>1768</v>
      </c>
    </row>
    <row r="1732" spans="2:2" x14ac:dyDescent="0.25">
      <c r="B1732" t="s">
        <v>338</v>
      </c>
    </row>
    <row r="1733" spans="2:2" x14ac:dyDescent="0.25">
      <c r="B1733" t="s">
        <v>2</v>
      </c>
    </row>
    <row r="1734" spans="2:2" x14ac:dyDescent="0.25">
      <c r="B1734" t="s">
        <v>1469</v>
      </c>
    </row>
    <row r="1735" spans="2:2" x14ac:dyDescent="0.25">
      <c r="B1735" t="s">
        <v>1611</v>
      </c>
    </row>
    <row r="1736" spans="2:2" x14ac:dyDescent="0.25">
      <c r="B1736" t="s">
        <v>430</v>
      </c>
    </row>
    <row r="1737" spans="2:2" x14ac:dyDescent="0.25">
      <c r="B1737" t="s">
        <v>1194</v>
      </c>
    </row>
    <row r="1738" spans="2:2" x14ac:dyDescent="0.25">
      <c r="B1738" t="s">
        <v>1053</v>
      </c>
    </row>
    <row r="1739" spans="2:2" x14ac:dyDescent="0.25">
      <c r="B1739" t="s">
        <v>838</v>
      </c>
    </row>
    <row r="1740" spans="2:2" x14ac:dyDescent="0.25">
      <c r="B1740" t="s">
        <v>778</v>
      </c>
    </row>
    <row r="1741" spans="2:2" x14ac:dyDescent="0.25">
      <c r="B1741" t="s">
        <v>493</v>
      </c>
    </row>
    <row r="1742" spans="2:2" x14ac:dyDescent="0.25">
      <c r="B1742" t="s">
        <v>966</v>
      </c>
    </row>
    <row r="1743" spans="2:2" x14ac:dyDescent="0.25">
      <c r="B1743" t="s">
        <v>1428</v>
      </c>
    </row>
    <row r="1744" spans="2:2" x14ac:dyDescent="0.25">
      <c r="B1744" t="s">
        <v>1138</v>
      </c>
    </row>
    <row r="1745" spans="2:2" x14ac:dyDescent="0.25">
      <c r="B1745" t="s">
        <v>621</v>
      </c>
    </row>
    <row r="1746" spans="2:2" x14ac:dyDescent="0.25">
      <c r="B1746" t="s">
        <v>151</v>
      </c>
    </row>
    <row r="1747" spans="2:2" x14ac:dyDescent="0.25">
      <c r="B1747" t="s">
        <v>1565</v>
      </c>
    </row>
    <row r="1748" spans="2:2" x14ac:dyDescent="0.25">
      <c r="B1748" t="s">
        <v>1601</v>
      </c>
    </row>
    <row r="1749" spans="2:2" x14ac:dyDescent="0.25">
      <c r="B1749" t="s">
        <v>1725</v>
      </c>
    </row>
    <row r="1750" spans="2:2" x14ac:dyDescent="0.25">
      <c r="B1750" t="s">
        <v>1135</v>
      </c>
    </row>
    <row r="1751" spans="2:2" x14ac:dyDescent="0.25">
      <c r="B1751" t="s">
        <v>1451</v>
      </c>
    </row>
    <row r="1752" spans="2:2" x14ac:dyDescent="0.25">
      <c r="B1752" t="s">
        <v>1429</v>
      </c>
    </row>
    <row r="1753" spans="2:2" x14ac:dyDescent="0.25">
      <c r="B1753" t="s">
        <v>855</v>
      </c>
    </row>
    <row r="1754" spans="2:2" x14ac:dyDescent="0.25">
      <c r="B1754" t="s">
        <v>187</v>
      </c>
    </row>
    <row r="1755" spans="2:2" x14ac:dyDescent="0.25">
      <c r="B1755" t="s">
        <v>1528</v>
      </c>
    </row>
    <row r="1756" spans="2:2" x14ac:dyDescent="0.25">
      <c r="B1756" t="s">
        <v>1035</v>
      </c>
    </row>
    <row r="1757" spans="2:2" x14ac:dyDescent="0.25">
      <c r="B1757" t="s">
        <v>840</v>
      </c>
    </row>
    <row r="1758" spans="2:2" x14ac:dyDescent="0.25">
      <c r="B1758" t="s">
        <v>821</v>
      </c>
    </row>
    <row r="1759" spans="2:2" x14ac:dyDescent="0.25">
      <c r="B1759" t="s">
        <v>164</v>
      </c>
    </row>
    <row r="1760" spans="2:2" x14ac:dyDescent="0.25">
      <c r="B1760" t="s">
        <v>449</v>
      </c>
    </row>
    <row r="1761" spans="2:2" x14ac:dyDescent="0.25">
      <c r="B1761" t="s">
        <v>1532</v>
      </c>
    </row>
    <row r="1762" spans="2:2" x14ac:dyDescent="0.25">
      <c r="B1762" t="s">
        <v>1112</v>
      </c>
    </row>
    <row r="1763" spans="2:2" x14ac:dyDescent="0.25">
      <c r="B1763" t="s">
        <v>1009</v>
      </c>
    </row>
    <row r="1764" spans="2:2" x14ac:dyDescent="0.25">
      <c r="B1764" t="s">
        <v>1739</v>
      </c>
    </row>
    <row r="1765" spans="2:2" x14ac:dyDescent="0.25">
      <c r="B1765" t="s">
        <v>156</v>
      </c>
    </row>
    <row r="1766" spans="2:2" x14ac:dyDescent="0.25">
      <c r="B1766" t="s">
        <v>1362</v>
      </c>
    </row>
    <row r="1767" spans="2:2" x14ac:dyDescent="0.25">
      <c r="B1767" t="s">
        <v>292</v>
      </c>
    </row>
    <row r="1768" spans="2:2" x14ac:dyDescent="0.25">
      <c r="B1768" t="s">
        <v>1770</v>
      </c>
    </row>
    <row r="1769" spans="2:2" x14ac:dyDescent="0.25">
      <c r="B1769" t="s">
        <v>623</v>
      </c>
    </row>
    <row r="1770" spans="2:2" x14ac:dyDescent="0.25">
      <c r="B1770" t="s">
        <v>79</v>
      </c>
    </row>
    <row r="1771" spans="2:2" x14ac:dyDescent="0.25">
      <c r="B1771" t="s">
        <v>1186</v>
      </c>
    </row>
    <row r="1772" spans="2:2" x14ac:dyDescent="0.25">
      <c r="B1772" t="s">
        <v>698</v>
      </c>
    </row>
    <row r="1773" spans="2:2" x14ac:dyDescent="0.25">
      <c r="B1773" t="s">
        <v>444</v>
      </c>
    </row>
    <row r="1774" spans="2:2" x14ac:dyDescent="0.25">
      <c r="B1774" t="s">
        <v>1331</v>
      </c>
    </row>
    <row r="1775" spans="2:2" x14ac:dyDescent="0.25">
      <c r="B1775" t="s">
        <v>738</v>
      </c>
    </row>
    <row r="1776" spans="2:2" x14ac:dyDescent="0.25">
      <c r="B1776" t="s">
        <v>871</v>
      </c>
    </row>
    <row r="1777" spans="2:2" x14ac:dyDescent="0.25">
      <c r="B1777" t="s">
        <v>281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Stock</vt:lpstr>
      <vt:lpstr>Option Strategies --&gt;</vt:lpstr>
      <vt:lpstr>Covered Calls</vt:lpstr>
      <vt:lpstr>Covered Call Performance</vt:lpstr>
      <vt:lpstr>Bull Put Spread</vt:lpstr>
      <vt:lpstr>Bull Put Spread Performance</vt:lpstr>
      <vt:lpstr>Bear Call Spread</vt:lpstr>
      <vt:lpstr>Reference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2020-06-05T10:32:20Z</dcterms:modified>
</cp:coreProperties>
</file>