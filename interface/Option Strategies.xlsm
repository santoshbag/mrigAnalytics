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2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Spread'!$B$3:$AC$195</definedName>
    <definedName name="_xlnm._FilterDatabase" localSheetId="4" hidden="1">'Bull Put Spread'!$B$3:$AC$195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36" i="13" l="1"/>
  <c r="P236" i="13"/>
  <c r="Q236" i="13" s="1"/>
  <c r="T235" i="13"/>
  <c r="U235" i="13" s="1"/>
  <c r="R235" i="13"/>
  <c r="S235" i="13" s="1"/>
  <c r="P235" i="13"/>
  <c r="Q235" i="13" s="1"/>
  <c r="R234" i="13"/>
  <c r="S234" i="13" s="1"/>
  <c r="P234" i="13"/>
  <c r="Q234" i="13" s="1"/>
  <c r="R233" i="13"/>
  <c r="P233" i="13"/>
  <c r="Q233" i="13" s="1"/>
  <c r="R232" i="13"/>
  <c r="S232" i="13" s="1"/>
  <c r="P232" i="13"/>
  <c r="Q232" i="13" s="1"/>
  <c r="T231" i="13"/>
  <c r="U231" i="13" s="1"/>
  <c r="R231" i="13"/>
  <c r="S231" i="13" s="1"/>
  <c r="P231" i="13"/>
  <c r="Q231" i="13" s="1"/>
  <c r="R230" i="13"/>
  <c r="P230" i="13"/>
  <c r="Q230" i="13" s="1"/>
  <c r="R229" i="13"/>
  <c r="P229" i="13"/>
  <c r="Q229" i="13" s="1"/>
  <c r="R228" i="13"/>
  <c r="S228" i="13" s="1"/>
  <c r="P228" i="13"/>
  <c r="Q228" i="13" s="1"/>
  <c r="T227" i="13"/>
  <c r="U227" i="13" s="1"/>
  <c r="R227" i="13"/>
  <c r="S227" i="13" s="1"/>
  <c r="P227" i="13"/>
  <c r="Q227" i="13" s="1"/>
  <c r="R226" i="13"/>
  <c r="S226" i="13" s="1"/>
  <c r="P226" i="13"/>
  <c r="Q226" i="13" s="1"/>
  <c r="R225" i="13"/>
  <c r="P225" i="13"/>
  <c r="Q225" i="13" s="1"/>
  <c r="R224" i="13"/>
  <c r="S224" i="13" s="1"/>
  <c r="P224" i="13"/>
  <c r="Q224" i="13" s="1"/>
  <c r="T223" i="13"/>
  <c r="U223" i="13" s="1"/>
  <c r="R223" i="13"/>
  <c r="S223" i="13" s="1"/>
  <c r="P223" i="13"/>
  <c r="Q223" i="13" s="1"/>
  <c r="R222" i="13"/>
  <c r="P222" i="13"/>
  <c r="Q222" i="13" s="1"/>
  <c r="R221" i="13"/>
  <c r="P221" i="13"/>
  <c r="Q221" i="13" s="1"/>
  <c r="R220" i="13"/>
  <c r="S220" i="13" s="1"/>
  <c r="P220" i="13"/>
  <c r="Q220" i="13" s="1"/>
  <c r="T219" i="13"/>
  <c r="U219" i="13" s="1"/>
  <c r="R219" i="13"/>
  <c r="S219" i="13" s="1"/>
  <c r="P219" i="13"/>
  <c r="Q219" i="13" s="1"/>
  <c r="R218" i="13"/>
  <c r="S218" i="13" s="1"/>
  <c r="P218" i="13"/>
  <c r="Q218" i="13" s="1"/>
  <c r="R217" i="13"/>
  <c r="P217" i="13"/>
  <c r="Q217" i="13" s="1"/>
  <c r="R216" i="13"/>
  <c r="S216" i="13" s="1"/>
  <c r="P216" i="13"/>
  <c r="Q216" i="13" s="1"/>
  <c r="T215" i="13"/>
  <c r="U215" i="13" s="1"/>
  <c r="R215" i="13"/>
  <c r="S215" i="13" s="1"/>
  <c r="P215" i="13"/>
  <c r="Q215" i="13" s="1"/>
  <c r="R214" i="13"/>
  <c r="P214" i="13"/>
  <c r="Q214" i="13" s="1"/>
  <c r="R213" i="13"/>
  <c r="S213" i="13" s="1"/>
  <c r="P213" i="13"/>
  <c r="Q213" i="13" s="1"/>
  <c r="R212" i="13"/>
  <c r="Q212" i="13"/>
  <c r="P212" i="13"/>
  <c r="T211" i="13"/>
  <c r="U211" i="13" s="1"/>
  <c r="S211" i="13"/>
  <c r="R211" i="13"/>
  <c r="P211" i="13"/>
  <c r="Q211" i="13" s="1"/>
  <c r="R210" i="13"/>
  <c r="Q210" i="13"/>
  <c r="P210" i="13"/>
  <c r="T209" i="13"/>
  <c r="U209" i="13" s="1"/>
  <c r="S209" i="13"/>
  <c r="R209" i="13"/>
  <c r="P209" i="13"/>
  <c r="Q209" i="13" s="1"/>
  <c r="R208" i="13"/>
  <c r="Q208" i="13"/>
  <c r="P208" i="13"/>
  <c r="T207" i="13"/>
  <c r="U207" i="13" s="1"/>
  <c r="S207" i="13"/>
  <c r="R207" i="13"/>
  <c r="P207" i="13"/>
  <c r="Q207" i="13" s="1"/>
  <c r="R206" i="13"/>
  <c r="Q206" i="13"/>
  <c r="P206" i="13"/>
  <c r="T205" i="13"/>
  <c r="U205" i="13" s="1"/>
  <c r="S205" i="13"/>
  <c r="R205" i="13"/>
  <c r="P205" i="13"/>
  <c r="Q205" i="13" s="1"/>
  <c r="R204" i="13"/>
  <c r="Q204" i="13"/>
  <c r="P204" i="13"/>
  <c r="T203" i="13"/>
  <c r="U203" i="13" s="1"/>
  <c r="S203" i="13"/>
  <c r="R203" i="13"/>
  <c r="P203" i="13"/>
  <c r="Q203" i="13" s="1"/>
  <c r="R202" i="13"/>
  <c r="S202" i="13" s="1"/>
  <c r="P202" i="13"/>
  <c r="Q202" i="13" s="1"/>
  <c r="T201" i="13"/>
  <c r="S201" i="13"/>
  <c r="R201" i="13"/>
  <c r="P201" i="13"/>
  <c r="Q201" i="13" s="1"/>
  <c r="R200" i="13"/>
  <c r="S200" i="13" s="1"/>
  <c r="Q200" i="13"/>
  <c r="P200" i="13"/>
  <c r="T199" i="13"/>
  <c r="U199" i="13" s="1"/>
  <c r="R199" i="13"/>
  <c r="S199" i="13" s="1"/>
  <c r="P199" i="13"/>
  <c r="Q199" i="13" s="1"/>
  <c r="R198" i="13"/>
  <c r="P198" i="13"/>
  <c r="Q198" i="13" s="1"/>
  <c r="R197" i="13"/>
  <c r="T197" i="13" s="1"/>
  <c r="P197" i="13"/>
  <c r="Q197" i="13" s="1"/>
  <c r="T196" i="13"/>
  <c r="U196" i="13" s="1"/>
  <c r="R196" i="13"/>
  <c r="S196" i="13" s="1"/>
  <c r="P196" i="13"/>
  <c r="Q196" i="13" s="1"/>
  <c r="R195" i="13"/>
  <c r="T195" i="13" s="1"/>
  <c r="Q195" i="13"/>
  <c r="P195" i="13"/>
  <c r="T194" i="13"/>
  <c r="S194" i="13"/>
  <c r="R194" i="13"/>
  <c r="P194" i="13"/>
  <c r="Q194" i="13" s="1"/>
  <c r="R193" i="13"/>
  <c r="T193" i="13" s="1"/>
  <c r="Q193" i="13"/>
  <c r="P193" i="13"/>
  <c r="T192" i="13"/>
  <c r="S192" i="13"/>
  <c r="R192" i="13"/>
  <c r="P192" i="13"/>
  <c r="Q192" i="13" s="1"/>
  <c r="R191" i="13"/>
  <c r="T191" i="13" s="1"/>
  <c r="Q191" i="13"/>
  <c r="P191" i="13"/>
  <c r="T190" i="13"/>
  <c r="S190" i="13"/>
  <c r="R190" i="13"/>
  <c r="P190" i="13"/>
  <c r="Q190" i="13" s="1"/>
  <c r="R189" i="13"/>
  <c r="T189" i="13" s="1"/>
  <c r="Q189" i="13"/>
  <c r="P189" i="13"/>
  <c r="T188" i="13"/>
  <c r="S188" i="13"/>
  <c r="R188" i="13"/>
  <c r="P188" i="13"/>
  <c r="Q188" i="13" s="1"/>
  <c r="R187" i="13"/>
  <c r="T187" i="13" s="1"/>
  <c r="Q187" i="13"/>
  <c r="P187" i="13"/>
  <c r="T186" i="13"/>
  <c r="S186" i="13"/>
  <c r="R186" i="13"/>
  <c r="P186" i="13"/>
  <c r="Q186" i="13" s="1"/>
  <c r="R185" i="13"/>
  <c r="T185" i="13" s="1"/>
  <c r="Q185" i="13"/>
  <c r="P185" i="13"/>
  <c r="T184" i="13"/>
  <c r="S184" i="13"/>
  <c r="R184" i="13"/>
  <c r="P184" i="13"/>
  <c r="Q184" i="13" s="1"/>
  <c r="R183" i="13"/>
  <c r="T183" i="13" s="1"/>
  <c r="Q183" i="13"/>
  <c r="P183" i="13"/>
  <c r="T182" i="13"/>
  <c r="S182" i="13"/>
  <c r="R182" i="13"/>
  <c r="P182" i="13"/>
  <c r="Q182" i="13" s="1"/>
  <c r="R181" i="13"/>
  <c r="T181" i="13" s="1"/>
  <c r="Q181" i="13"/>
  <c r="P181" i="13"/>
  <c r="T180" i="13"/>
  <c r="S180" i="13"/>
  <c r="R180" i="13"/>
  <c r="P180" i="13"/>
  <c r="Q180" i="13" s="1"/>
  <c r="R179" i="13"/>
  <c r="T179" i="13" s="1"/>
  <c r="Q179" i="13"/>
  <c r="P179" i="13"/>
  <c r="T178" i="13"/>
  <c r="S178" i="13"/>
  <c r="R178" i="13"/>
  <c r="P178" i="13"/>
  <c r="Q178" i="13" s="1"/>
  <c r="R177" i="13"/>
  <c r="Q177" i="13"/>
  <c r="P177" i="13"/>
  <c r="T176" i="13"/>
  <c r="S176" i="13"/>
  <c r="R176" i="13"/>
  <c r="P176" i="13"/>
  <c r="Q176" i="13" s="1"/>
  <c r="R175" i="13"/>
  <c r="Q175" i="13"/>
  <c r="P175" i="13"/>
  <c r="T174" i="13"/>
  <c r="S174" i="13"/>
  <c r="R174" i="13"/>
  <c r="P174" i="13"/>
  <c r="Q174" i="13" s="1"/>
  <c r="T173" i="13"/>
  <c r="U173" i="13" s="1"/>
  <c r="R173" i="13"/>
  <c r="S173" i="13" s="1"/>
  <c r="P173" i="13"/>
  <c r="Q173" i="13" s="1"/>
  <c r="R172" i="13"/>
  <c r="P172" i="13"/>
  <c r="Q172" i="13" s="1"/>
  <c r="R171" i="13"/>
  <c r="S171" i="13" s="1"/>
  <c r="P171" i="13"/>
  <c r="Q171" i="13" s="1"/>
  <c r="T170" i="13"/>
  <c r="S170" i="13"/>
  <c r="R170" i="13"/>
  <c r="P170" i="13"/>
  <c r="Q170" i="13" s="1"/>
  <c r="R169" i="13"/>
  <c r="S169" i="13" s="1"/>
  <c r="Q169" i="13"/>
  <c r="P169" i="13"/>
  <c r="T168" i="13"/>
  <c r="U168" i="13" s="1"/>
  <c r="R168" i="13"/>
  <c r="S168" i="13" s="1"/>
  <c r="P168" i="13"/>
  <c r="Q168" i="13" s="1"/>
  <c r="R167" i="13"/>
  <c r="P167" i="13"/>
  <c r="Q167" i="13" s="1"/>
  <c r="R166" i="13"/>
  <c r="T166" i="13" s="1"/>
  <c r="P166" i="13"/>
  <c r="Q166" i="13" s="1"/>
  <c r="T165" i="13"/>
  <c r="U165" i="13" s="1"/>
  <c r="R165" i="13"/>
  <c r="S165" i="13" s="1"/>
  <c r="P165" i="13"/>
  <c r="Q165" i="13" s="1"/>
  <c r="R164" i="13"/>
  <c r="P164" i="13"/>
  <c r="Q164" i="13" s="1"/>
  <c r="R163" i="13"/>
  <c r="S163" i="13" s="1"/>
  <c r="P163" i="13"/>
  <c r="Q163" i="13" s="1"/>
  <c r="T162" i="13"/>
  <c r="S162" i="13"/>
  <c r="R162" i="13"/>
  <c r="P162" i="13"/>
  <c r="Q162" i="13" s="1"/>
  <c r="T161" i="13"/>
  <c r="U161" i="13" s="1"/>
  <c r="R161" i="13"/>
  <c r="S161" i="13" s="1"/>
  <c r="Q161" i="13"/>
  <c r="P161" i="13"/>
  <c r="T160" i="13"/>
  <c r="U160" i="13" s="1"/>
  <c r="R160" i="13"/>
  <c r="S160" i="13" s="1"/>
  <c r="P160" i="13"/>
  <c r="Q160" i="13" s="1"/>
  <c r="R159" i="13"/>
  <c r="P159" i="13"/>
  <c r="Q159" i="13" s="1"/>
  <c r="S158" i="13"/>
  <c r="R158" i="13"/>
  <c r="T158" i="13" s="1"/>
  <c r="U158" i="13" s="1"/>
  <c r="P158" i="13"/>
  <c r="Q158" i="13" s="1"/>
  <c r="T157" i="13"/>
  <c r="U157" i="13" s="1"/>
  <c r="R157" i="13"/>
  <c r="S157" i="13" s="1"/>
  <c r="Q157" i="13"/>
  <c r="P157" i="13"/>
  <c r="T156" i="13"/>
  <c r="U156" i="13" s="1"/>
  <c r="R156" i="13"/>
  <c r="S156" i="13" s="1"/>
  <c r="P156" i="13"/>
  <c r="Q156" i="13" s="1"/>
  <c r="R155" i="13"/>
  <c r="P155" i="13"/>
  <c r="Q155" i="13" s="1"/>
  <c r="T154" i="13"/>
  <c r="U154" i="13" s="1"/>
  <c r="R154" i="13"/>
  <c r="S154" i="13" s="1"/>
  <c r="P154" i="13"/>
  <c r="Q154" i="13" s="1"/>
  <c r="T153" i="13"/>
  <c r="U153" i="13" s="1"/>
  <c r="R153" i="13"/>
  <c r="S153" i="13" s="1"/>
  <c r="P153" i="13"/>
  <c r="Q153" i="13" s="1"/>
  <c r="T152" i="13"/>
  <c r="U152" i="13" s="1"/>
  <c r="R152" i="13"/>
  <c r="S152" i="13" s="1"/>
  <c r="P152" i="13"/>
  <c r="Q152" i="13" s="1"/>
  <c r="S151" i="13"/>
  <c r="R151" i="13"/>
  <c r="T151" i="13" s="1"/>
  <c r="P151" i="13"/>
  <c r="Q151" i="13" s="1"/>
  <c r="U150" i="13"/>
  <c r="T150" i="13"/>
  <c r="R150" i="13"/>
  <c r="S150" i="13" s="1"/>
  <c r="Q150" i="13"/>
  <c r="P150" i="13"/>
  <c r="T149" i="13"/>
  <c r="U149" i="13" s="1"/>
  <c r="S149" i="13"/>
  <c r="R149" i="13"/>
  <c r="P149" i="13"/>
  <c r="Q149" i="13" s="1"/>
  <c r="R148" i="13"/>
  <c r="Q148" i="13"/>
  <c r="P148" i="13"/>
  <c r="T147" i="13"/>
  <c r="U147" i="13" s="1"/>
  <c r="S147" i="13"/>
  <c r="R147" i="13"/>
  <c r="P147" i="13"/>
  <c r="Q147" i="13" s="1"/>
  <c r="T146" i="13"/>
  <c r="U146" i="13" s="1"/>
  <c r="R146" i="13"/>
  <c r="S146" i="13" s="1"/>
  <c r="Q146" i="13"/>
  <c r="P146" i="13"/>
  <c r="R145" i="13"/>
  <c r="P145" i="13"/>
  <c r="Q145" i="13" s="1"/>
  <c r="R144" i="13"/>
  <c r="Q144" i="13"/>
  <c r="P144" i="13"/>
  <c r="T143" i="13"/>
  <c r="U143" i="13" s="1"/>
  <c r="S143" i="13"/>
  <c r="R143" i="13"/>
  <c r="P143" i="13"/>
  <c r="Q143" i="13" s="1"/>
  <c r="R142" i="13"/>
  <c r="Q142" i="13"/>
  <c r="P142" i="13"/>
  <c r="T141" i="13"/>
  <c r="U141" i="13" s="1"/>
  <c r="S141" i="13"/>
  <c r="R141" i="13"/>
  <c r="P141" i="13"/>
  <c r="Q141" i="13" s="1"/>
  <c r="R140" i="13"/>
  <c r="Q140" i="13"/>
  <c r="P140" i="13"/>
  <c r="T139" i="13"/>
  <c r="U139" i="13" s="1"/>
  <c r="S139" i="13"/>
  <c r="R139" i="13"/>
  <c r="P139" i="13"/>
  <c r="Q139" i="13" s="1"/>
  <c r="R138" i="13"/>
  <c r="Q138" i="13"/>
  <c r="P138" i="13"/>
  <c r="T137" i="13"/>
  <c r="U137" i="13" s="1"/>
  <c r="S137" i="13"/>
  <c r="R137" i="13"/>
  <c r="P137" i="13"/>
  <c r="Q137" i="13" s="1"/>
  <c r="R136" i="13"/>
  <c r="Q136" i="13"/>
  <c r="P136" i="13"/>
  <c r="T135" i="13"/>
  <c r="U135" i="13" s="1"/>
  <c r="S135" i="13"/>
  <c r="R135" i="13"/>
  <c r="P135" i="13"/>
  <c r="Q135" i="13" s="1"/>
  <c r="R134" i="13"/>
  <c r="Q134" i="13"/>
  <c r="P134" i="13"/>
  <c r="T133" i="13"/>
  <c r="U133" i="13" s="1"/>
  <c r="S133" i="13"/>
  <c r="R133" i="13"/>
  <c r="P133" i="13"/>
  <c r="Q133" i="13" s="1"/>
  <c r="R132" i="13"/>
  <c r="Q132" i="13"/>
  <c r="P132" i="13"/>
  <c r="T131" i="13"/>
  <c r="U131" i="13" s="1"/>
  <c r="S131" i="13"/>
  <c r="R131" i="13"/>
  <c r="P131" i="13"/>
  <c r="Q131" i="13" s="1"/>
  <c r="R130" i="13"/>
  <c r="Q130" i="13"/>
  <c r="P130" i="13"/>
  <c r="T129" i="13"/>
  <c r="U129" i="13" s="1"/>
  <c r="S129" i="13"/>
  <c r="R129" i="13"/>
  <c r="P129" i="13"/>
  <c r="Q129" i="13" s="1"/>
  <c r="R128" i="13"/>
  <c r="Q128" i="13"/>
  <c r="P128" i="13"/>
  <c r="T127" i="13"/>
  <c r="S127" i="13"/>
  <c r="R127" i="13"/>
  <c r="P127" i="13"/>
  <c r="Q127" i="13" s="1"/>
  <c r="R126" i="13"/>
  <c r="Q126" i="13"/>
  <c r="P126" i="13"/>
  <c r="T125" i="13"/>
  <c r="S125" i="13"/>
  <c r="R125" i="13"/>
  <c r="P125" i="13"/>
  <c r="Q125" i="13" s="1"/>
  <c r="R124" i="13"/>
  <c r="S124" i="13" s="1"/>
  <c r="Q124" i="13"/>
  <c r="P124" i="13"/>
  <c r="T123" i="13"/>
  <c r="U123" i="13" s="1"/>
  <c r="R123" i="13"/>
  <c r="S123" i="13" s="1"/>
  <c r="P123" i="13"/>
  <c r="Q123" i="13" s="1"/>
  <c r="R122" i="13"/>
  <c r="P122" i="13"/>
  <c r="Q122" i="13" s="1"/>
  <c r="R121" i="13"/>
  <c r="T121" i="13" s="1"/>
  <c r="P121" i="13"/>
  <c r="Q121" i="13" s="1"/>
  <c r="T120" i="13"/>
  <c r="U120" i="13" s="1"/>
  <c r="R120" i="13"/>
  <c r="S120" i="13" s="1"/>
  <c r="P120" i="13"/>
  <c r="Q120" i="13" s="1"/>
  <c r="R119" i="13"/>
  <c r="P119" i="13"/>
  <c r="Q119" i="13" s="1"/>
  <c r="U118" i="13"/>
  <c r="T118" i="13"/>
  <c r="R118" i="13"/>
  <c r="S118" i="13" s="1"/>
  <c r="P118" i="13"/>
  <c r="Q118" i="13" s="1"/>
  <c r="T117" i="13"/>
  <c r="S117" i="13"/>
  <c r="R117" i="13"/>
  <c r="P117" i="13"/>
  <c r="Q117" i="13" s="1"/>
  <c r="R116" i="13"/>
  <c r="S116" i="13" s="1"/>
  <c r="Q116" i="13"/>
  <c r="P116" i="13"/>
  <c r="T115" i="13"/>
  <c r="U115" i="13" s="1"/>
  <c r="R115" i="13"/>
  <c r="S115" i="13" s="1"/>
  <c r="P115" i="13"/>
  <c r="Q115" i="13" s="1"/>
  <c r="R114" i="13"/>
  <c r="P114" i="13"/>
  <c r="Q114" i="13" s="1"/>
  <c r="R113" i="13"/>
  <c r="T113" i="13" s="1"/>
  <c r="P113" i="13"/>
  <c r="Q113" i="13" s="1"/>
  <c r="T112" i="13"/>
  <c r="U112" i="13" s="1"/>
  <c r="R112" i="13"/>
  <c r="S112" i="13" s="1"/>
  <c r="P112" i="13"/>
  <c r="Q112" i="13" s="1"/>
  <c r="R111" i="13"/>
  <c r="P111" i="13"/>
  <c r="Q111" i="13" s="1"/>
  <c r="U110" i="13"/>
  <c r="T110" i="13"/>
  <c r="R110" i="13"/>
  <c r="S110" i="13" s="1"/>
  <c r="P110" i="13"/>
  <c r="Q110" i="13" s="1"/>
  <c r="T109" i="13"/>
  <c r="S109" i="13"/>
  <c r="R109" i="13"/>
  <c r="P109" i="13"/>
  <c r="Q109" i="13" s="1"/>
  <c r="R108" i="13"/>
  <c r="S108" i="13" s="1"/>
  <c r="Q108" i="13"/>
  <c r="P108" i="13"/>
  <c r="T107" i="13"/>
  <c r="R107" i="13"/>
  <c r="S107" i="13" s="1"/>
  <c r="P107" i="13"/>
  <c r="Q107" i="13" s="1"/>
  <c r="R106" i="13"/>
  <c r="P106" i="13"/>
  <c r="Q106" i="13" s="1"/>
  <c r="R105" i="13"/>
  <c r="T105" i="13" s="1"/>
  <c r="P105" i="13"/>
  <c r="Q105" i="13" s="1"/>
  <c r="T104" i="13"/>
  <c r="U104" i="13" s="1"/>
  <c r="R104" i="13"/>
  <c r="S104" i="13" s="1"/>
  <c r="P104" i="13"/>
  <c r="Q104" i="13" s="1"/>
  <c r="T103" i="13"/>
  <c r="U103" i="13" s="1"/>
  <c r="S103" i="13"/>
  <c r="R103" i="13"/>
  <c r="P103" i="13"/>
  <c r="Q103" i="13" s="1"/>
  <c r="R102" i="13"/>
  <c r="T102" i="13" s="1"/>
  <c r="Q102" i="13"/>
  <c r="P102" i="13"/>
  <c r="T101" i="13"/>
  <c r="U101" i="13" s="1"/>
  <c r="S101" i="13"/>
  <c r="R101" i="13"/>
  <c r="P101" i="13"/>
  <c r="Q101" i="13" s="1"/>
  <c r="R100" i="13"/>
  <c r="T100" i="13" s="1"/>
  <c r="Q100" i="13"/>
  <c r="P100" i="13"/>
  <c r="T99" i="13"/>
  <c r="U99" i="13" s="1"/>
  <c r="S99" i="13"/>
  <c r="R99" i="13"/>
  <c r="P99" i="13"/>
  <c r="Q99" i="13" s="1"/>
  <c r="R98" i="13"/>
  <c r="T98" i="13" s="1"/>
  <c r="Q98" i="13"/>
  <c r="P98" i="13"/>
  <c r="T97" i="13"/>
  <c r="U97" i="13" s="1"/>
  <c r="S97" i="13"/>
  <c r="R97" i="13"/>
  <c r="P97" i="13"/>
  <c r="Q97" i="13" s="1"/>
  <c r="R96" i="13"/>
  <c r="T96" i="13" s="1"/>
  <c r="Q96" i="13"/>
  <c r="P96" i="13"/>
  <c r="T95" i="13"/>
  <c r="U95" i="13" s="1"/>
  <c r="S95" i="13"/>
  <c r="R95" i="13"/>
  <c r="P95" i="13"/>
  <c r="Q95" i="13" s="1"/>
  <c r="R94" i="13"/>
  <c r="T94" i="13" s="1"/>
  <c r="Q94" i="13"/>
  <c r="P94" i="13"/>
  <c r="T93" i="13"/>
  <c r="U93" i="13" s="1"/>
  <c r="S93" i="13"/>
  <c r="R93" i="13"/>
  <c r="P93" i="13"/>
  <c r="Q93" i="13" s="1"/>
  <c r="R92" i="13"/>
  <c r="T92" i="13" s="1"/>
  <c r="Q92" i="13"/>
  <c r="P92" i="13"/>
  <c r="T91" i="13"/>
  <c r="U91" i="13" s="1"/>
  <c r="S91" i="13"/>
  <c r="R91" i="13"/>
  <c r="P91" i="13"/>
  <c r="Q91" i="13" s="1"/>
  <c r="R90" i="13"/>
  <c r="T90" i="13" s="1"/>
  <c r="Q90" i="13"/>
  <c r="P90" i="13"/>
  <c r="T89" i="13"/>
  <c r="U89" i="13" s="1"/>
  <c r="S89" i="13"/>
  <c r="R89" i="13"/>
  <c r="P89" i="13"/>
  <c r="Q89" i="13" s="1"/>
  <c r="R88" i="13"/>
  <c r="T88" i="13" s="1"/>
  <c r="Q88" i="13"/>
  <c r="P88" i="13"/>
  <c r="T87" i="13"/>
  <c r="U87" i="13" s="1"/>
  <c r="S87" i="13"/>
  <c r="R87" i="13"/>
  <c r="P87" i="13"/>
  <c r="Q87" i="13" s="1"/>
  <c r="R86" i="13"/>
  <c r="T86" i="13" s="1"/>
  <c r="Q86" i="13"/>
  <c r="P86" i="13"/>
  <c r="T85" i="13"/>
  <c r="U85" i="13" s="1"/>
  <c r="S85" i="13"/>
  <c r="R85" i="13"/>
  <c r="P85" i="13"/>
  <c r="Q85" i="13" s="1"/>
  <c r="R84" i="13"/>
  <c r="T84" i="13" s="1"/>
  <c r="Q84" i="13"/>
  <c r="P84" i="13"/>
  <c r="T83" i="13"/>
  <c r="U83" i="13" s="1"/>
  <c r="S83" i="13"/>
  <c r="R83" i="13"/>
  <c r="P83" i="13"/>
  <c r="Q83" i="13" s="1"/>
  <c r="R82" i="13"/>
  <c r="T82" i="13" s="1"/>
  <c r="Q82" i="13"/>
  <c r="P82" i="13"/>
  <c r="T81" i="13"/>
  <c r="U81" i="13" s="1"/>
  <c r="S81" i="13"/>
  <c r="R81" i="13"/>
  <c r="P81" i="13"/>
  <c r="Q81" i="13" s="1"/>
  <c r="R80" i="13"/>
  <c r="T80" i="13" s="1"/>
  <c r="Q80" i="13"/>
  <c r="P80" i="13"/>
  <c r="T79" i="13"/>
  <c r="U79" i="13" s="1"/>
  <c r="S79" i="13"/>
  <c r="R79" i="13"/>
  <c r="P79" i="13"/>
  <c r="Q79" i="13" s="1"/>
  <c r="R78" i="13"/>
  <c r="T78" i="13" s="1"/>
  <c r="Q78" i="13"/>
  <c r="P78" i="13"/>
  <c r="T77" i="13"/>
  <c r="U77" i="13" s="1"/>
  <c r="S77" i="13"/>
  <c r="R77" i="13"/>
  <c r="P77" i="13"/>
  <c r="Q77" i="13" s="1"/>
  <c r="R76" i="13"/>
  <c r="T76" i="13" s="1"/>
  <c r="Q76" i="13"/>
  <c r="P76" i="13"/>
  <c r="T75" i="13"/>
  <c r="U75" i="13" s="1"/>
  <c r="S75" i="13"/>
  <c r="R75" i="13"/>
  <c r="P75" i="13"/>
  <c r="Q75" i="13" s="1"/>
  <c r="R74" i="13"/>
  <c r="T74" i="13" s="1"/>
  <c r="Q74" i="13"/>
  <c r="P74" i="13"/>
  <c r="T73" i="13"/>
  <c r="U73" i="13" s="1"/>
  <c r="S73" i="13"/>
  <c r="R73" i="13"/>
  <c r="P73" i="13"/>
  <c r="Q73" i="13" s="1"/>
  <c r="R72" i="13"/>
  <c r="T72" i="13" s="1"/>
  <c r="Q72" i="13"/>
  <c r="P72" i="13"/>
  <c r="T71" i="13"/>
  <c r="U71" i="13" s="1"/>
  <c r="S71" i="13"/>
  <c r="R71" i="13"/>
  <c r="P71" i="13"/>
  <c r="Q71" i="13" s="1"/>
  <c r="R70" i="13"/>
  <c r="T70" i="13" s="1"/>
  <c r="Q70" i="13"/>
  <c r="P70" i="13"/>
  <c r="T69" i="13"/>
  <c r="U69" i="13" s="1"/>
  <c r="S69" i="13"/>
  <c r="R69" i="13"/>
  <c r="P69" i="13"/>
  <c r="Q69" i="13" s="1"/>
  <c r="R68" i="13"/>
  <c r="T68" i="13" s="1"/>
  <c r="Q68" i="13"/>
  <c r="P68" i="13"/>
  <c r="T67" i="13"/>
  <c r="U67" i="13" s="1"/>
  <c r="S67" i="13"/>
  <c r="R67" i="13"/>
  <c r="P67" i="13"/>
  <c r="Q67" i="13" s="1"/>
  <c r="R66" i="13"/>
  <c r="T66" i="13" s="1"/>
  <c r="Q66" i="13"/>
  <c r="P66" i="13"/>
  <c r="T65" i="13"/>
  <c r="U65" i="13" s="1"/>
  <c r="S65" i="13"/>
  <c r="R65" i="13"/>
  <c r="P65" i="13"/>
  <c r="Q65" i="13" s="1"/>
  <c r="R64" i="13"/>
  <c r="T64" i="13" s="1"/>
  <c r="Q64" i="13"/>
  <c r="P64" i="13"/>
  <c r="T63" i="13"/>
  <c r="U63" i="13" s="1"/>
  <c r="S63" i="13"/>
  <c r="R63" i="13"/>
  <c r="P63" i="13"/>
  <c r="Q63" i="13" s="1"/>
  <c r="R62" i="13"/>
  <c r="T62" i="13" s="1"/>
  <c r="Q62" i="13"/>
  <c r="P62" i="13"/>
  <c r="T61" i="13"/>
  <c r="U61" i="13" s="1"/>
  <c r="S61" i="13"/>
  <c r="R61" i="13"/>
  <c r="P61" i="13"/>
  <c r="Q61" i="13" s="1"/>
  <c r="R60" i="13"/>
  <c r="T60" i="13" s="1"/>
  <c r="Q60" i="13"/>
  <c r="P60" i="13"/>
  <c r="T59" i="13"/>
  <c r="U59" i="13" s="1"/>
  <c r="S59" i="13"/>
  <c r="R59" i="13"/>
  <c r="P59" i="13"/>
  <c r="Q59" i="13" s="1"/>
  <c r="R58" i="13"/>
  <c r="T58" i="13" s="1"/>
  <c r="Q58" i="13"/>
  <c r="P58" i="13"/>
  <c r="T57" i="13"/>
  <c r="U57" i="13" s="1"/>
  <c r="S57" i="13"/>
  <c r="R57" i="13"/>
  <c r="P57" i="13"/>
  <c r="Q57" i="13" s="1"/>
  <c r="R56" i="13"/>
  <c r="T56" i="13" s="1"/>
  <c r="Q56" i="13"/>
  <c r="P56" i="13"/>
  <c r="T55" i="13"/>
  <c r="U55" i="13" s="1"/>
  <c r="S55" i="13"/>
  <c r="R55" i="13"/>
  <c r="P55" i="13"/>
  <c r="Q55" i="13" s="1"/>
  <c r="R54" i="13"/>
  <c r="T54" i="13" s="1"/>
  <c r="Q54" i="13"/>
  <c r="P54" i="13"/>
  <c r="S53" i="13"/>
  <c r="R53" i="13"/>
  <c r="T53" i="13" s="1"/>
  <c r="P53" i="13"/>
  <c r="Q53" i="13" s="1"/>
  <c r="T52" i="13"/>
  <c r="R52" i="13"/>
  <c r="S52" i="13" s="1"/>
  <c r="U52" i="13" s="1"/>
  <c r="Q52" i="13"/>
  <c r="P52" i="13"/>
  <c r="R51" i="13"/>
  <c r="T51" i="13" s="1"/>
  <c r="P51" i="13"/>
  <c r="Q51" i="13" s="1"/>
  <c r="U50" i="13"/>
  <c r="T50" i="13"/>
  <c r="R50" i="13"/>
  <c r="S50" i="13" s="1"/>
  <c r="P50" i="13"/>
  <c r="Q50" i="13" s="1"/>
  <c r="S49" i="13"/>
  <c r="R49" i="13"/>
  <c r="T49" i="13" s="1"/>
  <c r="U49" i="13" s="1"/>
  <c r="P49" i="13"/>
  <c r="Q49" i="13" s="1"/>
  <c r="R48" i="13"/>
  <c r="S48" i="13" s="1"/>
  <c r="Q48" i="13"/>
  <c r="P48" i="13"/>
  <c r="T47" i="13"/>
  <c r="U47" i="13" s="1"/>
  <c r="S47" i="13"/>
  <c r="R47" i="13"/>
  <c r="P47" i="13"/>
  <c r="Q47" i="13" s="1"/>
  <c r="R46" i="13"/>
  <c r="S46" i="13" s="1"/>
  <c r="Q46" i="13"/>
  <c r="P46" i="13"/>
  <c r="T45" i="13"/>
  <c r="R45" i="13"/>
  <c r="S45" i="13" s="1"/>
  <c r="P45" i="13"/>
  <c r="Q45" i="13" s="1"/>
  <c r="T44" i="13"/>
  <c r="U44" i="13" s="1"/>
  <c r="R44" i="13"/>
  <c r="S44" i="13" s="1"/>
  <c r="P44" i="13"/>
  <c r="Q44" i="13" s="1"/>
  <c r="R43" i="13"/>
  <c r="T43" i="13" s="1"/>
  <c r="P43" i="13"/>
  <c r="Q43" i="13" s="1"/>
  <c r="U42" i="13"/>
  <c r="T42" i="13"/>
  <c r="R42" i="13"/>
  <c r="S42" i="13" s="1"/>
  <c r="P42" i="13"/>
  <c r="Q42" i="13" s="1"/>
  <c r="S41" i="13"/>
  <c r="R41" i="13"/>
  <c r="T41" i="13" s="1"/>
  <c r="U41" i="13" s="1"/>
  <c r="P41" i="13"/>
  <c r="Q41" i="13" s="1"/>
  <c r="R40" i="13"/>
  <c r="S40" i="13" s="1"/>
  <c r="Q40" i="13"/>
  <c r="P40" i="13"/>
  <c r="Z235" i="13"/>
  <c r="Z236" i="13"/>
  <c r="V233" i="13"/>
  <c r="Z231" i="13"/>
  <c r="V229" i="13"/>
  <c r="Z227" i="13"/>
  <c r="V225" i="13"/>
  <c r="Z223" i="13"/>
  <c r="V221" i="13"/>
  <c r="Z219" i="13"/>
  <c r="V217" i="13"/>
  <c r="Z215" i="13"/>
  <c r="Z211" i="13"/>
  <c r="V211" i="13"/>
  <c r="Z209" i="13"/>
  <c r="V209" i="13"/>
  <c r="Z207" i="13"/>
  <c r="V207" i="13"/>
  <c r="Z205" i="13"/>
  <c r="V205" i="13"/>
  <c r="Z203" i="13"/>
  <c r="V203" i="13"/>
  <c r="V236" i="13"/>
  <c r="V234" i="13"/>
  <c r="Z232" i="13"/>
  <c r="V230" i="13"/>
  <c r="Z228" i="13"/>
  <c r="V226" i="13"/>
  <c r="Z224" i="13"/>
  <c r="V222" i="13"/>
  <c r="Z220" i="13"/>
  <c r="V218" i="13"/>
  <c r="Z216" i="13"/>
  <c r="V214" i="13"/>
  <c r="V232" i="13"/>
  <c r="V231" i="13"/>
  <c r="V224" i="13"/>
  <c r="V223" i="13"/>
  <c r="V216" i="13"/>
  <c r="V215" i="13"/>
  <c r="Z212" i="13"/>
  <c r="Z210" i="13"/>
  <c r="Z208" i="13"/>
  <c r="Z206" i="13"/>
  <c r="Z204" i="13"/>
  <c r="Z202" i="13"/>
  <c r="Z200" i="13"/>
  <c r="V198" i="13"/>
  <c r="Z197" i="13"/>
  <c r="Z194" i="13"/>
  <c r="V194" i="13"/>
  <c r="Z192" i="13"/>
  <c r="V192" i="13"/>
  <c r="Z190" i="13"/>
  <c r="V190" i="13"/>
  <c r="Z188" i="13"/>
  <c r="V188" i="13"/>
  <c r="Z186" i="13"/>
  <c r="V186" i="13"/>
  <c r="Z184" i="13"/>
  <c r="V184" i="13"/>
  <c r="Z182" i="13"/>
  <c r="V182" i="13"/>
  <c r="Z180" i="13"/>
  <c r="V180" i="13"/>
  <c r="Z178" i="13"/>
  <c r="V178" i="13"/>
  <c r="Z176" i="13"/>
  <c r="V176" i="13"/>
  <c r="Z174" i="13"/>
  <c r="V174" i="13"/>
  <c r="Z230" i="13"/>
  <c r="Z229" i="13"/>
  <c r="Z222" i="13"/>
  <c r="Z221" i="13"/>
  <c r="Z214" i="13"/>
  <c r="V201" i="13"/>
  <c r="Z198" i="13"/>
  <c r="V196" i="13"/>
  <c r="V235" i="13"/>
  <c r="V228" i="13"/>
  <c r="V227" i="13"/>
  <c r="V220" i="13"/>
  <c r="V219" i="13"/>
  <c r="Z213" i="13"/>
  <c r="V212" i="13"/>
  <c r="V210" i="13"/>
  <c r="V208" i="13"/>
  <c r="V206" i="13"/>
  <c r="V204" i="13"/>
  <c r="V202" i="13"/>
  <c r="Z201" i="13"/>
  <c r="V199" i="13"/>
  <c r="Z196" i="13"/>
  <c r="Z195" i="13"/>
  <c r="V195" i="13"/>
  <c r="Z193" i="13"/>
  <c r="V193" i="13"/>
  <c r="Z191" i="13"/>
  <c r="V191" i="13"/>
  <c r="Z189" i="13"/>
  <c r="V189" i="13"/>
  <c r="Z187" i="13"/>
  <c r="V187" i="13"/>
  <c r="Z185" i="13"/>
  <c r="V185" i="13"/>
  <c r="Z183" i="13"/>
  <c r="V183" i="13"/>
  <c r="Z181" i="13"/>
  <c r="V181" i="13"/>
  <c r="Z179" i="13"/>
  <c r="V179" i="13"/>
  <c r="Z233" i="13"/>
  <c r="Z217" i="13"/>
  <c r="V213" i="13"/>
  <c r="V172" i="13"/>
  <c r="Z169" i="13"/>
  <c r="V167" i="13"/>
  <c r="Z166" i="13"/>
  <c r="V164" i="13"/>
  <c r="Z161" i="13"/>
  <c r="V159" i="13"/>
  <c r="Z158" i="13"/>
  <c r="Z234" i="13"/>
  <c r="Z218" i="13"/>
  <c r="Z177" i="13"/>
  <c r="Z175" i="13"/>
  <c r="V173" i="13"/>
  <c r="Z172" i="13"/>
  <c r="V170" i="13"/>
  <c r="Z167" i="13"/>
  <c r="V165" i="13"/>
  <c r="Z164" i="13"/>
  <c r="V162" i="13"/>
  <c r="Z159" i="13"/>
  <c r="V157" i="13"/>
  <c r="Z156" i="13"/>
  <c r="V156" i="13"/>
  <c r="Z154" i="13"/>
  <c r="Z225" i="13"/>
  <c r="V200" i="13"/>
  <c r="Z199" i="13"/>
  <c r="Z173" i="13"/>
  <c r="V171" i="13"/>
  <c r="Z170" i="13"/>
  <c r="V168" i="13"/>
  <c r="Z165" i="13"/>
  <c r="V163" i="13"/>
  <c r="Z162" i="13"/>
  <c r="V160" i="13"/>
  <c r="Z157" i="13"/>
  <c r="Z226" i="13"/>
  <c r="V177" i="13"/>
  <c r="V169" i="13"/>
  <c r="Z168" i="13"/>
  <c r="Z163" i="13"/>
  <c r="V158" i="13"/>
  <c r="V154" i="13"/>
  <c r="Z152" i="13"/>
  <c r="Z150" i="13"/>
  <c r="V148" i="13"/>
  <c r="Z147" i="13"/>
  <c r="V145" i="13"/>
  <c r="V197" i="13"/>
  <c r="V175" i="13"/>
  <c r="V166" i="13"/>
  <c r="Z153" i="13"/>
  <c r="V151" i="13"/>
  <c r="Z148" i="13"/>
  <c r="V146" i="13"/>
  <c r="Z145" i="13"/>
  <c r="Z143" i="13"/>
  <c r="V143" i="13"/>
  <c r="Z141" i="13"/>
  <c r="V141" i="13"/>
  <c r="Z139" i="13"/>
  <c r="V139" i="13"/>
  <c r="Z137" i="13"/>
  <c r="V137" i="13"/>
  <c r="Z135" i="13"/>
  <c r="V135" i="13"/>
  <c r="Z133" i="13"/>
  <c r="V133" i="13"/>
  <c r="Z131" i="13"/>
  <c r="V131" i="13"/>
  <c r="Z129" i="13"/>
  <c r="V129" i="13"/>
  <c r="Z127" i="13"/>
  <c r="V127" i="13"/>
  <c r="Z125" i="13"/>
  <c r="Z171" i="13"/>
  <c r="V161" i="13"/>
  <c r="Z155" i="13"/>
  <c r="V152" i="13"/>
  <c r="V149" i="13"/>
  <c r="Z146" i="13"/>
  <c r="V153" i="13"/>
  <c r="Z151" i="13"/>
  <c r="Z144" i="13"/>
  <c r="V142" i="13"/>
  <c r="Z136" i="13"/>
  <c r="V134" i="13"/>
  <c r="Z128" i="13"/>
  <c r="V126" i="13"/>
  <c r="Z124" i="13"/>
  <c r="V122" i="13"/>
  <c r="Z121" i="13"/>
  <c r="V119" i="13"/>
  <c r="Z116" i="13"/>
  <c r="V114" i="13"/>
  <c r="Z113" i="13"/>
  <c r="V111" i="13"/>
  <c r="Z108" i="13"/>
  <c r="V106" i="13"/>
  <c r="Z105" i="13"/>
  <c r="V103" i="13"/>
  <c r="Z101" i="13"/>
  <c r="V101" i="13"/>
  <c r="Z99" i="13"/>
  <c r="V99" i="13"/>
  <c r="Z97" i="13"/>
  <c r="V97" i="13"/>
  <c r="Z95" i="13"/>
  <c r="V95" i="13"/>
  <c r="Z93" i="13"/>
  <c r="V93" i="13"/>
  <c r="Z91" i="13"/>
  <c r="V91" i="13"/>
  <c r="Z89" i="13"/>
  <c r="V89" i="13"/>
  <c r="Z87" i="13"/>
  <c r="V87" i="13"/>
  <c r="Z85" i="13"/>
  <c r="V85" i="13"/>
  <c r="Z83" i="13"/>
  <c r="V83" i="13"/>
  <c r="Z81" i="13"/>
  <c r="V81" i="13"/>
  <c r="Z79" i="13"/>
  <c r="V79" i="13"/>
  <c r="Z77" i="13"/>
  <c r="V77" i="13"/>
  <c r="Z75" i="13"/>
  <c r="V75" i="13"/>
  <c r="Z73" i="13"/>
  <c r="V73" i="13"/>
  <c r="Z71" i="13"/>
  <c r="V71" i="13"/>
  <c r="Z69" i="13"/>
  <c r="V69" i="13"/>
  <c r="Z67" i="13"/>
  <c r="V67" i="13"/>
  <c r="Z65" i="13"/>
  <c r="V65" i="13"/>
  <c r="Z63" i="13"/>
  <c r="V63" i="13"/>
  <c r="Z61" i="13"/>
  <c r="V61" i="13"/>
  <c r="Z59" i="13"/>
  <c r="V59" i="13"/>
  <c r="Z57" i="13"/>
  <c r="V57" i="13"/>
  <c r="Z55" i="13"/>
  <c r="V55" i="13"/>
  <c r="Z53" i="13"/>
  <c r="V53" i="13"/>
  <c r="V155" i="13"/>
  <c r="V150" i="13"/>
  <c r="V144" i="13"/>
  <c r="Z138" i="13"/>
  <c r="V136" i="13"/>
  <c r="Z130" i="13"/>
  <c r="V128" i="13"/>
  <c r="V125" i="13"/>
  <c r="Z122" i="13"/>
  <c r="V120" i="13"/>
  <c r="Z119" i="13"/>
  <c r="V117" i="13"/>
  <c r="Z114" i="13"/>
  <c r="V112" i="13"/>
  <c r="Z111" i="13"/>
  <c r="V109" i="13"/>
  <c r="Z106" i="13"/>
  <c r="V104" i="13"/>
  <c r="Z103" i="13"/>
  <c r="V72" i="13"/>
  <c r="Z70" i="13"/>
  <c r="Z68" i="13"/>
  <c r="Z66" i="13"/>
  <c r="V64" i="13"/>
  <c r="Z62" i="13"/>
  <c r="V60" i="13"/>
  <c r="V58" i="13"/>
  <c r="Z56" i="13"/>
  <c r="Z54" i="13"/>
  <c r="V52" i="13"/>
  <c r="V147" i="13"/>
  <c r="Z140" i="13"/>
  <c r="V138" i="13"/>
  <c r="Z132" i="13"/>
  <c r="V130" i="13"/>
  <c r="Z126" i="13"/>
  <c r="V123" i="13"/>
  <c r="Z120" i="13"/>
  <c r="V118" i="13"/>
  <c r="Z117" i="13"/>
  <c r="V115" i="13"/>
  <c r="Z112" i="13"/>
  <c r="V110" i="13"/>
  <c r="Z109" i="13"/>
  <c r="V107" i="13"/>
  <c r="Z104" i="13"/>
  <c r="Z102" i="13"/>
  <c r="V102" i="13"/>
  <c r="Z100" i="13"/>
  <c r="V100" i="13"/>
  <c r="Z98" i="13"/>
  <c r="V98" i="13"/>
  <c r="Z96" i="13"/>
  <c r="V96" i="13"/>
  <c r="Z94" i="13"/>
  <c r="V94" i="13"/>
  <c r="Z92" i="13"/>
  <c r="V92" i="13"/>
  <c r="Z90" i="13"/>
  <c r="V90" i="13"/>
  <c r="Z88" i="13"/>
  <c r="V88" i="13"/>
  <c r="Z86" i="13"/>
  <c r="V86" i="13"/>
  <c r="Z84" i="13"/>
  <c r="V84" i="13"/>
  <c r="Z82" i="13"/>
  <c r="V82" i="13"/>
  <c r="Z80" i="13"/>
  <c r="V80" i="13"/>
  <c r="Z78" i="13"/>
  <c r="V78" i="13"/>
  <c r="Z76" i="13"/>
  <c r="V76" i="13"/>
  <c r="Z74" i="13"/>
  <c r="V74" i="13"/>
  <c r="Z72" i="13"/>
  <c r="V70" i="13"/>
  <c r="V68" i="13"/>
  <c r="V66" i="13"/>
  <c r="Z64" i="13"/>
  <c r="V62" i="13"/>
  <c r="Z60" i="13"/>
  <c r="Z58" i="13"/>
  <c r="V56" i="13"/>
  <c r="V54" i="13"/>
  <c r="Z52" i="13"/>
  <c r="Z142" i="13"/>
  <c r="V140" i="13"/>
  <c r="Z134" i="13"/>
  <c r="V132" i="13"/>
  <c r="V121" i="13"/>
  <c r="V51" i="13"/>
  <c r="Z48" i="13"/>
  <c r="V46" i="13"/>
  <c r="Z45" i="13"/>
  <c r="V43" i="13"/>
  <c r="Z40" i="13"/>
  <c r="V40" i="13"/>
  <c r="V108" i="13"/>
  <c r="Z107" i="13"/>
  <c r="V49" i="13"/>
  <c r="Z46" i="13"/>
  <c r="V44" i="13"/>
  <c r="Z43" i="13"/>
  <c r="V41" i="13"/>
  <c r="V50" i="13"/>
  <c r="V47" i="13"/>
  <c r="Z44" i="13"/>
  <c r="V42" i="13"/>
  <c r="V124" i="13"/>
  <c r="V113" i="13"/>
  <c r="Z50" i="13"/>
  <c r="V48" i="13"/>
  <c r="Z160" i="13"/>
  <c r="Z149" i="13"/>
  <c r="V116" i="13"/>
  <c r="Z115" i="13"/>
  <c r="Z110" i="13"/>
  <c r="V105" i="13"/>
  <c r="Z51" i="13"/>
  <c r="Z49" i="13"/>
  <c r="Z41" i="13"/>
  <c r="Z123" i="13"/>
  <c r="Z118" i="13"/>
  <c r="Z47" i="13"/>
  <c r="V45" i="13"/>
  <c r="Z42" i="13"/>
  <c r="AA42" i="13" l="1"/>
  <c r="AB42" i="13" s="1"/>
  <c r="W45" i="13"/>
  <c r="X45" i="13" s="1"/>
  <c r="AA47" i="13"/>
  <c r="AB47" i="13" s="1"/>
  <c r="AA118" i="13"/>
  <c r="AB118" i="13" s="1"/>
  <c r="AA123" i="13"/>
  <c r="AB123" i="13" s="1"/>
  <c r="AA41" i="13"/>
  <c r="AB41" i="13" s="1"/>
  <c r="AA49" i="13"/>
  <c r="AB49" i="13" s="1"/>
  <c r="AA51" i="13"/>
  <c r="AB51" i="13" s="1"/>
  <c r="W105" i="13"/>
  <c r="X105" i="13" s="1"/>
  <c r="AA110" i="13"/>
  <c r="AB110" i="13" s="1"/>
  <c r="AA115" i="13"/>
  <c r="AB115" i="13" s="1"/>
  <c r="W116" i="13"/>
  <c r="X116" i="13" s="1"/>
  <c r="AA149" i="13"/>
  <c r="AB149" i="13" s="1"/>
  <c r="AA160" i="13"/>
  <c r="AB160" i="13" s="1"/>
  <c r="W48" i="13"/>
  <c r="X48" i="13" s="1"/>
  <c r="AA50" i="13"/>
  <c r="AB50" i="13" s="1"/>
  <c r="W113" i="13"/>
  <c r="X113" i="13" s="1"/>
  <c r="W124" i="13"/>
  <c r="X124" i="13" s="1"/>
  <c r="W42" i="13"/>
  <c r="X42" i="13" s="1"/>
  <c r="AA44" i="13"/>
  <c r="AB44" i="13" s="1"/>
  <c r="W47" i="13"/>
  <c r="X47" i="13" s="1"/>
  <c r="W50" i="13"/>
  <c r="X50" i="13" s="1"/>
  <c r="W41" i="13"/>
  <c r="X41" i="13" s="1"/>
  <c r="AA43" i="13"/>
  <c r="AB43" i="13" s="1"/>
  <c r="W44" i="13"/>
  <c r="X44" i="13" s="1"/>
  <c r="AA46" i="13"/>
  <c r="AB46" i="13" s="1"/>
  <c r="W49" i="13"/>
  <c r="X49" i="13" s="1"/>
  <c r="AA107" i="13"/>
  <c r="AB107" i="13" s="1"/>
  <c r="W108" i="13"/>
  <c r="X108" i="13" s="1"/>
  <c r="W40" i="13"/>
  <c r="X40" i="13" s="1"/>
  <c r="AA40" i="13"/>
  <c r="AB40" i="13" s="1"/>
  <c r="W43" i="13"/>
  <c r="X43" i="13" s="1"/>
  <c r="AA45" i="13"/>
  <c r="AB45" i="13" s="1"/>
  <c r="W46" i="13"/>
  <c r="X46" i="13" s="1"/>
  <c r="AA48" i="13"/>
  <c r="AB48" i="13" s="1"/>
  <c r="W51" i="13"/>
  <c r="X51" i="13" s="1"/>
  <c r="W121" i="13"/>
  <c r="X121" i="13" s="1"/>
  <c r="W132" i="13"/>
  <c r="X132" i="13" s="1"/>
  <c r="AA134" i="13"/>
  <c r="AB134" i="13" s="1"/>
  <c r="W140" i="13"/>
  <c r="X140" i="13" s="1"/>
  <c r="AA142" i="13"/>
  <c r="AB142" i="13" s="1"/>
  <c r="AA52" i="13"/>
  <c r="AB52" i="13" s="1"/>
  <c r="W54" i="13"/>
  <c r="X54" i="13" s="1"/>
  <c r="W56" i="13"/>
  <c r="X56" i="13" s="1"/>
  <c r="AA58" i="13"/>
  <c r="AB58" i="13" s="1"/>
  <c r="AA60" i="13"/>
  <c r="AB60" i="13" s="1"/>
  <c r="W62" i="13"/>
  <c r="X62" i="13" s="1"/>
  <c r="AA64" i="13"/>
  <c r="AB64" i="13" s="1"/>
  <c r="W66" i="13"/>
  <c r="X66" i="13" s="1"/>
  <c r="W68" i="13"/>
  <c r="X68" i="13" s="1"/>
  <c r="W70" i="13"/>
  <c r="X70" i="13" s="1"/>
  <c r="AA72" i="13"/>
  <c r="AB72" i="13" s="1"/>
  <c r="W74" i="13"/>
  <c r="X74" i="13" s="1"/>
  <c r="AA74" i="13"/>
  <c r="AB74" i="13" s="1"/>
  <c r="W76" i="13"/>
  <c r="X76" i="13" s="1"/>
  <c r="AA76" i="13"/>
  <c r="AB76" i="13" s="1"/>
  <c r="W78" i="13"/>
  <c r="X78" i="13" s="1"/>
  <c r="AA78" i="13"/>
  <c r="AB78" i="13" s="1"/>
  <c r="W80" i="13"/>
  <c r="X80" i="13" s="1"/>
  <c r="AA80" i="13"/>
  <c r="AB80" i="13" s="1"/>
  <c r="W82" i="13"/>
  <c r="X82" i="13" s="1"/>
  <c r="AA82" i="13"/>
  <c r="AB82" i="13" s="1"/>
  <c r="W84" i="13"/>
  <c r="X84" i="13" s="1"/>
  <c r="AA84" i="13"/>
  <c r="AB84" i="13" s="1"/>
  <c r="W86" i="13"/>
  <c r="X86" i="13" s="1"/>
  <c r="AA86" i="13"/>
  <c r="AB86" i="13" s="1"/>
  <c r="W88" i="13"/>
  <c r="X88" i="13" s="1"/>
  <c r="AA88" i="13"/>
  <c r="AB88" i="13" s="1"/>
  <c r="W90" i="13"/>
  <c r="X90" i="13" s="1"/>
  <c r="AA90" i="13"/>
  <c r="AB90" i="13" s="1"/>
  <c r="W92" i="13"/>
  <c r="X92" i="13" s="1"/>
  <c r="AA92" i="13"/>
  <c r="AB92" i="13" s="1"/>
  <c r="W94" i="13"/>
  <c r="X94" i="13" s="1"/>
  <c r="AA94" i="13"/>
  <c r="AB94" i="13" s="1"/>
  <c r="W96" i="13"/>
  <c r="X96" i="13" s="1"/>
  <c r="AA96" i="13"/>
  <c r="AB96" i="13" s="1"/>
  <c r="W98" i="13"/>
  <c r="X98" i="13" s="1"/>
  <c r="AA98" i="13"/>
  <c r="AB98" i="13" s="1"/>
  <c r="W100" i="13"/>
  <c r="X100" i="13" s="1"/>
  <c r="AA100" i="13"/>
  <c r="AB100" i="13" s="1"/>
  <c r="W102" i="13"/>
  <c r="X102" i="13" s="1"/>
  <c r="AA102" i="13"/>
  <c r="AB102" i="13" s="1"/>
  <c r="AA104" i="13"/>
  <c r="AB104" i="13" s="1"/>
  <c r="W107" i="13"/>
  <c r="X107" i="13" s="1"/>
  <c r="AA109" i="13"/>
  <c r="AB109" i="13" s="1"/>
  <c r="W110" i="13"/>
  <c r="X110" i="13" s="1"/>
  <c r="AA112" i="13"/>
  <c r="AB112" i="13" s="1"/>
  <c r="W115" i="13"/>
  <c r="X115" i="13" s="1"/>
  <c r="AA117" i="13"/>
  <c r="AB117" i="13" s="1"/>
  <c r="W118" i="13"/>
  <c r="X118" i="13" s="1"/>
  <c r="AA120" i="13"/>
  <c r="AB120" i="13" s="1"/>
  <c r="W123" i="13"/>
  <c r="X123" i="13" s="1"/>
  <c r="AA126" i="13"/>
  <c r="AB126" i="13" s="1"/>
  <c r="W130" i="13"/>
  <c r="X130" i="13" s="1"/>
  <c r="AA132" i="13"/>
  <c r="AB132" i="13" s="1"/>
  <c r="W138" i="13"/>
  <c r="X138" i="13" s="1"/>
  <c r="AA140" i="13"/>
  <c r="AB140" i="13" s="1"/>
  <c r="W147" i="13"/>
  <c r="X147" i="13" s="1"/>
  <c r="W52" i="13"/>
  <c r="X52" i="13" s="1"/>
  <c r="AA54" i="13"/>
  <c r="AB54" i="13" s="1"/>
  <c r="AA56" i="13"/>
  <c r="AB56" i="13" s="1"/>
  <c r="W58" i="13"/>
  <c r="X58" i="13" s="1"/>
  <c r="W60" i="13"/>
  <c r="X60" i="13" s="1"/>
  <c r="AA62" i="13"/>
  <c r="AB62" i="13" s="1"/>
  <c r="W64" i="13"/>
  <c r="X64" i="13" s="1"/>
  <c r="AA66" i="13"/>
  <c r="AB66" i="13" s="1"/>
  <c r="AA68" i="13"/>
  <c r="AB68" i="13" s="1"/>
  <c r="AA70" i="13"/>
  <c r="AB70" i="13" s="1"/>
  <c r="W72" i="13"/>
  <c r="X72" i="13" s="1"/>
  <c r="AA103" i="13"/>
  <c r="AB103" i="13" s="1"/>
  <c r="W104" i="13"/>
  <c r="X104" i="13" s="1"/>
  <c r="AA106" i="13"/>
  <c r="AB106" i="13" s="1"/>
  <c r="W109" i="13"/>
  <c r="X109" i="13" s="1"/>
  <c r="AA111" i="13"/>
  <c r="AB111" i="13" s="1"/>
  <c r="W112" i="13"/>
  <c r="X112" i="13" s="1"/>
  <c r="AA114" i="13"/>
  <c r="AB114" i="13" s="1"/>
  <c r="W117" i="13"/>
  <c r="X117" i="13" s="1"/>
  <c r="AA119" i="13"/>
  <c r="AB119" i="13" s="1"/>
  <c r="W120" i="13"/>
  <c r="X120" i="13" s="1"/>
  <c r="Y120" i="13" s="1"/>
  <c r="AA122" i="13"/>
  <c r="AB122" i="13" s="1"/>
  <c r="W125" i="13"/>
  <c r="X125" i="13" s="1"/>
  <c r="W128" i="13"/>
  <c r="X128" i="13" s="1"/>
  <c r="AA130" i="13"/>
  <c r="AB130" i="13" s="1"/>
  <c r="W136" i="13"/>
  <c r="X136" i="13" s="1"/>
  <c r="AA138" i="13"/>
  <c r="AB138" i="13" s="1"/>
  <c r="W144" i="13"/>
  <c r="X144" i="13" s="1"/>
  <c r="W150" i="13"/>
  <c r="X150" i="13" s="1"/>
  <c r="W155" i="13"/>
  <c r="X155" i="13" s="1"/>
  <c r="W53" i="13"/>
  <c r="X53" i="13" s="1"/>
  <c r="AA53" i="13"/>
  <c r="AB53" i="13" s="1"/>
  <c r="W55" i="13"/>
  <c r="X55" i="13" s="1"/>
  <c r="AA55" i="13"/>
  <c r="AB55" i="13" s="1"/>
  <c r="W57" i="13"/>
  <c r="X57" i="13" s="1"/>
  <c r="AA57" i="13"/>
  <c r="AB57" i="13" s="1"/>
  <c r="W59" i="13"/>
  <c r="X59" i="13" s="1"/>
  <c r="AA59" i="13"/>
  <c r="AB59" i="13" s="1"/>
  <c r="W61" i="13"/>
  <c r="X61" i="13" s="1"/>
  <c r="AA61" i="13"/>
  <c r="AB61" i="13" s="1"/>
  <c r="W63" i="13"/>
  <c r="X63" i="13" s="1"/>
  <c r="AA63" i="13"/>
  <c r="AB63" i="13" s="1"/>
  <c r="W65" i="13"/>
  <c r="X65" i="13" s="1"/>
  <c r="AA65" i="13"/>
  <c r="AB65" i="13" s="1"/>
  <c r="W67" i="13"/>
  <c r="X67" i="13" s="1"/>
  <c r="AA67" i="13"/>
  <c r="AB67" i="13" s="1"/>
  <c r="W69" i="13"/>
  <c r="X69" i="13" s="1"/>
  <c r="AA69" i="13"/>
  <c r="AB69" i="13" s="1"/>
  <c r="W71" i="13"/>
  <c r="X71" i="13" s="1"/>
  <c r="AA71" i="13"/>
  <c r="AB71" i="13" s="1"/>
  <c r="W73" i="13"/>
  <c r="X73" i="13" s="1"/>
  <c r="AA73" i="13"/>
  <c r="AB73" i="13" s="1"/>
  <c r="W75" i="13"/>
  <c r="X75" i="13" s="1"/>
  <c r="AA75" i="13"/>
  <c r="AB75" i="13" s="1"/>
  <c r="W77" i="13"/>
  <c r="X77" i="13" s="1"/>
  <c r="AA77" i="13"/>
  <c r="AB77" i="13" s="1"/>
  <c r="W79" i="13"/>
  <c r="X79" i="13" s="1"/>
  <c r="AA79" i="13"/>
  <c r="AB79" i="13" s="1"/>
  <c r="W81" i="13"/>
  <c r="X81" i="13" s="1"/>
  <c r="AA81" i="13"/>
  <c r="AB81" i="13" s="1"/>
  <c r="W83" i="13"/>
  <c r="X83" i="13" s="1"/>
  <c r="AA83" i="13"/>
  <c r="AB83" i="13" s="1"/>
  <c r="W85" i="13"/>
  <c r="X85" i="13" s="1"/>
  <c r="AA85" i="13"/>
  <c r="AB85" i="13" s="1"/>
  <c r="W87" i="13"/>
  <c r="X87" i="13" s="1"/>
  <c r="AA87" i="13"/>
  <c r="AB87" i="13" s="1"/>
  <c r="W89" i="13"/>
  <c r="X89" i="13" s="1"/>
  <c r="AA89" i="13"/>
  <c r="AB89" i="13" s="1"/>
  <c r="W91" i="13"/>
  <c r="X91" i="13" s="1"/>
  <c r="AA91" i="13"/>
  <c r="AB91" i="13" s="1"/>
  <c r="W93" i="13"/>
  <c r="X93" i="13" s="1"/>
  <c r="AA93" i="13"/>
  <c r="AB93" i="13" s="1"/>
  <c r="W95" i="13"/>
  <c r="X95" i="13" s="1"/>
  <c r="AA95" i="13"/>
  <c r="AB95" i="13" s="1"/>
  <c r="W97" i="13"/>
  <c r="X97" i="13" s="1"/>
  <c r="AA97" i="13"/>
  <c r="AB97" i="13" s="1"/>
  <c r="W99" i="13"/>
  <c r="X99" i="13" s="1"/>
  <c r="AA99" i="13"/>
  <c r="AB99" i="13" s="1"/>
  <c r="W101" i="13"/>
  <c r="X101" i="13" s="1"/>
  <c r="AA101" i="13"/>
  <c r="AB101" i="13" s="1"/>
  <c r="W103" i="13"/>
  <c r="X103" i="13" s="1"/>
  <c r="AA105" i="13"/>
  <c r="AB105" i="13" s="1"/>
  <c r="W106" i="13"/>
  <c r="X106" i="13" s="1"/>
  <c r="AA108" i="13"/>
  <c r="AB108" i="13" s="1"/>
  <c r="W111" i="13"/>
  <c r="X111" i="13" s="1"/>
  <c r="AA113" i="13"/>
  <c r="AB113" i="13" s="1"/>
  <c r="W114" i="13"/>
  <c r="X114" i="13" s="1"/>
  <c r="AA116" i="13"/>
  <c r="AB116" i="13" s="1"/>
  <c r="W119" i="13"/>
  <c r="X119" i="13" s="1"/>
  <c r="AA121" i="13"/>
  <c r="AB121" i="13" s="1"/>
  <c r="W122" i="13"/>
  <c r="X122" i="13" s="1"/>
  <c r="AA124" i="13"/>
  <c r="AB124" i="13" s="1"/>
  <c r="W126" i="13"/>
  <c r="X126" i="13" s="1"/>
  <c r="AA128" i="13"/>
  <c r="AB128" i="13" s="1"/>
  <c r="W134" i="13"/>
  <c r="X134" i="13" s="1"/>
  <c r="AA136" i="13"/>
  <c r="AB136" i="13" s="1"/>
  <c r="W142" i="13"/>
  <c r="X142" i="13" s="1"/>
  <c r="AA144" i="13"/>
  <c r="AB144" i="13" s="1"/>
  <c r="AA151" i="13"/>
  <c r="AB151" i="13" s="1"/>
  <c r="W153" i="13"/>
  <c r="X153" i="13" s="1"/>
  <c r="AA146" i="13"/>
  <c r="AB146" i="13" s="1"/>
  <c r="W149" i="13"/>
  <c r="X149" i="13" s="1"/>
  <c r="W152" i="13"/>
  <c r="X152" i="13" s="1"/>
  <c r="AA155" i="13"/>
  <c r="AB155" i="13" s="1"/>
  <c r="W161" i="13"/>
  <c r="X161" i="13" s="1"/>
  <c r="AA171" i="13"/>
  <c r="AB171" i="13" s="1"/>
  <c r="AA125" i="13"/>
  <c r="AB125" i="13" s="1"/>
  <c r="W127" i="13"/>
  <c r="X127" i="13" s="1"/>
  <c r="AA127" i="13"/>
  <c r="AB127" i="13" s="1"/>
  <c r="W129" i="13"/>
  <c r="X129" i="13" s="1"/>
  <c r="AA129" i="13"/>
  <c r="AB129" i="13" s="1"/>
  <c r="W131" i="13"/>
  <c r="X131" i="13" s="1"/>
  <c r="AA131" i="13"/>
  <c r="AB131" i="13" s="1"/>
  <c r="W133" i="13"/>
  <c r="X133" i="13" s="1"/>
  <c r="AA133" i="13"/>
  <c r="AB133" i="13" s="1"/>
  <c r="W135" i="13"/>
  <c r="X135" i="13" s="1"/>
  <c r="AA135" i="13"/>
  <c r="AB135" i="13" s="1"/>
  <c r="W137" i="13"/>
  <c r="X137" i="13" s="1"/>
  <c r="AA137" i="13"/>
  <c r="AB137" i="13" s="1"/>
  <c r="W139" i="13"/>
  <c r="X139" i="13" s="1"/>
  <c r="AA139" i="13"/>
  <c r="AB139" i="13" s="1"/>
  <c r="W141" i="13"/>
  <c r="X141" i="13" s="1"/>
  <c r="AA141" i="13"/>
  <c r="AB141" i="13" s="1"/>
  <c r="W143" i="13"/>
  <c r="X143" i="13" s="1"/>
  <c r="AA143" i="13"/>
  <c r="AB143" i="13" s="1"/>
  <c r="AA145" i="13"/>
  <c r="AB145" i="13" s="1"/>
  <c r="W146" i="13"/>
  <c r="X146" i="13" s="1"/>
  <c r="Y146" i="13" s="1"/>
  <c r="AA148" i="13"/>
  <c r="AB148" i="13" s="1"/>
  <c r="W151" i="13"/>
  <c r="X151" i="13" s="1"/>
  <c r="AA153" i="13"/>
  <c r="AB153" i="13" s="1"/>
  <c r="W166" i="13"/>
  <c r="X166" i="13" s="1"/>
  <c r="W175" i="13"/>
  <c r="X175" i="13" s="1"/>
  <c r="W197" i="13"/>
  <c r="X197" i="13" s="1"/>
  <c r="W145" i="13"/>
  <c r="X145" i="13" s="1"/>
  <c r="AA147" i="13"/>
  <c r="AB147" i="13" s="1"/>
  <c r="W148" i="13"/>
  <c r="X148" i="13" s="1"/>
  <c r="AA150" i="13"/>
  <c r="AB150" i="13" s="1"/>
  <c r="AA152" i="13"/>
  <c r="AB152" i="13" s="1"/>
  <c r="W154" i="13"/>
  <c r="X154" i="13" s="1"/>
  <c r="W158" i="13"/>
  <c r="X158" i="13" s="1"/>
  <c r="AA163" i="13"/>
  <c r="AB163" i="13" s="1"/>
  <c r="AA168" i="13"/>
  <c r="AB168" i="13" s="1"/>
  <c r="W169" i="13"/>
  <c r="X169" i="13" s="1"/>
  <c r="W177" i="13"/>
  <c r="X177" i="13" s="1"/>
  <c r="AA226" i="13"/>
  <c r="AB226" i="13" s="1"/>
  <c r="AA157" i="13"/>
  <c r="AB157" i="13" s="1"/>
  <c r="W160" i="13"/>
  <c r="X160" i="13" s="1"/>
  <c r="AA162" i="13"/>
  <c r="AB162" i="13" s="1"/>
  <c r="W163" i="13"/>
  <c r="X163" i="13" s="1"/>
  <c r="AA165" i="13"/>
  <c r="AB165" i="13" s="1"/>
  <c r="W168" i="13"/>
  <c r="X168" i="13" s="1"/>
  <c r="AA170" i="13"/>
  <c r="AB170" i="13" s="1"/>
  <c r="W171" i="13"/>
  <c r="X171" i="13" s="1"/>
  <c r="AA173" i="13"/>
  <c r="AB173" i="13" s="1"/>
  <c r="AA199" i="13"/>
  <c r="AB199" i="13" s="1"/>
  <c r="W200" i="13"/>
  <c r="X200" i="13" s="1"/>
  <c r="AA225" i="13"/>
  <c r="AB225" i="13" s="1"/>
  <c r="AA154" i="13"/>
  <c r="AB154" i="13" s="1"/>
  <c r="W156" i="13"/>
  <c r="X156" i="13" s="1"/>
  <c r="AA156" i="13"/>
  <c r="AB156" i="13" s="1"/>
  <c r="W157" i="13"/>
  <c r="X157" i="13" s="1"/>
  <c r="Y157" i="13" s="1"/>
  <c r="AA159" i="13"/>
  <c r="AB159" i="13" s="1"/>
  <c r="W162" i="13"/>
  <c r="X162" i="13" s="1"/>
  <c r="AA164" i="13"/>
  <c r="AB164" i="13" s="1"/>
  <c r="W165" i="13"/>
  <c r="X165" i="13" s="1"/>
  <c r="Y165" i="13" s="1"/>
  <c r="AA167" i="13"/>
  <c r="AB167" i="13" s="1"/>
  <c r="W170" i="13"/>
  <c r="X170" i="13" s="1"/>
  <c r="AA172" i="13"/>
  <c r="AB172" i="13" s="1"/>
  <c r="W173" i="13"/>
  <c r="X173" i="13" s="1"/>
  <c r="AA175" i="13"/>
  <c r="AB175" i="13" s="1"/>
  <c r="AA177" i="13"/>
  <c r="AB177" i="13" s="1"/>
  <c r="AA218" i="13"/>
  <c r="AB218" i="13" s="1"/>
  <c r="AA234" i="13"/>
  <c r="AB234" i="13" s="1"/>
  <c r="AA158" i="13"/>
  <c r="AB158" i="13" s="1"/>
  <c r="W159" i="13"/>
  <c r="X159" i="13" s="1"/>
  <c r="AA161" i="13"/>
  <c r="AB161" i="13" s="1"/>
  <c r="W164" i="13"/>
  <c r="X164" i="13" s="1"/>
  <c r="AA166" i="13"/>
  <c r="AB166" i="13" s="1"/>
  <c r="W167" i="13"/>
  <c r="X167" i="13" s="1"/>
  <c r="AA169" i="13"/>
  <c r="AB169" i="13" s="1"/>
  <c r="W172" i="13"/>
  <c r="X172" i="13" s="1"/>
  <c r="W213" i="13"/>
  <c r="X213" i="13" s="1"/>
  <c r="AA217" i="13"/>
  <c r="AB217" i="13" s="1"/>
  <c r="AA233" i="13"/>
  <c r="AB233" i="13" s="1"/>
  <c r="W179" i="13"/>
  <c r="X179" i="13" s="1"/>
  <c r="AA179" i="13"/>
  <c r="AB179" i="13" s="1"/>
  <c r="W181" i="13"/>
  <c r="X181" i="13" s="1"/>
  <c r="AA181" i="13"/>
  <c r="AB181" i="13" s="1"/>
  <c r="W183" i="13"/>
  <c r="X183" i="13" s="1"/>
  <c r="AA183" i="13"/>
  <c r="AB183" i="13" s="1"/>
  <c r="W185" i="13"/>
  <c r="X185" i="13" s="1"/>
  <c r="AA185" i="13"/>
  <c r="AB185" i="13" s="1"/>
  <c r="W187" i="13"/>
  <c r="X187" i="13" s="1"/>
  <c r="AA187" i="13"/>
  <c r="AB187" i="13" s="1"/>
  <c r="W189" i="13"/>
  <c r="X189" i="13" s="1"/>
  <c r="AA189" i="13"/>
  <c r="AB189" i="13" s="1"/>
  <c r="W191" i="13"/>
  <c r="X191" i="13" s="1"/>
  <c r="AA191" i="13"/>
  <c r="AB191" i="13" s="1"/>
  <c r="W193" i="13"/>
  <c r="X193" i="13" s="1"/>
  <c r="AA193" i="13"/>
  <c r="AB193" i="13" s="1"/>
  <c r="W195" i="13"/>
  <c r="X195" i="13" s="1"/>
  <c r="AA195" i="13"/>
  <c r="AB195" i="13" s="1"/>
  <c r="AA196" i="13"/>
  <c r="AB196" i="13" s="1"/>
  <c r="W199" i="13"/>
  <c r="X199" i="13" s="1"/>
  <c r="AA201" i="13"/>
  <c r="AB201" i="13" s="1"/>
  <c r="W202" i="13"/>
  <c r="X202" i="13" s="1"/>
  <c r="W204" i="13"/>
  <c r="X204" i="13" s="1"/>
  <c r="W206" i="13"/>
  <c r="X206" i="13" s="1"/>
  <c r="W208" i="13"/>
  <c r="X208" i="13" s="1"/>
  <c r="W210" i="13"/>
  <c r="X210" i="13" s="1"/>
  <c r="W212" i="13"/>
  <c r="X212" i="13" s="1"/>
  <c r="AA213" i="13"/>
  <c r="AB213" i="13" s="1"/>
  <c r="W219" i="13"/>
  <c r="X219" i="13" s="1"/>
  <c r="W220" i="13"/>
  <c r="X220" i="13" s="1"/>
  <c r="W227" i="13"/>
  <c r="X227" i="13" s="1"/>
  <c r="W228" i="13"/>
  <c r="X228" i="13" s="1"/>
  <c r="W235" i="13"/>
  <c r="X235" i="13" s="1"/>
  <c r="W196" i="13"/>
  <c r="X196" i="13" s="1"/>
  <c r="AA198" i="13"/>
  <c r="AB198" i="13" s="1"/>
  <c r="W201" i="13"/>
  <c r="X201" i="13" s="1"/>
  <c r="AA214" i="13"/>
  <c r="AB214" i="13" s="1"/>
  <c r="AA221" i="13"/>
  <c r="AB221" i="13" s="1"/>
  <c r="AA222" i="13"/>
  <c r="AB222" i="13" s="1"/>
  <c r="AA229" i="13"/>
  <c r="AB229" i="13" s="1"/>
  <c r="AA230" i="13"/>
  <c r="AB230" i="13" s="1"/>
  <c r="W174" i="13"/>
  <c r="X174" i="13" s="1"/>
  <c r="AA174" i="13"/>
  <c r="AB174" i="13" s="1"/>
  <c r="W176" i="13"/>
  <c r="X176" i="13" s="1"/>
  <c r="AA176" i="13"/>
  <c r="AB176" i="13" s="1"/>
  <c r="W178" i="13"/>
  <c r="X178" i="13" s="1"/>
  <c r="AA178" i="13"/>
  <c r="AB178" i="13" s="1"/>
  <c r="W180" i="13"/>
  <c r="X180" i="13" s="1"/>
  <c r="AA180" i="13"/>
  <c r="AB180" i="13" s="1"/>
  <c r="W182" i="13"/>
  <c r="X182" i="13" s="1"/>
  <c r="AA182" i="13"/>
  <c r="AB182" i="13" s="1"/>
  <c r="W184" i="13"/>
  <c r="X184" i="13" s="1"/>
  <c r="AA184" i="13"/>
  <c r="AB184" i="13" s="1"/>
  <c r="W186" i="13"/>
  <c r="X186" i="13" s="1"/>
  <c r="AA186" i="13"/>
  <c r="AB186" i="13" s="1"/>
  <c r="W188" i="13"/>
  <c r="X188" i="13" s="1"/>
  <c r="AA188" i="13"/>
  <c r="AB188" i="13" s="1"/>
  <c r="W190" i="13"/>
  <c r="X190" i="13" s="1"/>
  <c r="AA190" i="13"/>
  <c r="AB190" i="13" s="1"/>
  <c r="W192" i="13"/>
  <c r="X192" i="13" s="1"/>
  <c r="AA192" i="13"/>
  <c r="AB192" i="13" s="1"/>
  <c r="W194" i="13"/>
  <c r="X194" i="13" s="1"/>
  <c r="AA194" i="13"/>
  <c r="AB194" i="13" s="1"/>
  <c r="AA197" i="13"/>
  <c r="AB197" i="13" s="1"/>
  <c r="W198" i="13"/>
  <c r="X198" i="13" s="1"/>
  <c r="AA200" i="13"/>
  <c r="AB200" i="13" s="1"/>
  <c r="AA202" i="13"/>
  <c r="AB202" i="13" s="1"/>
  <c r="AA204" i="13"/>
  <c r="AB204" i="13" s="1"/>
  <c r="AA206" i="13"/>
  <c r="AB206" i="13" s="1"/>
  <c r="AA208" i="13"/>
  <c r="AB208" i="13" s="1"/>
  <c r="AA210" i="13"/>
  <c r="AB210" i="13" s="1"/>
  <c r="AA212" i="13"/>
  <c r="AB212" i="13" s="1"/>
  <c r="W215" i="13"/>
  <c r="X215" i="13" s="1"/>
  <c r="W216" i="13"/>
  <c r="X216" i="13" s="1"/>
  <c r="W223" i="13"/>
  <c r="X223" i="13" s="1"/>
  <c r="W224" i="13"/>
  <c r="X224" i="13" s="1"/>
  <c r="W231" i="13"/>
  <c r="X231" i="13" s="1"/>
  <c r="W232" i="13"/>
  <c r="X232" i="13" s="1"/>
  <c r="W214" i="13"/>
  <c r="X214" i="13" s="1"/>
  <c r="AA216" i="13"/>
  <c r="AB216" i="13" s="1"/>
  <c r="W218" i="13"/>
  <c r="X218" i="13" s="1"/>
  <c r="AA220" i="13"/>
  <c r="AB220" i="13" s="1"/>
  <c r="W222" i="13"/>
  <c r="X222" i="13" s="1"/>
  <c r="AA224" i="13"/>
  <c r="AB224" i="13" s="1"/>
  <c r="W226" i="13"/>
  <c r="X226" i="13" s="1"/>
  <c r="AA228" i="13"/>
  <c r="AB228" i="13" s="1"/>
  <c r="W230" i="13"/>
  <c r="X230" i="13" s="1"/>
  <c r="AA232" i="13"/>
  <c r="AB232" i="13" s="1"/>
  <c r="W234" i="13"/>
  <c r="X234" i="13" s="1"/>
  <c r="W236" i="13"/>
  <c r="X236" i="13" s="1"/>
  <c r="W203" i="13"/>
  <c r="X203" i="13" s="1"/>
  <c r="AA203" i="13"/>
  <c r="AB203" i="13" s="1"/>
  <c r="W205" i="13"/>
  <c r="X205" i="13" s="1"/>
  <c r="AA205" i="13"/>
  <c r="AB205" i="13" s="1"/>
  <c r="W207" i="13"/>
  <c r="X207" i="13" s="1"/>
  <c r="AA207" i="13"/>
  <c r="AB207" i="13" s="1"/>
  <c r="W209" i="13"/>
  <c r="X209" i="13" s="1"/>
  <c r="AA209" i="13"/>
  <c r="AB209" i="13" s="1"/>
  <c r="W211" i="13"/>
  <c r="X211" i="13" s="1"/>
  <c r="AA211" i="13"/>
  <c r="AB211" i="13" s="1"/>
  <c r="AA215" i="13"/>
  <c r="AB215" i="13" s="1"/>
  <c r="W217" i="13"/>
  <c r="X217" i="13" s="1"/>
  <c r="AA219" i="13"/>
  <c r="AB219" i="13" s="1"/>
  <c r="W221" i="13"/>
  <c r="X221" i="13" s="1"/>
  <c r="AA223" i="13"/>
  <c r="AB223" i="13" s="1"/>
  <c r="W225" i="13"/>
  <c r="X225" i="13" s="1"/>
  <c r="AA227" i="13"/>
  <c r="AB227" i="13" s="1"/>
  <c r="W229" i="13"/>
  <c r="X229" i="13" s="1"/>
  <c r="AA231" i="13"/>
  <c r="AB231" i="13" s="1"/>
  <c r="W233" i="13"/>
  <c r="X233" i="13" s="1"/>
  <c r="AA236" i="13"/>
  <c r="AB236" i="13" s="1"/>
  <c r="AA235" i="13"/>
  <c r="AB235" i="13" s="1"/>
  <c r="AC41" i="13"/>
  <c r="Y41" i="13"/>
  <c r="Y42" i="13"/>
  <c r="AC49" i="13"/>
  <c r="Y49" i="13"/>
  <c r="AC44" i="13"/>
  <c r="Y44" i="13"/>
  <c r="Y50" i="13"/>
  <c r="Y52" i="13"/>
  <c r="AC52" i="13"/>
  <c r="AC55" i="13"/>
  <c r="Y55" i="13"/>
  <c r="AC57" i="13"/>
  <c r="Y57" i="13"/>
  <c r="AC63" i="13"/>
  <c r="Y63" i="13"/>
  <c r="AC67" i="13"/>
  <c r="Y67" i="13"/>
  <c r="AC73" i="13"/>
  <c r="Y73" i="13"/>
  <c r="AC79" i="13"/>
  <c r="Y79" i="13"/>
  <c r="AC87" i="13"/>
  <c r="Y87" i="13"/>
  <c r="AC89" i="13"/>
  <c r="Y89" i="13"/>
  <c r="AC91" i="13"/>
  <c r="Y91" i="13"/>
  <c r="AC99" i="13"/>
  <c r="Y99" i="13"/>
  <c r="AC101" i="13"/>
  <c r="Y101" i="13"/>
  <c r="AC103" i="13"/>
  <c r="Y103" i="13"/>
  <c r="Y110" i="13"/>
  <c r="AC110" i="13"/>
  <c r="AC112" i="13"/>
  <c r="AC115" i="13"/>
  <c r="Y115" i="13"/>
  <c r="S43" i="13"/>
  <c r="U43" i="13" s="1"/>
  <c r="AC104" i="13"/>
  <c r="U107" i="13"/>
  <c r="Y112" i="13"/>
  <c r="Y161" i="13"/>
  <c r="AC161" i="13"/>
  <c r="AC199" i="13"/>
  <c r="Y199" i="13"/>
  <c r="AC59" i="13"/>
  <c r="Y59" i="13"/>
  <c r="AC61" i="13"/>
  <c r="Y61" i="13"/>
  <c r="AC75" i="13"/>
  <c r="Y75" i="13"/>
  <c r="AC77" i="13"/>
  <c r="Y77" i="13"/>
  <c r="AC81" i="13"/>
  <c r="Y81" i="13"/>
  <c r="AC83" i="13"/>
  <c r="Y83" i="13"/>
  <c r="AC85" i="13"/>
  <c r="Y85" i="13"/>
  <c r="AC93" i="13"/>
  <c r="Y93" i="13"/>
  <c r="AC95" i="13"/>
  <c r="Y95" i="13"/>
  <c r="AC97" i="13"/>
  <c r="Y97" i="13"/>
  <c r="T46" i="13"/>
  <c r="U46" i="13" s="1"/>
  <c r="S51" i="13"/>
  <c r="U51" i="13" s="1"/>
  <c r="T40" i="13"/>
  <c r="U40" i="13" s="1"/>
  <c r="AC42" i="13"/>
  <c r="T48" i="13"/>
  <c r="U48" i="13" s="1"/>
  <c r="AC50" i="13"/>
  <c r="Y104" i="13"/>
  <c r="T119" i="13"/>
  <c r="S119" i="13"/>
  <c r="S122" i="13"/>
  <c r="T122" i="13"/>
  <c r="T130" i="13"/>
  <c r="U130" i="13" s="1"/>
  <c r="S130" i="13"/>
  <c r="T138" i="13"/>
  <c r="U138" i="13" s="1"/>
  <c r="S138" i="13"/>
  <c r="AC47" i="13"/>
  <c r="Y47" i="13"/>
  <c r="AC65" i="13"/>
  <c r="Y65" i="13"/>
  <c r="AC69" i="13"/>
  <c r="Y69" i="13"/>
  <c r="AC71" i="13"/>
  <c r="Y71" i="13"/>
  <c r="S106" i="13"/>
  <c r="T106" i="13"/>
  <c r="U45" i="13"/>
  <c r="U53" i="13"/>
  <c r="T111" i="13"/>
  <c r="U111" i="13" s="1"/>
  <c r="S111" i="13"/>
  <c r="S114" i="13"/>
  <c r="T114" i="13"/>
  <c r="U114" i="13" s="1"/>
  <c r="Y118" i="13"/>
  <c r="AC118" i="13"/>
  <c r="AC120" i="13"/>
  <c r="AC123" i="13"/>
  <c r="Y123" i="13"/>
  <c r="AC135" i="13"/>
  <c r="Y135" i="13"/>
  <c r="AC143" i="13"/>
  <c r="Y143" i="13"/>
  <c r="U109" i="13"/>
  <c r="U117" i="13"/>
  <c r="U125" i="13"/>
  <c r="T126" i="13"/>
  <c r="S126" i="13"/>
  <c r="T128" i="13"/>
  <c r="S128" i="13"/>
  <c r="AC133" i="13"/>
  <c r="Y133" i="13"/>
  <c r="T136" i="13"/>
  <c r="S136" i="13"/>
  <c r="AC141" i="13"/>
  <c r="Y141" i="13"/>
  <c r="T144" i="13"/>
  <c r="S144" i="13"/>
  <c r="T145" i="13"/>
  <c r="S145" i="13"/>
  <c r="S148" i="13"/>
  <c r="T148" i="13"/>
  <c r="U148" i="13" s="1"/>
  <c r="Y150" i="13"/>
  <c r="U151" i="13"/>
  <c r="AC156" i="13"/>
  <c r="Y156" i="13"/>
  <c r="S54" i="13"/>
  <c r="U54" i="13" s="1"/>
  <c r="S56" i="13"/>
  <c r="U56" i="13" s="1"/>
  <c r="S58" i="13"/>
  <c r="U58" i="13" s="1"/>
  <c r="S60" i="13"/>
  <c r="U60" i="13" s="1"/>
  <c r="S62" i="13"/>
  <c r="U62" i="13" s="1"/>
  <c r="S64" i="13"/>
  <c r="U64" i="13" s="1"/>
  <c r="S66" i="13"/>
  <c r="U66" i="13" s="1"/>
  <c r="S68" i="13"/>
  <c r="U68" i="13" s="1"/>
  <c r="S70" i="13"/>
  <c r="U70" i="13" s="1"/>
  <c r="S72" i="13"/>
  <c r="U72" i="13" s="1"/>
  <c r="S74" i="13"/>
  <c r="U74" i="13" s="1"/>
  <c r="S76" i="13"/>
  <c r="U76" i="13" s="1"/>
  <c r="S78" i="13"/>
  <c r="U78" i="13" s="1"/>
  <c r="S80" i="13"/>
  <c r="U80" i="13" s="1"/>
  <c r="S82" i="13"/>
  <c r="U82" i="13" s="1"/>
  <c r="S84" i="13"/>
  <c r="U84" i="13" s="1"/>
  <c r="S86" i="13"/>
  <c r="U86" i="13" s="1"/>
  <c r="S88" i="13"/>
  <c r="U88" i="13" s="1"/>
  <c r="S90" i="13"/>
  <c r="U90" i="13" s="1"/>
  <c r="S92" i="13"/>
  <c r="U92" i="13" s="1"/>
  <c r="S94" i="13"/>
  <c r="U94" i="13" s="1"/>
  <c r="S96" i="13"/>
  <c r="U96" i="13" s="1"/>
  <c r="S98" i="13"/>
  <c r="U98" i="13" s="1"/>
  <c r="S100" i="13"/>
  <c r="U100" i="13" s="1"/>
  <c r="S102" i="13"/>
  <c r="U102" i="13" s="1"/>
  <c r="S105" i="13"/>
  <c r="U105" i="13" s="1"/>
  <c r="T108" i="13"/>
  <c r="U108" i="13" s="1"/>
  <c r="S113" i="13"/>
  <c r="U113" i="13" s="1"/>
  <c r="T116" i="13"/>
  <c r="U116" i="13" s="1"/>
  <c r="S121" i="13"/>
  <c r="U121" i="13" s="1"/>
  <c r="T124" i="13"/>
  <c r="U124" i="13" s="1"/>
  <c r="U127" i="13"/>
  <c r="AC131" i="13"/>
  <c r="Y131" i="13"/>
  <c r="T134" i="13"/>
  <c r="S134" i="13"/>
  <c r="AC139" i="13"/>
  <c r="Y139" i="13"/>
  <c r="T142" i="13"/>
  <c r="S142" i="13"/>
  <c r="AC152" i="13"/>
  <c r="Y152" i="13"/>
  <c r="AC129" i="13"/>
  <c r="Y129" i="13"/>
  <c r="T132" i="13"/>
  <c r="S132" i="13"/>
  <c r="AC137" i="13"/>
  <c r="Y137" i="13"/>
  <c r="T140" i="13"/>
  <c r="S140" i="13"/>
  <c r="AC146" i="13"/>
  <c r="AC149" i="13"/>
  <c r="Y149" i="13"/>
  <c r="AC173" i="13"/>
  <c r="Y173" i="13"/>
  <c r="AC150" i="13"/>
  <c r="AC158" i="13"/>
  <c r="Y158" i="13"/>
  <c r="T164" i="13"/>
  <c r="S164" i="13"/>
  <c r="S167" i="13"/>
  <c r="T167" i="13"/>
  <c r="AC154" i="13"/>
  <c r="Y154" i="13"/>
  <c r="AC157" i="13"/>
  <c r="S159" i="13"/>
  <c r="T159" i="13"/>
  <c r="U159" i="13" s="1"/>
  <c r="AC165" i="13"/>
  <c r="AC168" i="13"/>
  <c r="Y168" i="13"/>
  <c r="AC147" i="13"/>
  <c r="Y147" i="13"/>
  <c r="AC153" i="13"/>
  <c r="Y153" i="13"/>
  <c r="T155" i="13"/>
  <c r="U155" i="13" s="1"/>
  <c r="S155" i="13"/>
  <c r="AC160" i="13"/>
  <c r="Y160" i="13"/>
  <c r="T172" i="13"/>
  <c r="U172" i="13" s="1"/>
  <c r="S172" i="13"/>
  <c r="AC196" i="13"/>
  <c r="Y196" i="13"/>
  <c r="U162" i="13"/>
  <c r="U170" i="13"/>
  <c r="U180" i="13"/>
  <c r="U182" i="13"/>
  <c r="U184" i="13"/>
  <c r="U186" i="13"/>
  <c r="U188" i="13"/>
  <c r="U190" i="13"/>
  <c r="U192" i="13"/>
  <c r="U194" i="13"/>
  <c r="AC205" i="13"/>
  <c r="Y205" i="13"/>
  <c r="AC209" i="13"/>
  <c r="Y209" i="13"/>
  <c r="S214" i="13"/>
  <c r="T214" i="13"/>
  <c r="AC219" i="13"/>
  <c r="Y219" i="13"/>
  <c r="S221" i="13"/>
  <c r="T221" i="13"/>
  <c r="S230" i="13"/>
  <c r="T230" i="13"/>
  <c r="AC235" i="13"/>
  <c r="Y235" i="13"/>
  <c r="S166" i="13"/>
  <c r="U166" i="13" s="1"/>
  <c r="T169" i="13"/>
  <c r="U169" i="13" s="1"/>
  <c r="T175" i="13"/>
  <c r="U175" i="13" s="1"/>
  <c r="S175" i="13"/>
  <c r="T177" i="13"/>
  <c r="U177" i="13" s="1"/>
  <c r="S177" i="13"/>
  <c r="T163" i="13"/>
  <c r="U163" i="13" s="1"/>
  <c r="T171" i="13"/>
  <c r="U171" i="13" s="1"/>
  <c r="U174" i="13"/>
  <c r="U176" i="13"/>
  <c r="U178" i="13"/>
  <c r="S198" i="13"/>
  <c r="T198" i="13"/>
  <c r="AC203" i="13"/>
  <c r="Y203" i="13"/>
  <c r="AC207" i="13"/>
  <c r="Y207" i="13"/>
  <c r="AC211" i="13"/>
  <c r="Y211" i="13"/>
  <c r="S222" i="13"/>
  <c r="T222" i="13"/>
  <c r="AC227" i="13"/>
  <c r="Y227" i="13"/>
  <c r="S229" i="13"/>
  <c r="T229" i="13"/>
  <c r="U201" i="13"/>
  <c r="S179" i="13"/>
  <c r="U179" i="13" s="1"/>
  <c r="S181" i="13"/>
  <c r="U181" i="13" s="1"/>
  <c r="S183" i="13"/>
  <c r="U183" i="13" s="1"/>
  <c r="S185" i="13"/>
  <c r="U185" i="13" s="1"/>
  <c r="S187" i="13"/>
  <c r="U187" i="13" s="1"/>
  <c r="S189" i="13"/>
  <c r="U189" i="13" s="1"/>
  <c r="S191" i="13"/>
  <c r="U191" i="13" s="1"/>
  <c r="S193" i="13"/>
  <c r="U193" i="13" s="1"/>
  <c r="S195" i="13"/>
  <c r="U195" i="13" s="1"/>
  <c r="S197" i="13"/>
  <c r="U197" i="13" s="1"/>
  <c r="T200" i="13"/>
  <c r="U200" i="13" s="1"/>
  <c r="AC215" i="13"/>
  <c r="Y215" i="13"/>
  <c r="S217" i="13"/>
  <c r="T217" i="13"/>
  <c r="AC223" i="13"/>
  <c r="Y223" i="13"/>
  <c r="S225" i="13"/>
  <c r="T225" i="13"/>
  <c r="AC231" i="13"/>
  <c r="Y231" i="13"/>
  <c r="S233" i="13"/>
  <c r="T233" i="13"/>
  <c r="T202" i="13"/>
  <c r="U202" i="13" s="1"/>
  <c r="T204" i="13"/>
  <c r="S204" i="13"/>
  <c r="T206" i="13"/>
  <c r="S206" i="13"/>
  <c r="T208" i="13"/>
  <c r="S208" i="13"/>
  <c r="T210" i="13"/>
  <c r="S210" i="13"/>
  <c r="T212" i="13"/>
  <c r="S212" i="13"/>
  <c r="T218" i="13"/>
  <c r="U218" i="13" s="1"/>
  <c r="T226" i="13"/>
  <c r="U226" i="13" s="1"/>
  <c r="T234" i="13"/>
  <c r="U234" i="13" s="1"/>
  <c r="T236" i="13"/>
  <c r="U236" i="13" s="1"/>
  <c r="S236" i="13"/>
  <c r="T213" i="13"/>
  <c r="U213" i="13" s="1"/>
  <c r="T216" i="13"/>
  <c r="U216" i="13" s="1"/>
  <c r="T220" i="13"/>
  <c r="U220" i="13" s="1"/>
  <c r="T224" i="13"/>
  <c r="U224" i="13" s="1"/>
  <c r="T228" i="13"/>
  <c r="U228" i="13" s="1"/>
  <c r="T232" i="13"/>
  <c r="U232" i="13" s="1"/>
  <c r="R90" i="10"/>
  <c r="T90" i="10" s="1"/>
  <c r="Q90" i="10"/>
  <c r="P90" i="10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T86" i="10"/>
  <c r="U86" i="10" s="1"/>
  <c r="R86" i="10"/>
  <c r="S86" i="10" s="1"/>
  <c r="Q86" i="10"/>
  <c r="P86" i="10"/>
  <c r="T85" i="10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T82" i="10"/>
  <c r="U82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T79" i="10"/>
  <c r="S79" i="10"/>
  <c r="R79" i="10"/>
  <c r="P79" i="10"/>
  <c r="Q79" i="10" s="1"/>
  <c r="T78" i="10"/>
  <c r="U78" i="10" s="1"/>
  <c r="R78" i="10"/>
  <c r="S78" i="10" s="1"/>
  <c r="Q78" i="10"/>
  <c r="P78" i="10"/>
  <c r="T77" i="10"/>
  <c r="R77" i="10"/>
  <c r="S77" i="10" s="1"/>
  <c r="P77" i="10"/>
  <c r="Q77" i="10" s="1"/>
  <c r="R76" i="10"/>
  <c r="S76" i="10" s="1"/>
  <c r="P76" i="10"/>
  <c r="Q76" i="10" s="1"/>
  <c r="S75" i="10"/>
  <c r="R75" i="10"/>
  <c r="T75" i="10" s="1"/>
  <c r="P75" i="10"/>
  <c r="Q75" i="10" s="1"/>
  <c r="T74" i="10"/>
  <c r="U74" i="10" s="1"/>
  <c r="R74" i="10"/>
  <c r="S74" i="10" s="1"/>
  <c r="Q74" i="10"/>
  <c r="P74" i="10"/>
  <c r="R73" i="10"/>
  <c r="T73" i="10" s="1"/>
  <c r="P73" i="10"/>
  <c r="Q73" i="10" s="1"/>
  <c r="R72" i="10"/>
  <c r="S72" i="10" s="1"/>
  <c r="P72" i="10"/>
  <c r="Q72" i="10" s="1"/>
  <c r="T71" i="10"/>
  <c r="S71" i="10"/>
  <c r="R71" i="10"/>
  <c r="P71" i="10"/>
  <c r="Q71" i="10" s="1"/>
  <c r="T70" i="10"/>
  <c r="U70" i="10" s="1"/>
  <c r="R70" i="10"/>
  <c r="S70" i="10" s="1"/>
  <c r="Q70" i="10"/>
  <c r="P70" i="10"/>
  <c r="T69" i="10"/>
  <c r="R69" i="10"/>
  <c r="S69" i="10" s="1"/>
  <c r="P69" i="10"/>
  <c r="Q69" i="10" s="1"/>
  <c r="R68" i="10"/>
  <c r="S68" i="10" s="1"/>
  <c r="P68" i="10"/>
  <c r="Q68" i="10" s="1"/>
  <c r="S67" i="10"/>
  <c r="R67" i="10"/>
  <c r="T67" i="10" s="1"/>
  <c r="P67" i="10"/>
  <c r="Q67" i="10" s="1"/>
  <c r="S66" i="10"/>
  <c r="R66" i="10"/>
  <c r="T66" i="10" s="1"/>
  <c r="Q66" i="10"/>
  <c r="P66" i="10"/>
  <c r="T65" i="10"/>
  <c r="S65" i="10"/>
  <c r="R65" i="10"/>
  <c r="P65" i="10"/>
  <c r="Q65" i="10" s="1"/>
  <c r="R64" i="10"/>
  <c r="T64" i="10" s="1"/>
  <c r="Q64" i="10"/>
  <c r="P64" i="10"/>
  <c r="T63" i="10"/>
  <c r="U63" i="10" s="1"/>
  <c r="S63" i="10"/>
  <c r="R63" i="10"/>
  <c r="P63" i="10"/>
  <c r="Q63" i="10" s="1"/>
  <c r="R62" i="10"/>
  <c r="T62" i="10" s="1"/>
  <c r="Q62" i="10"/>
  <c r="P62" i="10"/>
  <c r="S61" i="10"/>
  <c r="R61" i="10"/>
  <c r="T61" i="10" s="1"/>
  <c r="U61" i="10" s="1"/>
  <c r="P61" i="10"/>
  <c r="Q61" i="10" s="1"/>
  <c r="R60" i="10"/>
  <c r="T60" i="10" s="1"/>
  <c r="Q60" i="10"/>
  <c r="P60" i="10"/>
  <c r="R59" i="10"/>
  <c r="T59" i="10" s="1"/>
  <c r="P59" i="10"/>
  <c r="Q59" i="10" s="1"/>
  <c r="R58" i="10"/>
  <c r="T58" i="10" s="1"/>
  <c r="P58" i="10"/>
  <c r="Q58" i="10" s="1"/>
  <c r="T57" i="10"/>
  <c r="R57" i="10"/>
  <c r="S57" i="10" s="1"/>
  <c r="P57" i="10"/>
  <c r="Q57" i="10" s="1"/>
  <c r="R56" i="10"/>
  <c r="T56" i="10" s="1"/>
  <c r="P56" i="10"/>
  <c r="Q56" i="10" s="1"/>
  <c r="T55" i="10"/>
  <c r="U55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T52" i="10"/>
  <c r="R52" i="10"/>
  <c r="S52" i="10" s="1"/>
  <c r="P52" i="10"/>
  <c r="Q52" i="10" s="1"/>
  <c r="R51" i="10"/>
  <c r="S51" i="10" s="1"/>
  <c r="P51" i="10"/>
  <c r="Q51" i="10" s="1"/>
  <c r="R50" i="10"/>
  <c r="S50" i="10" s="1"/>
  <c r="Q50" i="10"/>
  <c r="P50" i="10"/>
  <c r="T49" i="10"/>
  <c r="R49" i="10"/>
  <c r="S49" i="10" s="1"/>
  <c r="P49" i="10"/>
  <c r="Q49" i="10" s="1"/>
  <c r="T48" i="10"/>
  <c r="U48" i="10" s="1"/>
  <c r="R48" i="10"/>
  <c r="S48" i="10" s="1"/>
  <c r="P48" i="10"/>
  <c r="Q48" i="10" s="1"/>
  <c r="R47" i="10"/>
  <c r="T47" i="10" s="1"/>
  <c r="P47" i="10"/>
  <c r="Q47" i="10" s="1"/>
  <c r="T46" i="10"/>
  <c r="U46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T42" i="10"/>
  <c r="R42" i="10"/>
  <c r="S42" i="10" s="1"/>
  <c r="P42" i="10"/>
  <c r="Q42" i="10" s="1"/>
  <c r="R41" i="10"/>
  <c r="T41" i="10" s="1"/>
  <c r="P41" i="10"/>
  <c r="Q41" i="10" s="1"/>
  <c r="T40" i="10"/>
  <c r="R40" i="10"/>
  <c r="S40" i="10" s="1"/>
  <c r="P40" i="10"/>
  <c r="Q40" i="10" s="1"/>
  <c r="R39" i="10"/>
  <c r="T39" i="10" s="1"/>
  <c r="P39" i="10"/>
  <c r="Q39" i="10" s="1"/>
  <c r="T38" i="10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T34" i="10"/>
  <c r="R34" i="10"/>
  <c r="S34" i="10" s="1"/>
  <c r="P34" i="10"/>
  <c r="Q34" i="10" s="1"/>
  <c r="R33" i="10"/>
  <c r="T33" i="10" s="1"/>
  <c r="P33" i="10"/>
  <c r="Q33" i="10" s="1"/>
  <c r="Z89" i="10"/>
  <c r="Z90" i="10"/>
  <c r="V90" i="10"/>
  <c r="Z88" i="10"/>
  <c r="V88" i="10"/>
  <c r="V89" i="10"/>
  <c r="V86" i="10"/>
  <c r="Z85" i="10"/>
  <c r="V83" i="10"/>
  <c r="Z80" i="10"/>
  <c r="V78" i="10"/>
  <c r="Z77" i="10"/>
  <c r="V75" i="10"/>
  <c r="Z72" i="10"/>
  <c r="V70" i="10"/>
  <c r="Z69" i="10"/>
  <c r="V67" i="10"/>
  <c r="Z86" i="10"/>
  <c r="V84" i="10"/>
  <c r="Z83" i="10"/>
  <c r="V81" i="10"/>
  <c r="Z78" i="10"/>
  <c r="V76" i="10"/>
  <c r="Z75" i="10"/>
  <c r="V73" i="10"/>
  <c r="Z70" i="10"/>
  <c r="V68" i="10"/>
  <c r="Z67" i="10"/>
  <c r="Z65" i="10"/>
  <c r="V65" i="10"/>
  <c r="Z63" i="10"/>
  <c r="V63" i="10"/>
  <c r="Z61" i="10"/>
  <c r="V61" i="10"/>
  <c r="Z59" i="10"/>
  <c r="V59" i="10"/>
  <c r="Z57" i="10"/>
  <c r="V57" i="10"/>
  <c r="Z55" i="10"/>
  <c r="V55" i="10"/>
  <c r="V87" i="10"/>
  <c r="Z84" i="10"/>
  <c r="V82" i="10"/>
  <c r="Z81" i="10"/>
  <c r="V79" i="10"/>
  <c r="Z76" i="10"/>
  <c r="V74" i="10"/>
  <c r="Z73" i="10"/>
  <c r="V71" i="10"/>
  <c r="Z68" i="10"/>
  <c r="Z87" i="10"/>
  <c r="V85" i="10"/>
  <c r="Z82" i="10"/>
  <c r="V80" i="10"/>
  <c r="Z79" i="10"/>
  <c r="V77" i="10"/>
  <c r="Z74" i="10"/>
  <c r="V72" i="10"/>
  <c r="Z71" i="10"/>
  <c r="V69" i="10"/>
  <c r="Z66" i="10"/>
  <c r="V66" i="10"/>
  <c r="Z64" i="10"/>
  <c r="V64" i="10"/>
  <c r="Z62" i="10"/>
  <c r="V62" i="10"/>
  <c r="Z60" i="10"/>
  <c r="V60" i="10"/>
  <c r="Z58" i="10"/>
  <c r="V58" i="10"/>
  <c r="Z56" i="10"/>
  <c r="V56" i="10"/>
  <c r="Z53" i="10"/>
  <c r="V51" i="10"/>
  <c r="V48" i="10"/>
  <c r="Z47" i="10"/>
  <c r="V45" i="10"/>
  <c r="Z38" i="10"/>
  <c r="Z36" i="10"/>
  <c r="V34" i="10"/>
  <c r="V52" i="10"/>
  <c r="Z50" i="10"/>
  <c r="Z48" i="10"/>
  <c r="V46" i="10"/>
  <c r="Z45" i="10"/>
  <c r="Z44" i="10"/>
  <c r="V44" i="10"/>
  <c r="Z42" i="10"/>
  <c r="V42" i="10"/>
  <c r="Z40" i="10"/>
  <c r="V40" i="10"/>
  <c r="V38" i="10"/>
  <c r="V36" i="10"/>
  <c r="Z34" i="10"/>
  <c r="V33" i="10"/>
  <c r="Z54" i="10"/>
  <c r="V53" i="10"/>
  <c r="Z51" i="10"/>
  <c r="V49" i="10"/>
  <c r="Z46" i="10"/>
  <c r="Z37" i="10"/>
  <c r="V35" i="10"/>
  <c r="V54" i="10"/>
  <c r="Z52" i="10"/>
  <c r="V50" i="10"/>
  <c r="Z49" i="10"/>
  <c r="V47" i="10"/>
  <c r="Z43" i="10"/>
  <c r="V43" i="10"/>
  <c r="Z41" i="10"/>
  <c r="V41" i="10"/>
  <c r="Z39" i="10"/>
  <c r="V39" i="10"/>
  <c r="V37" i="10"/>
  <c r="Z35" i="10"/>
  <c r="Z33" i="10"/>
  <c r="Y100" i="13" l="1"/>
  <c r="AC100" i="13"/>
  <c r="Y84" i="13"/>
  <c r="AC84" i="13"/>
  <c r="Y68" i="13"/>
  <c r="AC68" i="13"/>
  <c r="AC183" i="13"/>
  <c r="Y183" i="13"/>
  <c r="AC166" i="13"/>
  <c r="Y166" i="13"/>
  <c r="Y98" i="13"/>
  <c r="AC98" i="13"/>
  <c r="Y90" i="13"/>
  <c r="AC90" i="13"/>
  <c r="Y82" i="13"/>
  <c r="AC82" i="13"/>
  <c r="Y74" i="13"/>
  <c r="AC74" i="13"/>
  <c r="Y66" i="13"/>
  <c r="AC66" i="13"/>
  <c r="Y58" i="13"/>
  <c r="AC58" i="13"/>
  <c r="AC51" i="13"/>
  <c r="Y51" i="13"/>
  <c r="AC197" i="13"/>
  <c r="Y197" i="13"/>
  <c r="AC189" i="13"/>
  <c r="Y189" i="13"/>
  <c r="AC181" i="13"/>
  <c r="Y181" i="13"/>
  <c r="AC121" i="13"/>
  <c r="Y121" i="13"/>
  <c r="AC105" i="13"/>
  <c r="Y105" i="13"/>
  <c r="Y96" i="13"/>
  <c r="AC96" i="13"/>
  <c r="Y88" i="13"/>
  <c r="AC88" i="13"/>
  <c r="Y80" i="13"/>
  <c r="AC80" i="13"/>
  <c r="Y72" i="13"/>
  <c r="AC72" i="13"/>
  <c r="Y64" i="13"/>
  <c r="AC64" i="13"/>
  <c r="Y56" i="13"/>
  <c r="AC56" i="13"/>
  <c r="AC43" i="13"/>
  <c r="Y43" i="13"/>
  <c r="AC185" i="13"/>
  <c r="Y185" i="13"/>
  <c r="AC113" i="13"/>
  <c r="Y113" i="13"/>
  <c r="Y92" i="13"/>
  <c r="AC92" i="13"/>
  <c r="Y76" i="13"/>
  <c r="AC76" i="13"/>
  <c r="Y60" i="13"/>
  <c r="AC60" i="13"/>
  <c r="AC187" i="13"/>
  <c r="Y187" i="13"/>
  <c r="AC179" i="13"/>
  <c r="Y179" i="13"/>
  <c r="Y102" i="13"/>
  <c r="AC102" i="13"/>
  <c r="Y94" i="13"/>
  <c r="AC94" i="13"/>
  <c r="Y86" i="13"/>
  <c r="AC86" i="13"/>
  <c r="Y78" i="13"/>
  <c r="AC78" i="13"/>
  <c r="Y70" i="13"/>
  <c r="AC70" i="13"/>
  <c r="Y62" i="13"/>
  <c r="AC62" i="13"/>
  <c r="Y54" i="13"/>
  <c r="AC54" i="13"/>
  <c r="AC220" i="13"/>
  <c r="Y220" i="13"/>
  <c r="AC236" i="13"/>
  <c r="Y236" i="13"/>
  <c r="AC174" i="13"/>
  <c r="Y174" i="13"/>
  <c r="AC177" i="13"/>
  <c r="Y177" i="13"/>
  <c r="AC192" i="13"/>
  <c r="Y192" i="13"/>
  <c r="AC184" i="13"/>
  <c r="Y184" i="13"/>
  <c r="AC162" i="13"/>
  <c r="Y162" i="13"/>
  <c r="AC151" i="13"/>
  <c r="Y151" i="13"/>
  <c r="AC109" i="13"/>
  <c r="Y109" i="13"/>
  <c r="AC45" i="13"/>
  <c r="Y45" i="13"/>
  <c r="AC138" i="13"/>
  <c r="Y138" i="13"/>
  <c r="Y40" i="13"/>
  <c r="AC40" i="13"/>
  <c r="AC232" i="13"/>
  <c r="Y232" i="13"/>
  <c r="AC216" i="13"/>
  <c r="Y216" i="13"/>
  <c r="AC234" i="13"/>
  <c r="Y234" i="13"/>
  <c r="U212" i="13"/>
  <c r="U208" i="13"/>
  <c r="U204" i="13"/>
  <c r="AC195" i="13"/>
  <c r="Y195" i="13"/>
  <c r="Y171" i="13"/>
  <c r="AC171" i="13"/>
  <c r="U221" i="13"/>
  <c r="U214" i="13"/>
  <c r="AC190" i="13"/>
  <c r="Y190" i="13"/>
  <c r="AC182" i="13"/>
  <c r="Y182" i="13"/>
  <c r="U140" i="13"/>
  <c r="U132" i="13"/>
  <c r="Y116" i="13"/>
  <c r="AC116" i="13"/>
  <c r="U145" i="13"/>
  <c r="U126" i="13"/>
  <c r="U106" i="13"/>
  <c r="AC107" i="13"/>
  <c r="Y107" i="13"/>
  <c r="AC228" i="13"/>
  <c r="Y228" i="13"/>
  <c r="Y213" i="13"/>
  <c r="AC213" i="13"/>
  <c r="AC226" i="13"/>
  <c r="Y226" i="13"/>
  <c r="Y202" i="13"/>
  <c r="AC202" i="13"/>
  <c r="AC193" i="13"/>
  <c r="Y193" i="13"/>
  <c r="AC201" i="13"/>
  <c r="Y201" i="13"/>
  <c r="AC178" i="13"/>
  <c r="Y178" i="13"/>
  <c r="Y163" i="13"/>
  <c r="AC163" i="13"/>
  <c r="AC175" i="13"/>
  <c r="Y175" i="13"/>
  <c r="AC188" i="13"/>
  <c r="Y188" i="13"/>
  <c r="AC180" i="13"/>
  <c r="Y180" i="13"/>
  <c r="AC172" i="13"/>
  <c r="Y172" i="13"/>
  <c r="AC155" i="13"/>
  <c r="Y155" i="13"/>
  <c r="Y159" i="13"/>
  <c r="AC159" i="13"/>
  <c r="AC127" i="13"/>
  <c r="Y127" i="13"/>
  <c r="Y148" i="13"/>
  <c r="AC148" i="13"/>
  <c r="AC125" i="13"/>
  <c r="Y125" i="13"/>
  <c r="Y114" i="13"/>
  <c r="AC114" i="13"/>
  <c r="AC111" i="13"/>
  <c r="Y111" i="13"/>
  <c r="AC130" i="13"/>
  <c r="Y130" i="13"/>
  <c r="Y48" i="13"/>
  <c r="AC48" i="13"/>
  <c r="Y46" i="13"/>
  <c r="AC46" i="13"/>
  <c r="AC224" i="13"/>
  <c r="Y224" i="13"/>
  <c r="AC218" i="13"/>
  <c r="Y218" i="13"/>
  <c r="U210" i="13"/>
  <c r="U206" i="13"/>
  <c r="U233" i="13"/>
  <c r="U225" i="13"/>
  <c r="U217" i="13"/>
  <c r="Y200" i="13"/>
  <c r="AC200" i="13"/>
  <c r="AC191" i="13"/>
  <c r="Y191" i="13"/>
  <c r="U229" i="13"/>
  <c r="U222" i="13"/>
  <c r="U198" i="13"/>
  <c r="AC176" i="13"/>
  <c r="Y176" i="13"/>
  <c r="Y169" i="13"/>
  <c r="AC169" i="13"/>
  <c r="U230" i="13"/>
  <c r="AC194" i="13"/>
  <c r="Y194" i="13"/>
  <c r="AC186" i="13"/>
  <c r="Y186" i="13"/>
  <c r="AC170" i="13"/>
  <c r="Y170" i="13"/>
  <c r="U167" i="13"/>
  <c r="U164" i="13"/>
  <c r="U142" i="13"/>
  <c r="U134" i="13"/>
  <c r="Y124" i="13"/>
  <c r="AC124" i="13"/>
  <c r="Y108" i="13"/>
  <c r="AC108" i="13"/>
  <c r="U144" i="13"/>
  <c r="U136" i="13"/>
  <c r="U128" i="13"/>
  <c r="AC117" i="13"/>
  <c r="Y117" i="13"/>
  <c r="AC53" i="13"/>
  <c r="Y53" i="13"/>
  <c r="U122" i="13"/>
  <c r="U119" i="13"/>
  <c r="AC61" i="10"/>
  <c r="AC55" i="10"/>
  <c r="T44" i="10"/>
  <c r="T53" i="10"/>
  <c r="U53" i="10" s="1"/>
  <c r="S59" i="10"/>
  <c r="U59" i="10" s="1"/>
  <c r="S87" i="10"/>
  <c r="U87" i="10" s="1"/>
  <c r="AC87" i="10" s="1"/>
  <c r="T36" i="10"/>
  <c r="U67" i="10"/>
  <c r="U75" i="10"/>
  <c r="U65" i="10"/>
  <c r="AC65" i="10" s="1"/>
  <c r="U66" i="10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AC46" i="10" s="1"/>
  <c r="W49" i="10"/>
  <c r="X49" i="10" s="1"/>
  <c r="AA51" i="10"/>
  <c r="AB51" i="10" s="1"/>
  <c r="W53" i="10"/>
  <c r="X53" i="10" s="1"/>
  <c r="Y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X66" i="10" s="1"/>
  <c r="Y66" i="10" s="1"/>
  <c r="AA66" i="10"/>
  <c r="AB66" i="10" s="1"/>
  <c r="W69" i="10"/>
  <c r="X69" i="10" s="1"/>
  <c r="AA71" i="10"/>
  <c r="AB71" i="10" s="1"/>
  <c r="W72" i="10"/>
  <c r="X72" i="10" s="1"/>
  <c r="AA74" i="10"/>
  <c r="AB74" i="10" s="1"/>
  <c r="AC74" i="10" s="1"/>
  <c r="W77" i="10"/>
  <c r="X77" i="10" s="1"/>
  <c r="AA79" i="10"/>
  <c r="AB79" i="10" s="1"/>
  <c r="W80" i="10"/>
  <c r="X80" i="10" s="1"/>
  <c r="AA82" i="10"/>
  <c r="AB82" i="10" s="1"/>
  <c r="AC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W57" i="10"/>
  <c r="X57" i="10" s="1"/>
  <c r="AA57" i="10"/>
  <c r="AB57" i="10" s="1"/>
  <c r="W59" i="10"/>
  <c r="X59" i="10" s="1"/>
  <c r="AA59" i="10"/>
  <c r="AB59" i="10" s="1"/>
  <c r="W61" i="10"/>
  <c r="X61" i="10" s="1"/>
  <c r="AA61" i="10"/>
  <c r="AB61" i="10" s="1"/>
  <c r="W63" i="10"/>
  <c r="X63" i="10" s="1"/>
  <c r="AA63" i="10"/>
  <c r="AB63" i="10" s="1"/>
  <c r="AC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AC78" i="10" s="1"/>
  <c r="W81" i="10"/>
  <c r="AA83" i="10"/>
  <c r="AB83" i="10" s="1"/>
  <c r="W84" i="10"/>
  <c r="X84" i="10" s="1"/>
  <c r="AA86" i="10"/>
  <c r="AB86" i="10" s="1"/>
  <c r="AC86" i="10" s="1"/>
  <c r="W67" i="10"/>
  <c r="X67" i="10" s="1"/>
  <c r="AA69" i="10"/>
  <c r="AB69" i="10" s="1"/>
  <c r="W70" i="10"/>
  <c r="X70" i="10" s="1"/>
  <c r="AA72" i="10"/>
  <c r="AB72" i="10" s="1"/>
  <c r="W75" i="10"/>
  <c r="X75" i="10" s="1"/>
  <c r="Y75" i="10" s="1"/>
  <c r="AA77" i="10"/>
  <c r="AB77" i="10" s="1"/>
  <c r="W78" i="10"/>
  <c r="X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38" i="10"/>
  <c r="Y46" i="10"/>
  <c r="U40" i="10"/>
  <c r="Y48" i="10"/>
  <c r="U34" i="10"/>
  <c r="AC34" i="10" s="1"/>
  <c r="U42" i="10"/>
  <c r="AC42" i="10" s="1"/>
  <c r="U36" i="10"/>
  <c r="AC36" i="10" s="1"/>
  <c r="U44" i="10"/>
  <c r="AC44" i="10" s="1"/>
  <c r="U49" i="10"/>
  <c r="Y55" i="10"/>
  <c r="Y67" i="10"/>
  <c r="Y86" i="10"/>
  <c r="S33" i="10"/>
  <c r="U33" i="10" s="1"/>
  <c r="AC33" i="10" s="1"/>
  <c r="S35" i="10"/>
  <c r="U35" i="10" s="1"/>
  <c r="AC35" i="10" s="1"/>
  <c r="S37" i="10"/>
  <c r="U37" i="10" s="1"/>
  <c r="AC37" i="10" s="1"/>
  <c r="S39" i="10"/>
  <c r="U39" i="10" s="1"/>
  <c r="AC39" i="10" s="1"/>
  <c r="S41" i="10"/>
  <c r="U41" i="10" s="1"/>
  <c r="S43" i="10"/>
  <c r="U43" i="10" s="1"/>
  <c r="AC43" i="10" s="1"/>
  <c r="S45" i="10"/>
  <c r="U45" i="10" s="1"/>
  <c r="AC45" i="10" s="1"/>
  <c r="U52" i="10"/>
  <c r="AC52" i="10" s="1"/>
  <c r="U57" i="10"/>
  <c r="AC57" i="10" s="1"/>
  <c r="Y65" i="10"/>
  <c r="Y82" i="10"/>
  <c r="S47" i="10"/>
  <c r="U47" i="10" s="1"/>
  <c r="AC47" i="10" s="1"/>
  <c r="T50" i="10"/>
  <c r="U50" i="10" s="1"/>
  <c r="AC50" i="10" s="1"/>
  <c r="T51" i="10"/>
  <c r="U51" i="10" s="1"/>
  <c r="Y63" i="10"/>
  <c r="Y70" i="10"/>
  <c r="Y74" i="10"/>
  <c r="Y78" i="10"/>
  <c r="T54" i="10"/>
  <c r="U54" i="10" s="1"/>
  <c r="AC54" i="10" s="1"/>
  <c r="Y61" i="10"/>
  <c r="T68" i="10"/>
  <c r="U68" i="10" s="1"/>
  <c r="U71" i="10"/>
  <c r="AC71" i="10" s="1"/>
  <c r="S73" i="10"/>
  <c r="U73" i="10" s="1"/>
  <c r="AC73" i="10" s="1"/>
  <c r="T76" i="10"/>
  <c r="U76" i="10" s="1"/>
  <c r="U79" i="10"/>
  <c r="AC79" i="10" s="1"/>
  <c r="S81" i="10"/>
  <c r="U81" i="10" s="1"/>
  <c r="AC81" i="10" s="1"/>
  <c r="T84" i="10"/>
  <c r="U84" i="10" s="1"/>
  <c r="AC84" i="10" s="1"/>
  <c r="S56" i="10"/>
  <c r="U56" i="10" s="1"/>
  <c r="AC56" i="10" s="1"/>
  <c r="S58" i="10"/>
  <c r="U58" i="10" s="1"/>
  <c r="AC58" i="10" s="1"/>
  <c r="S60" i="10"/>
  <c r="U60" i="10" s="1"/>
  <c r="AC60" i="10" s="1"/>
  <c r="S62" i="10"/>
  <c r="U62" i="10" s="1"/>
  <c r="AC62" i="10" s="1"/>
  <c r="S64" i="10"/>
  <c r="U64" i="10" s="1"/>
  <c r="AC64" i="10" s="1"/>
  <c r="S83" i="10"/>
  <c r="U83" i="10" s="1"/>
  <c r="AC83" i="10" s="1"/>
  <c r="T72" i="10"/>
  <c r="U72" i="10" s="1"/>
  <c r="AC72" i="10" s="1"/>
  <c r="T80" i="10"/>
  <c r="U80" i="10" s="1"/>
  <c r="T88" i="10"/>
  <c r="U88" i="10" s="1"/>
  <c r="AC88" i="10" s="1"/>
  <c r="S89" i="10"/>
  <c r="U89" i="10" s="1"/>
  <c r="AC89" i="10" s="1"/>
  <c r="U69" i="10"/>
  <c r="AC69" i="10" s="1"/>
  <c r="U77" i="10"/>
  <c r="AC77" i="10" s="1"/>
  <c r="U85" i="10"/>
  <c r="AC85" i="10" s="1"/>
  <c r="S90" i="10"/>
  <c r="U90" i="10" s="1"/>
  <c r="T7" i="10"/>
  <c r="R7" i="10"/>
  <c r="S7" i="10" s="1"/>
  <c r="P7" i="10"/>
  <c r="Q7" i="10" s="1"/>
  <c r="Y144" i="13" l="1"/>
  <c r="AC144" i="13"/>
  <c r="AC225" i="13"/>
  <c r="Y225" i="13"/>
  <c r="AC140" i="13"/>
  <c r="Y140" i="13"/>
  <c r="Y122" i="13"/>
  <c r="AC122" i="13"/>
  <c r="AC134" i="13"/>
  <c r="Y134" i="13"/>
  <c r="AC222" i="13"/>
  <c r="Y222" i="13"/>
  <c r="AC233" i="13"/>
  <c r="Y233" i="13"/>
  <c r="AC214" i="13"/>
  <c r="Y214" i="13"/>
  <c r="AC212" i="13"/>
  <c r="Y212" i="13"/>
  <c r="Y198" i="13"/>
  <c r="AC198" i="13"/>
  <c r="AC145" i="13"/>
  <c r="Y145" i="13"/>
  <c r="Y208" i="13"/>
  <c r="AC208" i="13"/>
  <c r="AC128" i="13"/>
  <c r="Y128" i="13"/>
  <c r="AC142" i="13"/>
  <c r="Y142" i="13"/>
  <c r="AC229" i="13"/>
  <c r="Y229" i="13"/>
  <c r="Y206" i="13"/>
  <c r="AC206" i="13"/>
  <c r="Y106" i="13"/>
  <c r="AC106" i="13"/>
  <c r="AC221" i="13"/>
  <c r="Y221" i="13"/>
  <c r="AC119" i="13"/>
  <c r="Y119" i="13"/>
  <c r="Y167" i="13"/>
  <c r="AC167" i="13"/>
  <c r="AC136" i="13"/>
  <c r="Y136" i="13"/>
  <c r="AC164" i="13"/>
  <c r="Y164" i="13"/>
  <c r="AC230" i="13"/>
  <c r="Y230" i="13"/>
  <c r="AC217" i="13"/>
  <c r="Y217" i="13"/>
  <c r="Y210" i="13"/>
  <c r="AC210" i="13"/>
  <c r="AC126" i="13"/>
  <c r="Y126" i="13"/>
  <c r="AC132" i="13"/>
  <c r="Y132" i="13"/>
  <c r="Y204" i="13"/>
  <c r="AC204" i="13"/>
  <c r="AC59" i="10"/>
  <c r="Y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X81" i="10"/>
  <c r="Y81" i="10" s="1"/>
  <c r="X87" i="10"/>
  <c r="X45" i="10"/>
  <c r="X43" i="10"/>
  <c r="AC66" i="10"/>
  <c r="Y37" i="10"/>
  <c r="Y83" i="10"/>
  <c r="Y45" i="10"/>
  <c r="X62" i="10"/>
  <c r="Y62" i="10" s="1"/>
  <c r="X58" i="10"/>
  <c r="Y58" i="10" s="1"/>
  <c r="X35" i="10"/>
  <c r="Y35" i="10" s="1"/>
  <c r="X37" i="10"/>
  <c r="Y36" i="10"/>
  <c r="Y88" i="10"/>
  <c r="Y51" i="10"/>
  <c r="Y49" i="10"/>
  <c r="Y34" i="10"/>
  <c r="Y43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87" i="10"/>
  <c r="Y76" i="10"/>
  <c r="Y57" i="10"/>
  <c r="Y42" i="10"/>
  <c r="X64" i="10"/>
  <c r="Y64" i="10" s="1"/>
  <c r="X60" i="10"/>
  <c r="Y60" i="10" s="1"/>
  <c r="X56" i="10"/>
  <c r="Y56" i="10" s="1"/>
  <c r="U7" i="10"/>
  <c r="P26" i="10"/>
  <c r="R39" i="13" l="1"/>
  <c r="S39" i="13" s="1"/>
  <c r="P39" i="13"/>
  <c r="Q39" i="13" s="1"/>
  <c r="R38" i="13"/>
  <c r="T38" i="13" s="1"/>
  <c r="P38" i="13"/>
  <c r="Q38" i="13" s="1"/>
  <c r="R37" i="13"/>
  <c r="S37" i="13" s="1"/>
  <c r="P37" i="13"/>
  <c r="Q37" i="13" s="1"/>
  <c r="T36" i="13"/>
  <c r="S36" i="13"/>
  <c r="R36" i="13"/>
  <c r="P36" i="13"/>
  <c r="Q36" i="13" s="1"/>
  <c r="R35" i="13"/>
  <c r="Q35" i="13"/>
  <c r="P35" i="13"/>
  <c r="R34" i="13"/>
  <c r="S34" i="13" s="1"/>
  <c r="P34" i="13"/>
  <c r="Q34" i="13" s="1"/>
  <c r="R33" i="13"/>
  <c r="S33" i="13" s="1"/>
  <c r="P33" i="13"/>
  <c r="Q33" i="13" s="1"/>
  <c r="R32" i="13"/>
  <c r="P32" i="13"/>
  <c r="Q32" i="13" s="1"/>
  <c r="R31" i="13"/>
  <c r="S31" i="13" s="1"/>
  <c r="P31" i="13"/>
  <c r="Q31" i="13" s="1"/>
  <c r="R30" i="13"/>
  <c r="T30" i="13" s="1"/>
  <c r="P30" i="13"/>
  <c r="Q30" i="13" s="1"/>
  <c r="R29" i="13"/>
  <c r="S29" i="13" s="1"/>
  <c r="P29" i="13"/>
  <c r="Q29" i="13" s="1"/>
  <c r="R28" i="13"/>
  <c r="S28" i="13" s="1"/>
  <c r="P28" i="13"/>
  <c r="Q28" i="13" s="1"/>
  <c r="R27" i="13"/>
  <c r="P27" i="13"/>
  <c r="Q27" i="13" s="1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R23" i="13"/>
  <c r="S23" i="13" s="1"/>
  <c r="P23" i="13"/>
  <c r="Q23" i="13" s="1"/>
  <c r="R22" i="13"/>
  <c r="P22" i="13"/>
  <c r="Q22" i="13" s="1"/>
  <c r="R21" i="13"/>
  <c r="S21" i="13" s="1"/>
  <c r="Q21" i="13"/>
  <c r="P21" i="13"/>
  <c r="R20" i="13"/>
  <c r="S20" i="13" s="1"/>
  <c r="P20" i="13"/>
  <c r="Q20" i="13" s="1"/>
  <c r="R19" i="13"/>
  <c r="P19" i="13"/>
  <c r="Q19" i="13" s="1"/>
  <c r="R18" i="13"/>
  <c r="S18" i="13" s="1"/>
  <c r="P18" i="13"/>
  <c r="Q18" i="13" s="1"/>
  <c r="R17" i="13"/>
  <c r="S17" i="13" s="1"/>
  <c r="P17" i="13"/>
  <c r="Q17" i="13" s="1"/>
  <c r="R16" i="13"/>
  <c r="P16" i="13"/>
  <c r="Q16" i="13" s="1"/>
  <c r="R15" i="13"/>
  <c r="P15" i="13"/>
  <c r="Q15" i="13" s="1"/>
  <c r="T14" i="13"/>
  <c r="R14" i="13"/>
  <c r="S14" i="13" s="1"/>
  <c r="P14" i="13"/>
  <c r="Q14" i="13" s="1"/>
  <c r="R13" i="13"/>
  <c r="P13" i="13"/>
  <c r="Q13" i="13" s="1"/>
  <c r="R12" i="13"/>
  <c r="T12" i="13" s="1"/>
  <c r="P12" i="13"/>
  <c r="Q12" i="13" s="1"/>
  <c r="R11" i="13"/>
  <c r="P11" i="13"/>
  <c r="Q11" i="13" s="1"/>
  <c r="R10" i="13"/>
  <c r="S10" i="13" s="1"/>
  <c r="P10" i="13"/>
  <c r="Q10" i="13" s="1"/>
  <c r="R9" i="13"/>
  <c r="P9" i="13"/>
  <c r="Q9" i="13" s="1"/>
  <c r="R8" i="13"/>
  <c r="T8" i="13" s="1"/>
  <c r="P8" i="13"/>
  <c r="Q8" i="13" s="1"/>
  <c r="R7" i="13"/>
  <c r="S7" i="13" s="1"/>
  <c r="Q7" i="13"/>
  <c r="P7" i="13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4" i="10"/>
  <c r="V23" i="10"/>
  <c r="Z20" i="10"/>
  <c r="Z5" i="10"/>
  <c r="Z25" i="10"/>
  <c r="Z12" i="10"/>
  <c r="Z30" i="10"/>
  <c r="Z9" i="10"/>
  <c r="V32" i="10"/>
  <c r="V15" i="10"/>
  <c r="Z8" i="10"/>
  <c r="Z18" i="10"/>
  <c r="Z28" i="10"/>
  <c r="V25" i="10"/>
  <c r="Z16" i="10"/>
  <c r="V18" i="10"/>
  <c r="V8" i="10"/>
  <c r="Z14" i="10"/>
  <c r="V10" i="10"/>
  <c r="V6" i="10"/>
  <c r="Z21" i="10"/>
  <c r="Z27" i="10"/>
  <c r="V20" i="10"/>
  <c r="V5" i="10"/>
  <c r="Z15" i="10"/>
  <c r="Z6" i="10"/>
  <c r="Z23" i="10"/>
  <c r="Z29" i="10"/>
  <c r="V21" i="10"/>
  <c r="V16" i="10"/>
  <c r="Z4" i="10"/>
  <c r="V7" i="10"/>
  <c r="Z13" i="10"/>
  <c r="V13" i="10"/>
  <c r="Z19" i="10"/>
  <c r="Z22" i="10"/>
  <c r="V30" i="10"/>
  <c r="V24" i="10"/>
  <c r="Z31" i="10"/>
  <c r="Z32" i="10"/>
  <c r="V31" i="10"/>
  <c r="Z10" i="10"/>
  <c r="V14" i="10"/>
  <c r="V9" i="10"/>
  <c r="V28" i="10"/>
  <c r="Z24" i="10"/>
  <c r="V29" i="10"/>
  <c r="V27" i="10"/>
  <c r="Z11" i="10"/>
  <c r="V11" i="10"/>
  <c r="V19" i="10"/>
  <c r="Z7" i="10"/>
  <c r="V17" i="10"/>
  <c r="Z17" i="10"/>
  <c r="V12" i="10"/>
  <c r="V22" i="10"/>
  <c r="V25" i="13"/>
  <c r="V31" i="13"/>
  <c r="V9" i="13"/>
  <c r="V24" i="13"/>
  <c r="Z32" i="13"/>
  <c r="Z38" i="13"/>
  <c r="Z15" i="13"/>
  <c r="V34" i="13"/>
  <c r="Z18" i="13"/>
  <c r="Z14" i="13"/>
  <c r="V20" i="13"/>
  <c r="Z23" i="13"/>
  <c r="Z7" i="13"/>
  <c r="Z27" i="13"/>
  <c r="Z33" i="13"/>
  <c r="Z11" i="13"/>
  <c r="Z28" i="13"/>
  <c r="Z36" i="13"/>
  <c r="V18" i="13"/>
  <c r="V27" i="13"/>
  <c r="Z9" i="13"/>
  <c r="V28" i="13"/>
  <c r="Z35" i="13"/>
  <c r="Z6" i="13"/>
  <c r="V17" i="13"/>
  <c r="V23" i="13"/>
  <c r="Z34" i="13"/>
  <c r="V13" i="13"/>
  <c r="Z24" i="13"/>
  <c r="Z30" i="13"/>
  <c r="Z8" i="13"/>
  <c r="Z21" i="13"/>
  <c r="V38" i="13"/>
  <c r="Z10" i="13"/>
  <c r="V29" i="13"/>
  <c r="V7" i="13"/>
  <c r="Z29" i="13"/>
  <c r="Z19" i="13"/>
  <c r="Z25" i="13"/>
  <c r="Z37" i="13"/>
  <c r="V15" i="13"/>
  <c r="V39" i="13"/>
  <c r="V37" i="13"/>
  <c r="V35" i="13"/>
  <c r="V22" i="13"/>
  <c r="V19" i="13"/>
  <c r="Z26" i="13"/>
  <c r="Z12" i="13"/>
  <c r="Z39" i="13"/>
  <c r="V16" i="13"/>
  <c r="V21" i="13"/>
  <c r="Z16" i="13"/>
  <c r="Z22" i="13"/>
  <c r="V26" i="13"/>
  <c r="V11" i="13"/>
  <c r="V30" i="13"/>
  <c r="V36" i="13"/>
  <c r="Z13" i="13"/>
  <c r="Z31" i="13"/>
  <c r="Z5" i="13"/>
  <c r="V14" i="13"/>
  <c r="Z17" i="13"/>
  <c r="Z20" i="13"/>
  <c r="V5" i="13"/>
  <c r="V33" i="13"/>
  <c r="V12" i="13"/>
  <c r="V32" i="13"/>
  <c r="V6" i="13"/>
  <c r="V10" i="13"/>
  <c r="V8" i="13"/>
  <c r="S12" i="13" l="1"/>
  <c r="U12" i="13" s="1"/>
  <c r="T26" i="13"/>
  <c r="T18" i="13"/>
  <c r="U18" i="13" s="1"/>
  <c r="T23" i="13"/>
  <c r="U23" i="13" s="1"/>
  <c r="T28" i="13"/>
  <c r="U14" i="13"/>
  <c r="T17" i="13"/>
  <c r="U17" i="13" s="1"/>
  <c r="T7" i="13"/>
  <c r="U7" i="13" s="1"/>
  <c r="T10" i="13"/>
  <c r="T20" i="13"/>
  <c r="U20" i="13" s="1"/>
  <c r="T21" i="13"/>
  <c r="U21" i="13" s="1"/>
  <c r="T29" i="13"/>
  <c r="U29" i="13" s="1"/>
  <c r="S30" i="13"/>
  <c r="T33" i="13"/>
  <c r="U33" i="13" s="1"/>
  <c r="S38" i="13"/>
  <c r="U36" i="13"/>
  <c r="S8" i="13"/>
  <c r="U8" i="13" s="1"/>
  <c r="T31" i="13"/>
  <c r="U31" i="13" s="1"/>
  <c r="T34" i="13"/>
  <c r="U34" i="13" s="1"/>
  <c r="T39" i="13"/>
  <c r="U39" i="13" s="1"/>
  <c r="S15" i="10"/>
  <c r="S22" i="10"/>
  <c r="T18" i="10"/>
  <c r="U18" i="10" s="1"/>
  <c r="T25" i="10"/>
  <c r="U25" i="10" s="1"/>
  <c r="S31" i="10"/>
  <c r="U31" i="10" s="1"/>
  <c r="T9" i="10"/>
  <c r="S8" i="10"/>
  <c r="U8" i="10" s="1"/>
  <c r="S19" i="10"/>
  <c r="U19" i="10" s="1"/>
  <c r="S23" i="10"/>
  <c r="U23" i="10" s="1"/>
  <c r="T5" i="10"/>
  <c r="U5" i="10" s="1"/>
  <c r="U15" i="10"/>
  <c r="AC15" i="10" s="1"/>
  <c r="S21" i="10"/>
  <c r="U21" i="10" s="1"/>
  <c r="S30" i="10"/>
  <c r="U30" i="10" s="1"/>
  <c r="T28" i="10"/>
  <c r="U28" i="10" s="1"/>
  <c r="S32" i="10"/>
  <c r="U32" i="10" s="1"/>
  <c r="AC32" i="10" s="1"/>
  <c r="U22" i="10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W32" i="13"/>
  <c r="X32" i="13" s="1"/>
  <c r="W21" i="13"/>
  <c r="X21" i="13" s="1"/>
  <c r="W5" i="13"/>
  <c r="X5" i="13" s="1"/>
  <c r="AA7" i="13"/>
  <c r="AB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AA9" i="13"/>
  <c r="AB9" i="13" s="1"/>
  <c r="W16" i="13"/>
  <c r="X16" i="13" s="1"/>
  <c r="AA20" i="13"/>
  <c r="AB20" i="13" s="1"/>
  <c r="AA23" i="13"/>
  <c r="AB23" i="13" s="1"/>
  <c r="W26" i="13"/>
  <c r="X26" i="13" s="1"/>
  <c r="AA34" i="13"/>
  <c r="AB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Y18" i="13" s="1"/>
  <c r="AA26" i="13"/>
  <c r="AB26" i="13" s="1"/>
  <c r="W29" i="13"/>
  <c r="X29" i="13" s="1"/>
  <c r="W35" i="13"/>
  <c r="X35" i="13" s="1"/>
  <c r="AA39" i="13"/>
  <c r="AB39" i="13" s="1"/>
  <c r="AA17" i="13"/>
  <c r="AB17" i="13" s="1"/>
  <c r="W20" i="13"/>
  <c r="X20" i="13" s="1"/>
  <c r="Y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Y31" i="13" s="1"/>
  <c r="AA33" i="13"/>
  <c r="AB33" i="13" s="1"/>
  <c r="W36" i="13"/>
  <c r="X36" i="13" s="1"/>
  <c r="Y36" i="13" s="1"/>
  <c r="AA38" i="13"/>
  <c r="AB38" i="13" s="1"/>
  <c r="W39" i="13"/>
  <c r="X39" i="13" s="1"/>
  <c r="Y39" i="13" s="1"/>
  <c r="W10" i="13"/>
  <c r="X10" i="13" s="1"/>
  <c r="AA10" i="13"/>
  <c r="AB10" i="13" s="1"/>
  <c r="W12" i="13"/>
  <c r="X12" i="13" s="1"/>
  <c r="AA12" i="13"/>
  <c r="AB12" i="13" s="1"/>
  <c r="W14" i="13"/>
  <c r="X14" i="13" s="1"/>
  <c r="AA14" i="13"/>
  <c r="AB14" i="13" s="1"/>
  <c r="AC14" i="13" s="1"/>
  <c r="AA16" i="13"/>
  <c r="AB16" i="13" s="1"/>
  <c r="W17" i="13"/>
  <c r="X17" i="13" s="1"/>
  <c r="Y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Y33" i="13" s="1"/>
  <c r="AA35" i="13"/>
  <c r="AB35" i="13" s="1"/>
  <c r="W38" i="13"/>
  <c r="X38" i="13" s="1"/>
  <c r="S19" i="13"/>
  <c r="T19" i="13"/>
  <c r="T12" i="10"/>
  <c r="S12" i="10"/>
  <c r="U9" i="10"/>
  <c r="AC7" i="13"/>
  <c r="S9" i="13"/>
  <c r="T9" i="13"/>
  <c r="AC17" i="13"/>
  <c r="AC20" i="13"/>
  <c r="T22" i="13"/>
  <c r="S22" i="13"/>
  <c r="S4" i="10"/>
  <c r="T4" i="10"/>
  <c r="AC31" i="13"/>
  <c r="T14" i="10"/>
  <c r="S14" i="10"/>
  <c r="Y7" i="13"/>
  <c r="U10" i="13"/>
  <c r="Y14" i="13"/>
  <c r="AC23" i="13"/>
  <c r="T24" i="13"/>
  <c r="S24" i="13"/>
  <c r="T10" i="10"/>
  <c r="S10" i="10"/>
  <c r="T6" i="13"/>
  <c r="S6" i="13"/>
  <c r="AC33" i="13"/>
  <c r="Y34" i="13"/>
  <c r="AC39" i="13"/>
  <c r="T16" i="13"/>
  <c r="S16" i="13"/>
  <c r="U26" i="13"/>
  <c r="U38" i="13"/>
  <c r="AC18" i="13"/>
  <c r="Y29" i="13"/>
  <c r="AC29" i="13"/>
  <c r="S35" i="13"/>
  <c r="T35" i="13"/>
  <c r="AC36" i="13"/>
  <c r="S24" i="10"/>
  <c r="U24" i="10" s="1"/>
  <c r="AC24" i="10" s="1"/>
  <c r="T13" i="10"/>
  <c r="U13" i="10" s="1"/>
  <c r="T5" i="13"/>
  <c r="U5" i="13" s="1"/>
  <c r="T11" i="13"/>
  <c r="S11" i="13"/>
  <c r="T13" i="13"/>
  <c r="S13" i="13"/>
  <c r="T15" i="13"/>
  <c r="S15" i="13"/>
  <c r="Y21" i="13"/>
  <c r="AC21" i="13"/>
  <c r="T25" i="13"/>
  <c r="U25" i="13" s="1"/>
  <c r="S27" i="13"/>
  <c r="T27" i="13"/>
  <c r="U28" i="13"/>
  <c r="U30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W9" i="10"/>
  <c r="X9" i="10" s="1"/>
  <c r="Y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P4" i="13"/>
  <c r="AC12" i="13" l="1"/>
  <c r="AC34" i="13"/>
  <c r="U27" i="13"/>
  <c r="Y27" i="13" s="1"/>
  <c r="U13" i="13"/>
  <c r="Y13" i="13" s="1"/>
  <c r="Y12" i="13"/>
  <c r="AC8" i="10"/>
  <c r="X32" i="10"/>
  <c r="X8" i="10"/>
  <c r="AC28" i="10"/>
  <c r="AC5" i="10"/>
  <c r="AC18" i="10"/>
  <c r="AC6" i="10"/>
  <c r="AC30" i="10"/>
  <c r="AC23" i="10"/>
  <c r="AC31" i="10"/>
  <c r="X24" i="10"/>
  <c r="AC13" i="10"/>
  <c r="AC9" i="10"/>
  <c r="AC22" i="10"/>
  <c r="AC21" i="10"/>
  <c r="AC19" i="10"/>
  <c r="AC25" i="10"/>
  <c r="Y15" i="10"/>
  <c r="X10" i="10"/>
  <c r="AC8" i="13"/>
  <c r="Y8" i="13"/>
  <c r="U22" i="13"/>
  <c r="U9" i="13"/>
  <c r="Y9" i="13" s="1"/>
  <c r="Y19" i="10"/>
  <c r="Y22" i="10"/>
  <c r="X30" i="10"/>
  <c r="Y30" i="10" s="1"/>
  <c r="X14" i="10"/>
  <c r="Y23" i="10"/>
  <c r="Y13" i="10"/>
  <c r="Y32" i="10"/>
  <c r="U12" i="10"/>
  <c r="AC12" i="10" s="1"/>
  <c r="X21" i="10"/>
  <c r="Y21" i="10" s="1"/>
  <c r="Y31" i="10"/>
  <c r="Y6" i="10"/>
  <c r="U10" i="10"/>
  <c r="U16" i="10"/>
  <c r="AC16" i="10" s="1"/>
  <c r="Y24" i="10"/>
  <c r="Y25" i="10"/>
  <c r="X4" i="10"/>
  <c r="U32" i="13"/>
  <c r="U16" i="13"/>
  <c r="U6" i="13"/>
  <c r="U24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AC22" i="13"/>
  <c r="Y22" i="13"/>
  <c r="Y18" i="10"/>
  <c r="Y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AG3" i="13"/>
  <c r="Z4" i="13"/>
  <c r="V4" i="13"/>
  <c r="AC13" i="13" l="1"/>
  <c r="AC27" i="13"/>
  <c r="AC9" i="13"/>
  <c r="Y10" i="10"/>
  <c r="AC10" i="10"/>
  <c r="Y16" i="10"/>
  <c r="Y14" i="10"/>
  <c r="T4" i="13"/>
  <c r="U4" i="13" s="1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W4" i="13"/>
  <c r="X4" i="13" s="1"/>
  <c r="AA4" i="13"/>
  <c r="AB4" i="13" s="1"/>
  <c r="R26" i="10"/>
  <c r="T26" i="10" s="1"/>
  <c r="Y4" i="13" l="1"/>
  <c r="AC4" i="13"/>
  <c r="S26" i="10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AG3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Z26" i="10"/>
  <c r="V26" i="10"/>
  <c r="AA26" i="10" l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AB26" i="10"/>
  <c r="AC26" i="10" s="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9" i="7"/>
  <c r="S51" i="7"/>
  <c r="W68" i="7"/>
  <c r="S29" i="7"/>
  <c r="W41" i="7"/>
  <c r="S4" i="7"/>
  <c r="W73" i="7"/>
  <c r="S36" i="7"/>
  <c r="S19" i="7"/>
  <c r="S18" i="7"/>
  <c r="W62" i="7"/>
  <c r="W37" i="7"/>
  <c r="S12" i="7"/>
  <c r="W49" i="7"/>
  <c r="W5" i="7"/>
  <c r="W19" i="7"/>
  <c r="W28" i="7"/>
  <c r="W39" i="7"/>
  <c r="S24" i="7"/>
  <c r="S27" i="7"/>
  <c r="W16" i="7"/>
  <c r="S40" i="7"/>
  <c r="S69" i="7"/>
  <c r="W46" i="7"/>
  <c r="S37" i="7"/>
  <c r="S42" i="7"/>
  <c r="W4" i="7"/>
  <c r="W13" i="7"/>
  <c r="W57" i="7"/>
  <c r="S45" i="7"/>
  <c r="W51" i="7"/>
  <c r="W58" i="7"/>
  <c r="S22" i="7"/>
  <c r="S13" i="7"/>
  <c r="S62" i="7"/>
  <c r="S20" i="7"/>
  <c r="W55" i="7"/>
  <c r="W72" i="7"/>
  <c r="W27" i="7"/>
  <c r="S70" i="7"/>
  <c r="W24" i="7"/>
  <c r="S64" i="7"/>
  <c r="S50" i="7"/>
  <c r="S9" i="7"/>
  <c r="W77" i="7"/>
  <c r="S32" i="7"/>
  <c r="S34" i="7"/>
  <c r="S68" i="7"/>
  <c r="S71" i="7"/>
  <c r="S72" i="7"/>
  <c r="S54" i="7"/>
  <c r="W26" i="7"/>
  <c r="W45" i="7"/>
  <c r="W65" i="7"/>
  <c r="S77" i="7"/>
  <c r="S63" i="7"/>
  <c r="S15" i="7"/>
  <c r="S5" i="7"/>
  <c r="W35" i="7"/>
  <c r="S31" i="7"/>
  <c r="W14" i="7"/>
  <c r="S21" i="7"/>
  <c r="W40" i="7"/>
  <c r="W36" i="7"/>
  <c r="W25" i="7"/>
  <c r="S23" i="7"/>
  <c r="W59" i="7"/>
  <c r="S14" i="7"/>
  <c r="S73" i="7"/>
  <c r="W61" i="7"/>
  <c r="W70" i="7"/>
  <c r="W11" i="7"/>
  <c r="W30" i="7"/>
  <c r="S49" i="7"/>
  <c r="W6" i="7"/>
  <c r="S30" i="7"/>
  <c r="W69" i="7"/>
  <c r="W17" i="7"/>
  <c r="W60" i="7"/>
  <c r="S61" i="7"/>
  <c r="S60" i="7"/>
  <c r="S7" i="7"/>
  <c r="W20" i="7"/>
  <c r="S56" i="7"/>
  <c r="W18" i="7"/>
  <c r="W9" i="7"/>
  <c r="S26" i="7"/>
  <c r="S8" i="7"/>
  <c r="S55" i="7"/>
  <c r="S57" i="7"/>
  <c r="W10" i="7"/>
  <c r="W34" i="7"/>
  <c r="S33" i="7"/>
  <c r="S65" i="7"/>
  <c r="W31" i="7"/>
  <c r="S41" i="7"/>
  <c r="W66" i="7"/>
  <c r="S66" i="7"/>
  <c r="S59" i="7"/>
  <c r="W23" i="7"/>
  <c r="W7" i="7"/>
  <c r="W63" i="7"/>
  <c r="S58" i="7"/>
  <c r="W12" i="7"/>
  <c r="S35" i="7"/>
  <c r="W71" i="7"/>
  <c r="W54" i="7"/>
  <c r="S17" i="7"/>
  <c r="W21" i="7"/>
  <c r="S11" i="7"/>
  <c r="W32" i="7"/>
  <c r="S28" i="7"/>
  <c r="W8" i="7"/>
  <c r="S10" i="7"/>
  <c r="S6" i="7"/>
  <c r="W53" i="7"/>
  <c r="S53" i="7"/>
  <c r="S38" i="7"/>
  <c r="W47" i="7"/>
  <c r="S25" i="7"/>
  <c r="W33" i="7"/>
  <c r="S16" i="7"/>
  <c r="R59" i="7" l="1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W75" i="7"/>
  <c r="S52" i="7"/>
  <c r="S74" i="7"/>
  <c r="S46" i="7"/>
  <c r="S48" i="7"/>
  <c r="S76" i="7"/>
  <c r="W76" i="7"/>
  <c r="W48" i="7"/>
  <c r="T46" i="7" l="1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B3" i="9"/>
  <c r="R82" i="9"/>
  <c r="W64" i="7"/>
  <c r="S39" i="7"/>
  <c r="W42" i="7"/>
  <c r="S43" i="7"/>
  <c r="W22" i="7"/>
  <c r="W43" i="7"/>
  <c r="W50" i="7"/>
  <c r="W44" i="7"/>
  <c r="S44" i="7"/>
  <c r="W67" i="7"/>
  <c r="W15" i="7"/>
  <c r="S67" i="7"/>
  <c r="W38" i="7"/>
  <c r="W74" i="7"/>
  <c r="W52" i="7"/>
  <c r="S75" i="7"/>
  <c r="S47" i="7"/>
  <c r="S82" i="9" l="1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S94" i="9" l="1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S43" i="9" l="1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T24" i="9" l="1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D3" i="7" l="1"/>
  <c r="B3" i="5"/>
</calcChain>
</file>

<file path=xl/sharedStrings.xml><?xml version="1.0" encoding="utf-8"?>
<sst xmlns="http://schemas.openxmlformats.org/spreadsheetml/2006/main" count="2597" uniqueCount="1892">
  <si>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</si>
  <si>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</si>
  <si>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</si>
  <si>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</si>
  <si>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</si>
  <si>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</si>
  <si>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</si>
  <si>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</si>
  <si>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</si>
  <si>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</si>
  <si>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</si>
  <si>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</si>
  <si>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</si>
  <si>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</si>
  <si>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</si>
  <si>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</si>
  <si>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</si>
  <si>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</si>
  <si>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</si>
  <si>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</si>
  <si>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</si>
  <si>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</si>
  <si>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</si>
  <si>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</si>
  <si>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</si>
  <si>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</si>
  <si>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</si>
  <si>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</si>
  <si>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</si>
  <si>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</si>
  <si>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</si>
  <si>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</si>
  <si>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</si>
  <si>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</si>
  <si>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</si>
  <si>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</si>
  <si>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</si>
  <si>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</si>
  <si>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</si>
  <si>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</si>
  <si>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</si>
  <si>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</si>
  <si>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</si>
  <si>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</si>
  <si>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</si>
  <si>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</si>
  <si>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</si>
  <si>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</si>
  <si>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</si>
  <si>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</si>
  <si>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</si>
  <si>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</si>
  <si>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</si>
  <si>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</si>
  <si>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</si>
  <si>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</si>
  <si>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</si>
  <si>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</si>
  <si>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</si>
  <si>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</si>
  <si>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</si>
  <si>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</si>
  <si>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</si>
  <si>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</si>
  <si>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</si>
  <si>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</si>
  <si>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</si>
  <si>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</si>
  <si>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</si>
  <si>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</si>
  <si>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</si>
  <si>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</si>
  <si>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</si>
  <si>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</si>
  <si>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</si>
  <si>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</si>
  <si>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</si>
  <si>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</si>
  <si>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</si>
  <si>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</si>
  <si>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</si>
  <si>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</si>
  <si>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</si>
  <si>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</si>
  <si>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</si>
  <si>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</si>
  <si>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</si>
  <si>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</si>
  <si>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</si>
  <si>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</si>
  <si>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</si>
  <si>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</si>
  <si>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</si>
  <si>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</si>
  <si>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</si>
  <si>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</si>
  <si>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</si>
  <si>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</si>
  <si>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</si>
  <si>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</si>
  <si>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</si>
  <si>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</si>
  <si>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</si>
  <si>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</si>
  <si>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</si>
  <si>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</si>
  <si>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</si>
  <si>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</si>
  <si>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</si>
  <si>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</si>
  <si>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</si>
  <si>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</si>
  <si>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</si>
  <si>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</si>
  <si>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</si>
  <si>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</si>
  <si>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</si>
  <si>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</si>
  <si>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</si>
  <si>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</si>
  <si>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</si>
  <si>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</si>
  <si>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</si>
  <si>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</si>
  <si>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</si>
  <si>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</si>
  <si>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</si>
  <si>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</si>
  <si>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</si>
  <si>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</si>
  <si>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</si>
  <si>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</si>
  <si>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</si>
  <si>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</si>
  <si>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</si>
  <si>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</si>
  <si>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</si>
  <si>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</si>
  <si>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</si>
  <si>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</si>
  <si>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</si>
  <si>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</si>
  <si>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</si>
  <si>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</si>
  <si>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</si>
  <si>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</si>
  <si>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</si>
  <si>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</si>
  <si>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</si>
  <si>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</si>
  <si>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</si>
  <si>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</si>
  <si>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</si>
  <si>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</si>
  <si>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</si>
  <si>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</si>
  <si>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</si>
  <si>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</si>
  <si>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</si>
  <si>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</si>
  <si>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</si>
  <si>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</si>
  <si>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</si>
  <si>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</si>
  <si>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</si>
  <si>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</si>
  <si>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</si>
  <si>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</si>
  <si>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</si>
  <si>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</si>
  <si>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</si>
  <si>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</si>
  <si>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</si>
  <si>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</si>
  <si>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</si>
  <si>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</si>
  <si>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</si>
  <si>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</si>
  <si>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</si>
  <si>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</si>
  <si>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</si>
  <si>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</si>
  <si>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</si>
  <si>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</si>
  <si>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</si>
  <si>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</si>
  <si>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</si>
  <si>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</si>
  <si>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</si>
  <si>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</si>
  <si>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</si>
  <si>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</si>
  <si>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</si>
  <si>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</si>
  <si>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</si>
  <si>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</si>
  <si>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</si>
  <si>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</si>
  <si>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</si>
  <si>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</si>
  <si>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</si>
  <si>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</si>
  <si>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</si>
  <si>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</si>
  <si>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</si>
  <si>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</si>
  <si>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</si>
  <si>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</si>
  <si>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</si>
  <si>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</si>
  <si>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</si>
  <si>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</si>
  <si>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</si>
  <si>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</si>
  <si>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</si>
  <si>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</si>
  <si>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</si>
  <si>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</si>
  <si>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</si>
  <si>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</si>
  <si>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</si>
  <si>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</si>
  <si>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</si>
  <si>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</si>
  <si>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</si>
  <si>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</si>
  <si>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</si>
  <si>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</si>
  <si>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</si>
  <si>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</si>
  <si>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</si>
  <si>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</si>
  <si>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</si>
  <si>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</si>
  <si>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</si>
  <si>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</si>
  <si>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</si>
  <si>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</si>
  <si>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</si>
  <si>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</si>
  <si>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</si>
  <si>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</si>
  <si>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</si>
  <si>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</si>
  <si>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</si>
  <si>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</si>
  <si>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</si>
  <si>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</si>
  <si>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</si>
  <si>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</si>
  <si>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</si>
  <si>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</si>
  <si>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</si>
  <si>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</si>
  <si>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</si>
  <si>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</si>
  <si>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</si>
  <si>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</si>
  <si>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</si>
  <si>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</si>
  <si>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</si>
  <si>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</si>
  <si>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</si>
  <si>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</si>
  <si>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</si>
  <si>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</si>
  <si>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</si>
  <si>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</si>
  <si>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</si>
  <si>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</si>
  <si>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</si>
  <si>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</si>
  <si>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</si>
  <si>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</si>
  <si>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</si>
  <si>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</si>
  <si>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</si>
  <si>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</si>
  <si>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</si>
  <si>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</si>
  <si>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</si>
  <si>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</si>
  <si>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</si>
  <si>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</si>
  <si>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</si>
  <si>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</si>
  <si>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</si>
  <si>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</si>
  <si>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</si>
  <si>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</si>
  <si>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</si>
  <si>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</si>
  <si>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</si>
  <si>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</si>
  <si>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</si>
  <si>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</si>
  <si>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</si>
  <si>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</si>
  <si>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</si>
  <si>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</si>
  <si>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</si>
  <si>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</si>
  <si>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</si>
  <si>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</si>
  <si>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</si>
  <si>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</si>
  <si>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</si>
  <si>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</si>
  <si>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</si>
  <si>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</si>
  <si>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</si>
  <si>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</si>
  <si>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</si>
  <si>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</si>
  <si>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</si>
  <si>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</si>
  <si>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</si>
  <si>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</si>
  <si>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</si>
  <si>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</si>
  <si>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</si>
  <si>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</si>
  <si>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</si>
  <si>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</si>
  <si>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</si>
  <si>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</si>
  <si>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</si>
  <si>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</si>
  <si>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</si>
  <si>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</si>
  <si>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</si>
  <si>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</si>
  <si>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</si>
  <si>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</si>
  <si>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</si>
  <si>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</si>
  <si>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</si>
  <si>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</si>
  <si>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</si>
  <si>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</si>
  <si>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</si>
  <si>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</si>
  <si>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</si>
  <si>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</si>
  <si>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</si>
  <si>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</si>
  <si>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</si>
  <si>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</si>
  <si>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</si>
  <si>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</si>
  <si>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</si>
  <si>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</si>
  <si>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</si>
  <si>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</si>
  <si>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</si>
  <si>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</si>
  <si>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</si>
  <si>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</si>
  <si>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</si>
  <si>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</si>
  <si>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</si>
  <si>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</si>
  <si>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</si>
  <si>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</si>
  <si>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</si>
  <si>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</si>
  <si>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</si>
  <si>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</si>
  <si>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</si>
  <si>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</si>
  <si>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</si>
  <si>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</si>
  <si>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</si>
  <si>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</si>
  <si>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</si>
  <si>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</si>
  <si>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</si>
  <si>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</si>
  <si>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</si>
  <si>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</si>
  <si>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</si>
  <si>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</si>
  <si>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</si>
  <si>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</si>
  <si>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</si>
  <si>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</si>
  <si>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</si>
  <si>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</si>
  <si>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</si>
  <si>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</si>
  <si>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</si>
  <si>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</si>
  <si>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</si>
  <si>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</si>
  <si>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</si>
  <si>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</si>
  <si>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</si>
  <si>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</si>
  <si>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</si>
  <si>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</si>
  <si>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</si>
  <si>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</si>
  <si>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</si>
  <si>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</si>
  <si>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</si>
  <si>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</si>
  <si>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</si>
  <si>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</si>
  <si>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</si>
  <si>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</si>
  <si>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</si>
  <si>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</si>
  <si>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</si>
  <si>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</si>
  <si>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</si>
  <si>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</si>
  <si>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</si>
  <si>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</si>
  <si>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</si>
  <si>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</si>
  <si>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</si>
  <si>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</si>
  <si>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</si>
  <si>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</si>
  <si>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</si>
  <si>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</si>
  <si>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</si>
  <si>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</si>
  <si>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</si>
  <si>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</si>
  <si>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</si>
  <si>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</si>
  <si>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</si>
  <si>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</si>
  <si>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</si>
  <si>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</si>
  <si>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</si>
  <si>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</si>
  <si>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</si>
  <si>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</si>
  <si>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</si>
  <si>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</si>
  <si>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</si>
  <si>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</si>
  <si>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</si>
  <si>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</si>
  <si>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</si>
  <si>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</si>
  <si>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</si>
  <si>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</si>
  <si>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</si>
  <si>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</si>
  <si>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</si>
  <si>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</si>
  <si>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</si>
  <si>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</si>
  <si>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</si>
  <si>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</si>
  <si>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</si>
  <si>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</si>
  <si>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</si>
  <si>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</si>
  <si>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</si>
  <si>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</si>
  <si>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</si>
  <si>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</si>
  <si>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</si>
  <si>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</si>
  <si>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</si>
  <si>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</si>
  <si>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</si>
  <si>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</si>
  <si>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</si>
  <si>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</si>
  <si>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</si>
  <si>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</si>
  <si>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</si>
  <si>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</si>
  <si>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</si>
  <si>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</si>
  <si>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</si>
  <si>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</si>
  <si>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</si>
  <si>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</si>
  <si>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</si>
  <si>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</si>
  <si>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</si>
  <si>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</si>
  <si>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</si>
  <si>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</si>
  <si>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</si>
  <si>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</si>
  <si>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</si>
  <si>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</si>
  <si>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</si>
  <si>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</si>
  <si>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</si>
  <si>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</si>
  <si>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</si>
  <si>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</si>
  <si>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</si>
  <si>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</si>
  <si>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</si>
  <si>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</si>
  <si>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</si>
  <si>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</si>
  <si>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</si>
  <si>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</si>
  <si>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</si>
  <si>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</si>
  <si>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</si>
  <si>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</si>
  <si>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</si>
  <si>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</si>
  <si>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</si>
  <si>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</si>
  <si>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</si>
  <si>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</si>
  <si>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</si>
  <si>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</si>
  <si>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</si>
  <si>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</si>
  <si>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</si>
  <si>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</si>
  <si>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</si>
  <si>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</si>
  <si>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</si>
  <si>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</si>
  <si>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</si>
  <si>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</si>
  <si>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</si>
  <si>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</si>
  <si>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</si>
  <si>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</si>
  <si>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</si>
  <si>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</si>
  <si>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</si>
  <si>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</si>
  <si>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</si>
  <si>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</si>
  <si>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</si>
  <si>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</si>
  <si>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</si>
  <si>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</si>
  <si>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</si>
  <si>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</si>
  <si>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</si>
  <si>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</si>
  <si>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</si>
  <si>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</si>
  <si>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</si>
  <si>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</si>
  <si>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</si>
  <si>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</si>
  <si>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</si>
  <si>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</si>
  <si>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</si>
  <si>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</si>
  <si>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</si>
  <si>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</si>
  <si>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</si>
  <si>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</si>
  <si>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</si>
  <si>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</si>
  <si>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</si>
  <si>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</si>
  <si>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</si>
  <si>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</si>
  <si>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</si>
  <si>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</si>
  <si>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</si>
  <si>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</si>
  <si>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</si>
  <si>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</si>
  <si>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</si>
  <si>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</si>
  <si>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</si>
  <si>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</si>
  <si>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</si>
  <si>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</si>
  <si>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</si>
  <si>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</si>
  <si>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</si>
  <si>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</si>
  <si>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</si>
  <si>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</si>
  <si>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</si>
  <si>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</si>
  <si>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</si>
  <si>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</si>
  <si>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</si>
  <si>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</si>
  <si>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</si>
  <si>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</si>
  <si>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</si>
  <si>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</si>
  <si>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</si>
  <si>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</si>
  <si>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</si>
  <si>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</si>
  <si>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</si>
  <si>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</si>
  <si>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</si>
  <si>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</si>
  <si>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</si>
  <si>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</si>
  <si>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</si>
  <si>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</si>
  <si>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</si>
  <si>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</si>
  <si>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</si>
  <si>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</si>
  <si>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</si>
  <si>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</si>
  <si>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</si>
  <si>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</si>
  <si>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</si>
  <si>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</si>
  <si>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</si>
  <si>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</si>
  <si>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</si>
  <si>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</si>
  <si>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</si>
  <si>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</si>
  <si>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</si>
  <si>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</si>
  <si>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</si>
  <si>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</si>
  <si>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</si>
  <si>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</si>
  <si>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</si>
  <si>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</si>
  <si>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</si>
  <si>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</si>
  <si>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</si>
  <si>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</si>
  <si>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</si>
  <si>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</si>
  <si>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</si>
  <si>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</si>
  <si>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</si>
  <si>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</si>
  <si>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</si>
  <si>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</si>
  <si>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</si>
  <si>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</si>
  <si>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</si>
  <si>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</si>
  <si>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</si>
  <si>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</si>
  <si>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</si>
  <si>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</si>
  <si>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</si>
  <si>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</si>
  <si>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</si>
  <si>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</si>
  <si>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</si>
  <si>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</si>
  <si>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</si>
  <si>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</si>
  <si>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</si>
  <si>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</si>
  <si>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</si>
  <si>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</si>
  <si>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</si>
  <si>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</si>
  <si>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</si>
  <si>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</si>
  <si>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</si>
  <si>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</si>
  <si>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</si>
  <si>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</si>
  <si>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</si>
  <si>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</si>
  <si>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</si>
  <si>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</si>
  <si>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</si>
  <si>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</si>
  <si>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</si>
  <si>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</si>
  <si>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</si>
  <si>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</si>
  <si>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</si>
  <si>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</si>
  <si>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</si>
  <si>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</si>
  <si>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</si>
  <si>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</si>
  <si>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</si>
  <si>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</si>
  <si>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</si>
  <si>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</si>
  <si>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</si>
  <si>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</si>
  <si>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</si>
  <si>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</si>
  <si>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</si>
  <si>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</si>
  <si>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</si>
  <si>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</si>
  <si>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</si>
  <si>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</si>
  <si>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</si>
  <si>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</si>
  <si>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</si>
  <si>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</si>
  <si>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</si>
  <si>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</si>
  <si>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</si>
  <si>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</si>
  <si>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</si>
  <si>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</si>
  <si>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</si>
  <si>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</si>
  <si>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</si>
  <si>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</si>
  <si>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</si>
  <si>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</si>
  <si>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</si>
  <si>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</si>
  <si>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</si>
  <si>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</si>
  <si>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</si>
  <si>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</si>
  <si>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</si>
  <si>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</si>
  <si>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</si>
  <si>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</si>
  <si>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</si>
  <si>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</si>
  <si>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</si>
  <si>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</si>
  <si>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</si>
  <si>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</si>
  <si>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</si>
  <si>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</si>
  <si>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</si>
  <si>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</si>
  <si>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</si>
  <si>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</si>
  <si>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</si>
  <si>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</si>
  <si>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</si>
  <si>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</si>
  <si>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</si>
  <si>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</si>
  <si>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</si>
  <si>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</si>
  <si>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</si>
  <si>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</si>
  <si>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</si>
  <si>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</si>
  <si>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</si>
  <si>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</si>
  <si>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</si>
  <si>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</si>
  <si>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</si>
  <si>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</si>
  <si>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</si>
  <si>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</si>
  <si>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</si>
  <si>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</si>
  <si>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</si>
  <si>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</si>
  <si>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</si>
  <si>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</si>
  <si>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</si>
  <si>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</si>
  <si>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</si>
  <si>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</si>
  <si>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</si>
  <si>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</si>
  <si>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</si>
  <si>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</si>
  <si>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</si>
  <si>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</si>
  <si>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</si>
  <si>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</si>
  <si>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</si>
  <si>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</si>
  <si>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</si>
  <si>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</si>
  <si>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</si>
  <si>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</si>
  <si>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</si>
  <si>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</si>
  <si>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</si>
  <si>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</si>
  <si>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</si>
  <si>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</si>
  <si>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</si>
  <si>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</si>
  <si>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</si>
  <si>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</si>
  <si>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</si>
  <si>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</si>
  <si>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</si>
  <si>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</si>
  <si>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</si>
  <si>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</si>
  <si>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</si>
  <si>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</si>
  <si>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</si>
  <si>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</si>
  <si>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</si>
  <si>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</si>
  <si>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</si>
  <si>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</si>
  <si>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</si>
  <si>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</si>
  <si>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</si>
  <si>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</si>
  <si>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</si>
  <si>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</si>
  <si>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</si>
  <si>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</si>
  <si>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</si>
  <si>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</si>
  <si>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</si>
  <si>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</si>
  <si>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</si>
  <si>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</si>
  <si>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</si>
  <si>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</si>
  <si>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</si>
  <si>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</si>
  <si>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</si>
  <si>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</si>
  <si>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</si>
  <si>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</si>
  <si>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</si>
  <si>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</si>
  <si>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</si>
  <si>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</si>
  <si>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</si>
  <si>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</si>
  <si>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</si>
  <si>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</si>
  <si>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</si>
  <si>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</si>
  <si>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</si>
  <si>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</si>
  <si>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</si>
  <si>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</si>
  <si>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</si>
  <si>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</si>
  <si>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</si>
  <si>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</si>
  <si>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</si>
  <si>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</si>
  <si>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</si>
  <si>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</si>
  <si>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</si>
  <si>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</si>
  <si>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</si>
  <si>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</si>
  <si>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</si>
  <si>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</si>
  <si>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</si>
  <si>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</si>
  <si>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</si>
  <si>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</si>
  <si>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</si>
  <si>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</si>
  <si>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</si>
  <si>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</si>
  <si>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</si>
  <si>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</si>
  <si>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</si>
  <si>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</si>
  <si>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</si>
  <si>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</si>
  <si>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</si>
  <si>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</si>
  <si>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</si>
  <si>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</si>
  <si>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</si>
  <si>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</si>
  <si>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</si>
  <si>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</si>
  <si>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</si>
  <si>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</si>
  <si>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</si>
  <si>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</si>
  <si>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</si>
  <si>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</si>
  <si>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</si>
  <si>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</si>
  <si>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</si>
  <si>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</si>
  <si>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</si>
  <si>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</si>
  <si>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</si>
  <si>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</si>
  <si>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</si>
  <si>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</si>
  <si>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</si>
  <si>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</si>
  <si>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</si>
  <si>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</si>
  <si>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</si>
  <si>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</si>
  <si>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</si>
  <si>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</si>
  <si>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</si>
  <si>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</si>
  <si>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</si>
  <si>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</si>
  <si>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</si>
  <si>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</si>
  <si>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</si>
  <si>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</si>
  <si>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</si>
  <si>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</si>
  <si>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</si>
  <si>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</si>
  <si>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</si>
  <si>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</si>
  <si>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</si>
  <si>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</si>
  <si>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</si>
  <si>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</si>
  <si>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</si>
  <si>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</si>
  <si>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</si>
  <si>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</si>
  <si>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</si>
  <si>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</si>
  <si>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</si>
  <si>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</si>
  <si>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</si>
  <si>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</si>
  <si>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</si>
  <si>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</si>
  <si>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</si>
  <si>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</si>
  <si>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</si>
  <si>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</si>
  <si>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</si>
  <si>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</si>
  <si>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</si>
  <si>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</si>
  <si>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</si>
  <si>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</si>
  <si>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</si>
  <si>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</si>
  <si>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</si>
  <si>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</si>
  <si>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</si>
  <si>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</si>
  <si>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</si>
  <si>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</si>
  <si>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</si>
  <si>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</si>
  <si>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</si>
  <si>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</si>
  <si>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</si>
  <si>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</si>
  <si>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</si>
  <si>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</si>
  <si>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</si>
  <si>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</si>
  <si>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</si>
  <si>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</si>
  <si>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</si>
  <si>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</si>
  <si>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</si>
  <si>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</si>
  <si>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</si>
  <si>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</si>
  <si>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</si>
  <si>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</si>
  <si>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</si>
  <si>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</si>
  <si>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</si>
  <si>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</si>
  <si>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</si>
  <si>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</si>
  <si>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</si>
  <si>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</si>
  <si>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</si>
  <si>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</si>
  <si>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</si>
  <si>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</si>
  <si>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</si>
  <si>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</si>
  <si>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</si>
  <si>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</si>
  <si>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</si>
  <si>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</si>
  <si>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</si>
  <si>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</si>
  <si>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</si>
  <si>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</si>
  <si>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</si>
  <si>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</si>
  <si>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</si>
  <si>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</si>
  <si>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</si>
  <si>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</si>
  <si>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</si>
  <si>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</si>
  <si>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</si>
  <si>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</si>
  <si>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</si>
  <si>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</si>
  <si>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</si>
  <si>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</si>
  <si>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</si>
  <si>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</si>
  <si>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</si>
  <si>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</si>
  <si>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</si>
  <si>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</si>
  <si>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</si>
  <si>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</si>
  <si>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</si>
  <si>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</si>
  <si>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</si>
  <si>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</si>
  <si>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</si>
  <si>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</si>
  <si>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</si>
  <si>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</si>
  <si>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</si>
  <si>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</si>
  <si>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</si>
  <si>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</si>
  <si>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</si>
  <si>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</si>
  <si>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</si>
  <si>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</si>
  <si>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</si>
  <si>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</si>
  <si>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</si>
  <si>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</si>
  <si>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</si>
  <si>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</si>
  <si>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</si>
  <si>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</si>
  <si>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</si>
  <si>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</si>
  <si>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</si>
  <si>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</si>
  <si>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</si>
  <si>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</si>
  <si>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</si>
  <si>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</si>
  <si>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</si>
  <si>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</si>
  <si>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</si>
  <si>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</si>
  <si>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</si>
  <si>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</si>
  <si>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</si>
  <si>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</si>
  <si>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</si>
  <si>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</si>
  <si>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</si>
  <si>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</si>
  <si>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</si>
  <si>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</si>
  <si>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</si>
  <si>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</si>
  <si>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</si>
  <si>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</si>
  <si>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</si>
  <si>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</si>
  <si>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</si>
  <si>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</si>
  <si>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</si>
  <si>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</si>
  <si>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</si>
  <si>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</si>
  <si>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</si>
  <si>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</si>
  <si>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</si>
  <si>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</si>
  <si>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</si>
  <si>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</si>
  <si>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</si>
  <si>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</si>
  <si>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</si>
  <si>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</si>
  <si>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</si>
  <si>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</si>
  <si>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</si>
  <si>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</si>
  <si>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</si>
  <si>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</si>
  <si>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</si>
  <si>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</si>
  <si>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</si>
  <si>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</si>
  <si>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</si>
  <si>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</si>
  <si>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</si>
  <si>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</si>
  <si>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</si>
  <si>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</si>
  <si>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</si>
  <si>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</si>
  <si>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</si>
  <si>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</si>
  <si>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</si>
  <si>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</si>
  <si>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</si>
  <si>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</si>
  <si>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</si>
  <si>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</si>
  <si>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</si>
  <si>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</si>
  <si>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</si>
  <si>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</si>
  <si>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</si>
  <si>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</si>
  <si>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</si>
  <si>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</si>
  <si>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</si>
  <si>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</si>
  <si>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</si>
  <si>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</si>
  <si>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</si>
  <si>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</si>
  <si>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</si>
  <si>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</si>
  <si>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</si>
  <si>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</si>
  <si>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</si>
  <si>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</si>
  <si>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</si>
  <si>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</si>
  <si>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</si>
  <si>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</si>
  <si>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</si>
  <si>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</si>
  <si>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</si>
  <si>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</si>
  <si>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</si>
  <si>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</si>
  <si>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</si>
  <si>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</si>
  <si>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</si>
  <si>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</si>
  <si>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</si>
  <si>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</si>
  <si>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</si>
  <si>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</si>
  <si>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</si>
  <si>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</si>
  <si>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</si>
  <si>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</si>
  <si>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</si>
  <si>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</si>
  <si>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</si>
  <si>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</si>
  <si>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</si>
  <si>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</si>
  <si>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</si>
  <si>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</si>
  <si>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</si>
  <si>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</si>
  <si>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</si>
  <si>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</si>
  <si>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</si>
  <si>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</si>
  <si>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</si>
  <si>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</si>
  <si>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</si>
  <si>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</si>
  <si>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</si>
  <si>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</si>
  <si>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</si>
  <si>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</si>
  <si>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</si>
  <si>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</si>
  <si>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</si>
  <si>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</si>
  <si>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</si>
  <si>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</si>
  <si>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</si>
  <si>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</si>
  <si>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</si>
  <si>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</si>
  <si>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</si>
  <si>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</si>
  <si>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</si>
  <si>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</si>
  <si>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</si>
  <si>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</si>
  <si>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</si>
  <si>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</si>
  <si>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</si>
  <si>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</si>
  <si>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</si>
  <si>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</si>
  <si>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</si>
  <si>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</si>
  <si>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</si>
  <si>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</si>
  <si>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</si>
  <si>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</si>
  <si>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</si>
  <si>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</si>
  <si>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</si>
  <si>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</si>
  <si>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</si>
  <si>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</si>
  <si>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</si>
  <si>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</si>
  <si>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</si>
  <si>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</si>
  <si>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</si>
  <si>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</si>
  <si>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</si>
  <si>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</si>
  <si>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</si>
  <si>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</si>
  <si>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</si>
  <si>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</si>
  <si>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</si>
  <si>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</si>
  <si>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</si>
  <si>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</si>
  <si>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</si>
  <si>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</si>
  <si>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</si>
  <si>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</si>
  <si>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</si>
  <si>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</si>
  <si>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</si>
  <si>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</si>
  <si>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</si>
  <si>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</si>
  <si>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</si>
  <si>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</si>
  <si>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</si>
  <si>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</si>
  <si>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</si>
  <si>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</si>
  <si>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</si>
  <si>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</si>
  <si>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</si>
  <si>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</si>
  <si>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</si>
  <si>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</si>
  <si>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</si>
  <si>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</si>
  <si>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</si>
  <si>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</si>
  <si>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</si>
  <si>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</si>
  <si>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</si>
  <si>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</si>
  <si>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</si>
  <si>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</si>
  <si>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</si>
  <si>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</si>
  <si>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</si>
  <si>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</si>
  <si>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</si>
  <si>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</si>
  <si>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</si>
  <si>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</si>
  <si>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</si>
  <si>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</si>
  <si>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</si>
  <si>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</si>
  <si>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</si>
  <si>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</si>
  <si>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</si>
  <si>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</si>
  <si>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</si>
  <si>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</si>
  <si>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</si>
  <si>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</si>
  <si>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</si>
  <si>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</si>
  <si>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</si>
  <si>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</si>
  <si>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</si>
  <si>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</si>
  <si>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</si>
  <si>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</si>
  <si>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</si>
  <si>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</si>
  <si>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</si>
  <si>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</si>
  <si>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</si>
  <si>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</si>
  <si>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</si>
  <si>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</si>
  <si>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</si>
  <si>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</si>
  <si>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</si>
  <si>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</si>
  <si>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</si>
  <si>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</si>
  <si>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</si>
  <si>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</si>
  <si>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</si>
  <si>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</si>
  <si>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</si>
  <si>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</si>
  <si>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</si>
  <si>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</si>
  <si>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</si>
  <si>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</si>
  <si>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</si>
  <si>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</si>
  <si>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</si>
  <si>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</si>
  <si>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</si>
  <si>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</si>
  <si>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</si>
  <si>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</si>
  <si>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</si>
  <si>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</si>
  <si>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</si>
  <si>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</si>
  <si>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</si>
  <si>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</si>
  <si>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</si>
  <si>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</si>
  <si>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</si>
  <si>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</si>
  <si>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</si>
  <si>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</si>
  <si>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</si>
  <si>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</si>
  <si>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</si>
  <si>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</si>
  <si>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</si>
  <si>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</si>
  <si>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</si>
  <si>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</si>
  <si>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</si>
  <si>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</si>
  <si>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</si>
  <si>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</si>
  <si>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</si>
  <si>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</si>
  <si>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</si>
  <si>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</si>
  <si>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</si>
  <si>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</si>
  <si>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</si>
  <si>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</si>
  <si>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</si>
  <si>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</si>
  <si>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</si>
  <si>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</si>
  <si>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</si>
  <si>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</si>
  <si>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</si>
  <si>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</si>
  <si>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</si>
  <si>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</si>
  <si>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</si>
  <si>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</si>
  <si>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</si>
  <si>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</si>
  <si>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</si>
  <si>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</si>
  <si>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</si>
  <si>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</si>
  <si>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</si>
  <si>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</si>
  <si>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</si>
  <si>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</si>
  <si>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</si>
  <si>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</si>
  <si>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</si>
  <si>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</si>
  <si>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</si>
  <si>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</si>
  <si>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</si>
  <si>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</si>
  <si>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</si>
  <si>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</si>
  <si>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</si>
  <si>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</si>
  <si>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</si>
  <si>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</si>
  <si>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</si>
  <si>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</si>
  <si>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</si>
  <si>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</si>
  <si>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</si>
  <si>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</si>
  <si>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</si>
  <si>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</si>
  <si>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</si>
  <si>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</si>
  <si>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</si>
  <si>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</si>
  <si>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</si>
  <si>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</si>
  <si>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</si>
  <si>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</si>
  <si>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</si>
  <si>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</si>
  <si>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</si>
  <si>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</si>
  <si>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</si>
  <si>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</si>
  <si>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</si>
  <si>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</si>
  <si>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</si>
  <si>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</si>
  <si>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</si>
  <si>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</si>
  <si>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</si>
  <si>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</si>
  <si>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</si>
  <si>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</si>
  <si>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</si>
  <si>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</si>
  <si>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</si>
  <si>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</si>
  <si>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</si>
  <si>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</si>
  <si>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</si>
  <si>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</si>
  <si>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</si>
  <si>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</si>
  <si>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</si>
  <si>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</si>
  <si>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</si>
  <si>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</si>
  <si>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</si>
  <si>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</si>
  <si>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</si>
  <si>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</si>
  <si>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</si>
  <si>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</si>
  <si>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</si>
  <si>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</si>
  <si>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</si>
  <si>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</si>
  <si>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</si>
  <si>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</si>
  <si>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</si>
  <si>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</si>
  <si>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</si>
  <si>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</si>
  <si>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</si>
  <si>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</si>
  <si>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</si>
  <si>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</si>
  <si>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</si>
  <si>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</si>
  <si>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</si>
  <si>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</si>
  <si>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</si>
  <si>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</si>
  <si>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</si>
  <si>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</si>
  <si>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</si>
  <si>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</si>
  <si>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</si>
  <si>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</si>
  <si>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</si>
  <si>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</si>
  <si>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</si>
  <si>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</si>
  <si>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</si>
  <si>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</si>
  <si>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</si>
  <si>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</si>
  <si>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</si>
  <si>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</si>
  <si>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</si>
  <si>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</si>
  <si>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</si>
  <si>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</si>
  <si>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</si>
  <si>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</si>
  <si>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</si>
  <si>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</si>
  <si>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</si>
  <si>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</si>
  <si>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</si>
  <si>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</si>
  <si>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</si>
  <si>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</si>
  <si>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</si>
  <si>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</si>
  <si>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</si>
  <si>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</si>
  <si>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</si>
  <si>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</si>
  <si>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</si>
  <si>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</si>
  <si>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</si>
  <si>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</si>
  <si>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</si>
  <si>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</si>
  <si>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</si>
  <si>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</si>
  <si>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</si>
  <si>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</si>
  <si>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</si>
  <si>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</si>
  <si>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</si>
  <si>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</si>
  <si>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</si>
  <si>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</si>
  <si>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</si>
  <si>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</si>
  <si>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</si>
  <si>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</si>
  <si>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</si>
  <si>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</si>
  <si>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</si>
  <si>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</si>
  <si>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</si>
  <si>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</si>
  <si>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</si>
  <si>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</si>
  <si>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</si>
  <si>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</si>
  <si>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</si>
  <si>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</si>
  <si>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</si>
  <si>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</si>
  <si>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</si>
  <si>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</si>
  <si>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</si>
  <si>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</si>
  <si>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</si>
  <si>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</si>
  <si>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</si>
  <si>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</si>
  <si>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</si>
  <si>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</si>
  <si>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</si>
  <si>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</si>
  <si>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</si>
  <si>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</si>
  <si>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</si>
  <si>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</si>
  <si>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</si>
  <si>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</si>
  <si>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</si>
  <si>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</si>
  <si>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</si>
  <si>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</si>
  <si>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</si>
  <si>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</si>
  <si>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</si>
  <si>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</si>
  <si>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</si>
  <si>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</si>
  <si>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</si>
  <si>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</si>
  <si>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</si>
  <si>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</si>
  <si>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</si>
  <si>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</si>
  <si>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</si>
  <si>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</si>
  <si>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</si>
  <si>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</si>
  <si>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</si>
  <si>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</si>
  <si>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</si>
  <si>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</si>
  <si>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</si>
  <si>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</si>
  <si>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</si>
  <si>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</si>
  <si>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</si>
  <si>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</si>
  <si>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</si>
  <si>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</si>
  <si>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</si>
  <si>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</si>
  <si>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</si>
  <si>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</si>
  <si>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</si>
  <si>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</si>
  <si>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</si>
  <si>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</si>
  <si>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</si>
  <si>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</si>
  <si>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</si>
  <si>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</si>
  <si>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</si>
  <si>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</si>
  <si>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</si>
  <si>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</si>
  <si>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</si>
  <si>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</si>
  <si>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</si>
  <si>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</si>
  <si>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</si>
  <si>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</si>
  <si>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</si>
  <si>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</si>
  <si>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</si>
  <si>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</si>
  <si>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</si>
  <si>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</si>
  <si>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</si>
  <si>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</si>
  <si>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</si>
  <si>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</si>
  <si>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</si>
  <si>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</si>
  <si>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</si>
  <si>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</si>
  <si>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</si>
  <si>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</si>
  <si>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</si>
  <si>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</si>
  <si>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</si>
  <si>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</si>
  <si>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</si>
  <si>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</si>
  <si>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</si>
  <si>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</si>
  <si>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</si>
  <si>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</si>
  <si>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</si>
  <si>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</si>
  <si>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</si>
  <si>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</si>
  <si>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</si>
  <si>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</si>
  <si>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</si>
  <si>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</si>
  <si>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</si>
  <si>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</si>
  <si>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</si>
  <si>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</si>
  <si>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</si>
  <si>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</si>
  <si>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</si>
  <si>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</si>
  <si>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</si>
  <si>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</si>
  <si>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</si>
  <si>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</si>
  <si>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</si>
  <si>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</si>
  <si>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</si>
  <si>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</si>
  <si>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</si>
  <si>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</si>
  <si>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</si>
  <si>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</si>
  <si>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</si>
  <si>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</si>
  <si>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</si>
  <si>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</si>
  <si>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</si>
  <si>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</si>
  <si>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</si>
  <si>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</si>
  <si>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</si>
  <si>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</si>
  <si>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</si>
  <si>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</si>
  <si>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</si>
  <si>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</si>
  <si>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</si>
  <si>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</si>
  <si>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</si>
  <si>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</si>
  <si>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</si>
  <si>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</si>
  <si>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</si>
  <si>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</si>
  <si>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</si>
  <si>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</si>
  <si>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</si>
  <si>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</si>
  <si>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</si>
  <si>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</si>
  <si>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</si>
  <si>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</si>
  <si>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</si>
  <si>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</si>
  <si>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</si>
  <si>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</si>
  <si>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</si>
  <si>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</si>
  <si>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</si>
  <si>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</si>
  <si>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</si>
  <si>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</si>
  <si>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</si>
  <si>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</si>
  <si>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</si>
  <si>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</si>
  <si>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</si>
  <si>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</si>
  <si>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</si>
  <si>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</si>
  <si>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</si>
  <si>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</si>
  <si>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</si>
  <si>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</si>
  <si>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</si>
  <si>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</si>
  <si>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</si>
  <si>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</si>
  <si>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</si>
  <si>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</si>
  <si>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</si>
  <si>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</si>
  <si>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</si>
  <si>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</si>
  <si>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</si>
  <si>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</si>
  <si>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</si>
  <si>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</si>
  <si>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</si>
  <si>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</si>
  <si>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</si>
  <si>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</si>
  <si>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</si>
  <si>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</si>
  <si>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</si>
  <si>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</si>
  <si>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</si>
  <si>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</si>
  <si>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</si>
  <si>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</si>
  <si>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</si>
  <si>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</si>
  <si>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</si>
  <si>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</si>
  <si>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</si>
  <si>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</si>
  <si>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</si>
  <si>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</si>
  <si>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</si>
  <si>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</si>
  <si>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</si>
  <si>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</si>
  <si>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</si>
  <si>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</si>
  <si>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</si>
  <si>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</si>
  <si>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</si>
  <si>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</si>
  <si>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</si>
  <si>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</si>
  <si>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</si>
  <si>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</si>
  <si>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</si>
  <si>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</si>
  <si>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</si>
  <si>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</si>
  <si>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</si>
  <si>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</si>
  <si>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</si>
  <si>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</si>
  <si>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</si>
  <si>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</si>
  <si>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</si>
  <si>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</si>
  <si>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</si>
  <si>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</si>
  <si>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</si>
  <si>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</si>
  <si>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</si>
  <si>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</si>
  <si>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</si>
  <si>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</si>
  <si>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</si>
  <si>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</si>
  <si>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</si>
  <si>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</si>
  <si>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</si>
  <si>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</si>
  <si>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</si>
  <si>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</si>
  <si>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</si>
  <si>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</si>
  <si>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</si>
  <si>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</si>
  <si>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</si>
  <si>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</si>
  <si>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</si>
  <si>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</si>
  <si>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</si>
  <si>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</si>
  <si>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</si>
  <si>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</si>
  <si>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</si>
  <si>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</si>
  <si>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</si>
  <si>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</si>
  <si>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</si>
  <si>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</si>
  <si>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</si>
  <si>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</si>
  <si>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</si>
  <si>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</si>
  <si>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</si>
  <si>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</si>
  <si>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</si>
  <si>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</si>
  <si>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</si>
  <si>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</si>
  <si>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</si>
  <si>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</si>
  <si>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</si>
  <si>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</si>
  <si>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</si>
  <si>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</si>
  <si>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</si>
  <si>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</si>
  <si>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</si>
  <si>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</si>
  <si>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</si>
  <si>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</si>
  <si>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</si>
  <si>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</si>
  <si>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</si>
  <si>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</si>
  <si>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</si>
  <si>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</si>
  <si>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</si>
  <si>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</si>
  <si>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</si>
  <si>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</si>
  <si>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</si>
  <si>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</si>
  <si>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</si>
  <si>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</si>
  <si>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</si>
  <si>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</si>
  <si>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</si>
  <si>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</si>
  <si>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</si>
  <si>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</si>
  <si>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</si>
  <si>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</si>
  <si>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</si>
  <si>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</si>
  <si>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</si>
  <si>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</si>
  <si>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</si>
  <si>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</si>
  <si>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</si>
  <si>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</si>
  <si>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</si>
  <si>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</si>
  <si>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</si>
  <si>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</si>
  <si>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Higher_Strike</t>
  </si>
  <si>
    <t>Higher_Strike_LTP</t>
  </si>
  <si>
    <t>Net Credit</t>
  </si>
  <si>
    <t>Max Risk</t>
  </si>
  <si>
    <t>Lower_Strike</t>
  </si>
  <si>
    <t>Lower_Strike_LTP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</si>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</sst>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9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1860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1861</v>
      </c>
      <c r="E14" s="19" t="s">
        <v>1862</v>
      </c>
      <c r="F14" s="19" t="s">
        <v>1867</v>
      </c>
      <c r="G14" s="19" t="s">
        <v>1863</v>
      </c>
      <c r="H14" s="19" t="s">
        <v>1864</v>
      </c>
      <c r="I14" s="19" t="s">
        <v>1865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1866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1868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1869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1870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1871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1872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1873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1874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1875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1876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1877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1878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1879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1880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1881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1882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1883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1884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1885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1886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1887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1888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1889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tabSelected="1" zoomScale="80" zoomScaleNormal="80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59" t="s">
        <v>1891</v>
      </c>
      <c r="B1" s="64" t="s">
        <v>1823</v>
      </c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0</v>
      </c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66" t="s">
        <v>1851</v>
      </c>
      <c r="R2" s="68"/>
      <c r="S2" s="66" t="s">
        <v>1849</v>
      </c>
      <c r="T2" s="67"/>
      <c r="U2" s="67"/>
      <c r="V2" s="68"/>
      <c r="W2" s="66" t="s">
        <v>1850</v>
      </c>
      <c r="X2" s="67"/>
      <c r="Y2" s="67"/>
      <c r="Z2" s="68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43979</v>
      </c>
      <c r="C4" s="10" t="s">
        <v>247</v>
      </c>
      <c r="D4" s="1">
        <v>354.1</v>
      </c>
      <c r="E4" s="30">
        <v>2300</v>
      </c>
      <c r="F4" s="1">
        <v>360</v>
      </c>
      <c r="G4" s="1">
        <v>20.100000000000001</v>
      </c>
      <c r="H4" s="1">
        <v>184000</v>
      </c>
      <c r="I4" s="1">
        <v>2300</v>
      </c>
      <c r="J4" s="1">
        <v>19</v>
      </c>
      <c r="K4" s="1">
        <v>19.5</v>
      </c>
      <c r="L4" s="1">
        <v>4600</v>
      </c>
      <c r="M4" s="9"/>
      <c r="N4" s="7">
        <f t="shared" ref="N4:N42" ca="1" si="0">$G4/$D4</f>
        <v>3.899779851137436E-2</v>
      </c>
      <c r="O4" s="7">
        <f t="shared" ref="O4:O42" ca="1" si="1">N4/($B4-TODAY())</f>
        <v>2.7855570365267401E-3</v>
      </c>
      <c r="P4" s="33">
        <f t="shared" ref="P4:P42" ca="1" si="2">$E4*$D4</f>
        <v>596187.5</v>
      </c>
      <c r="Q4" s="33">
        <f t="shared" ref="Q4:Q42" ca="1" si="3">($G4+$F4-$D4)*$E4</f>
        <v>39562.500000000044</v>
      </c>
      <c r="R4" s="7">
        <f t="shared" ref="R4:R42" ca="1" si="4">$Q4/$P4</f>
        <v>6.6359157144354822E-2</v>
      </c>
      <c r="S4" s="7">
        <f t="shared" ref="S4:S42" ca="1" si="5">mrigxl_max_drawdown($C4,INT($B4-TODAY()))</f>
        <v>-0.18647083662403016</v>
      </c>
      <c r="T4" s="33">
        <f t="shared" ref="T4:T42" ca="1" si="6">(S4*$D4+$G4)*$E4</f>
        <v>-87921.581909788991</v>
      </c>
      <c r="U4" s="7">
        <f t="shared" ref="U4:U42" ca="1" si="7">T4/$P4</f>
        <v>-0.14747303811265583</v>
      </c>
      <c r="V4" s="7">
        <f t="shared" ref="V4:V42" ca="1" si="8">$R4+U4</f>
        <v>-8.1113880968301008E-2</v>
      </c>
      <c r="W4" s="7">
        <f t="shared" ref="W4:W42" ca="1" si="9">mrigxl_avg_drawdown($C4,INT($B4-TODAY()))</f>
        <v>-6.367187417701746E-2</v>
      </c>
      <c r="X4" s="33">
        <f t="shared" ref="X4:X42" ca="1" si="10">(W4*$D4+$G4)*$E4</f>
        <v>-14710.375485910596</v>
      </c>
      <c r="Y4" s="7">
        <f t="shared" ref="Y4:Y42" ca="1" si="11">X4/$P4</f>
        <v>-2.46740756656431E-2</v>
      </c>
      <c r="Z4" s="7">
        <f t="shared" ref="Z4:Z42" ca="1" si="12">$R4+Y4</f>
        <v>4.1685081478711722E-2</v>
      </c>
      <c r="AA4" s="1"/>
      <c r="AB4" s="1"/>
      <c r="AC4" s="60"/>
      <c r="AE4" s="34" t="s">
        <v>1846</v>
      </c>
    </row>
    <row r="5" spans="1:36" x14ac:dyDescent="0.25">
      <c r="A5" s="3"/>
      <c r="B5" s="25">
        <v>43979</v>
      </c>
      <c r="C5" s="10" t="s">
        <v>327</v>
      </c>
      <c r="D5" s="1">
        <v>590</v>
      </c>
      <c r="E5" s="30">
        <v>1150</v>
      </c>
      <c r="F5" s="1">
        <v>600</v>
      </c>
      <c r="G5" s="1">
        <v>33.200000000000003</v>
      </c>
      <c r="H5" s="1">
        <v>161000</v>
      </c>
      <c r="I5" s="1">
        <v>1150</v>
      </c>
      <c r="J5" s="1">
        <v>32.799999999999997</v>
      </c>
      <c r="K5" s="1">
        <v>33.200000000000003</v>
      </c>
      <c r="L5" s="1">
        <v>2300</v>
      </c>
      <c r="M5" s="9"/>
      <c r="N5" s="7">
        <f t="shared" ca="1" si="0"/>
        <v>5.5612569661855835E-2</v>
      </c>
      <c r="O5" s="7">
        <f t="shared" ca="1" si="1"/>
        <v>3.972326404418274E-3</v>
      </c>
      <c r="P5" s="33">
        <f t="shared" ca="1" si="2"/>
        <v>962237.5</v>
      </c>
      <c r="Q5" s="33">
        <f t="shared" ca="1" si="3"/>
        <v>41275.000000000087</v>
      </c>
      <c r="R5" s="7">
        <f t="shared" ca="1" si="4"/>
        <v>4.2894815469154017E-2</v>
      </c>
      <c r="S5" s="7">
        <f t="shared" ca="1" si="5"/>
        <v>-0.15873789989731096</v>
      </c>
      <c r="T5" s="33">
        <f t="shared" ca="1" si="6"/>
        <v>-99231.059952438736</v>
      </c>
      <c r="U5" s="7">
        <f t="shared" ca="1" si="7"/>
        <v>-0.10312533023545511</v>
      </c>
      <c r="V5" s="7">
        <f t="shared" ca="1" si="8"/>
        <v>-6.0230514766301098E-2</v>
      </c>
      <c r="W5" s="7">
        <f t="shared" ca="1" si="9"/>
        <v>-4.3306560246757587E-2</v>
      </c>
      <c r="X5" s="33">
        <f t="shared" ca="1" si="10"/>
        <v>11841.303734560604</v>
      </c>
      <c r="Y5" s="7">
        <f t="shared" ca="1" si="11"/>
        <v>1.2306009415098252E-2</v>
      </c>
      <c r="Z5" s="7">
        <f t="shared" ca="1" si="12"/>
        <v>5.5200824884252271E-2</v>
      </c>
      <c r="AA5" s="1"/>
      <c r="AB5" s="1"/>
    </row>
    <row r="6" spans="1:36" x14ac:dyDescent="0.25">
      <c r="A6" s="3"/>
      <c r="B6" s="25">
        <v>43979</v>
      </c>
      <c r="C6" s="10" t="s">
        <v>409</v>
      </c>
      <c r="D6" s="1">
        <v>3931</v>
      </c>
      <c r="E6" s="30">
        <v>250</v>
      </c>
      <c r="F6" s="1">
        <v>4000</v>
      </c>
      <c r="G6" s="1">
        <v>201.25</v>
      </c>
      <c r="H6" s="1">
        <v>26750</v>
      </c>
      <c r="I6" s="1">
        <v>250</v>
      </c>
      <c r="J6" s="1">
        <v>195.05</v>
      </c>
      <c r="K6" s="1">
        <v>201.95</v>
      </c>
      <c r="L6" s="1">
        <v>2250</v>
      </c>
      <c r="M6" s="9"/>
      <c r="N6" s="7">
        <f t="shared" ca="1" si="0"/>
        <v>3.1671827251937748E-2</v>
      </c>
      <c r="O6" s="7">
        <f t="shared" ca="1" si="1"/>
        <v>2.2622733751384108E-3</v>
      </c>
      <c r="P6" s="33">
        <f t="shared" ca="1" si="2"/>
        <v>741195</v>
      </c>
      <c r="Q6" s="33">
        <f t="shared" ca="1" si="3"/>
        <v>26279.999999999971</v>
      </c>
      <c r="R6" s="7">
        <f t="shared" ca="1" si="4"/>
        <v>3.5456256450731548E-2</v>
      </c>
      <c r="S6" s="7">
        <f t="shared" ca="1" si="5"/>
        <v>-0.19593676522444173</v>
      </c>
      <c r="T6" s="33">
        <f t="shared" ca="1" si="6"/>
        <v>-121752.35070053009</v>
      </c>
      <c r="U6" s="7">
        <f t="shared" ca="1" si="7"/>
        <v>-0.16426493797250399</v>
      </c>
      <c r="V6" s="7">
        <f t="shared" ca="1" si="8"/>
        <v>-0.12880868152177244</v>
      </c>
      <c r="W6" s="7">
        <f t="shared" ca="1" si="9"/>
        <v>-3.9721881206456616E-2</v>
      </c>
      <c r="X6" s="33">
        <f t="shared" ca="1" si="10"/>
        <v>-5966.6597408196121</v>
      </c>
      <c r="Y6" s="7">
        <f t="shared" ca="1" si="11"/>
        <v>-8.0500539545188682E-3</v>
      </c>
      <c r="Z6" s="7">
        <f t="shared" ca="1" si="12"/>
        <v>2.740620249621268E-2</v>
      </c>
      <c r="AA6" s="1"/>
      <c r="AB6" s="1"/>
    </row>
    <row r="7" spans="1:36" x14ac:dyDescent="0.25">
      <c r="A7" s="3"/>
      <c r="B7" s="25">
        <v>43979</v>
      </c>
      <c r="C7" s="10" t="s">
        <v>539</v>
      </c>
      <c r="D7" s="1">
        <v>337.5</v>
      </c>
      <c r="E7" s="30">
        <v>1400</v>
      </c>
      <c r="F7" s="1">
        <v>330</v>
      </c>
      <c r="G7" s="1">
        <v>32.700000000000003</v>
      </c>
      <c r="H7" s="1">
        <v>53200</v>
      </c>
      <c r="I7" s="1">
        <v>4200</v>
      </c>
      <c r="J7" s="1">
        <v>33.049999999999997</v>
      </c>
      <c r="K7" s="1">
        <v>34.450000000000003</v>
      </c>
      <c r="L7" s="1">
        <v>1400</v>
      </c>
      <c r="M7" s="9"/>
      <c r="N7" s="7">
        <f t="shared" ca="1" si="0"/>
        <v>5.3052613990016081E-2</v>
      </c>
      <c r="O7" s="7">
        <f t="shared" ca="1" si="1"/>
        <v>3.7894724278582917E-3</v>
      </c>
      <c r="P7" s="33">
        <f t="shared" ca="1" si="2"/>
        <v>957540</v>
      </c>
      <c r="Q7" s="33">
        <f t="shared" ca="1" si="3"/>
        <v>53260.000000000036</v>
      </c>
      <c r="R7" s="7">
        <f t="shared" ca="1" si="4"/>
        <v>5.5621697265910604E-2</v>
      </c>
      <c r="S7" s="7">
        <f t="shared" ca="1" si="5"/>
        <v>-0.17724844344908422</v>
      </c>
      <c r="T7" s="33">
        <f t="shared" ca="1" si="6"/>
        <v>-118922.47454023609</v>
      </c>
      <c r="U7" s="7">
        <f t="shared" ca="1" si="7"/>
        <v>-0.12419582945906812</v>
      </c>
      <c r="V7" s="7">
        <f t="shared" ca="1" si="8"/>
        <v>-6.8574132193157528E-2</v>
      </c>
      <c r="W7" s="7">
        <f t="shared" ca="1" si="9"/>
        <v>-4.7463095374021977E-2</v>
      </c>
      <c r="X7" s="33">
        <f t="shared" ca="1" si="10"/>
        <v>5352.1876555589988</v>
      </c>
      <c r="Y7" s="7">
        <f t="shared" ca="1" si="11"/>
        <v>5.5895186159941089E-3</v>
      </c>
      <c r="Z7" s="7">
        <f t="shared" ca="1" si="12"/>
        <v>6.1211215881904715E-2</v>
      </c>
      <c r="AA7" s="1"/>
      <c r="AB7" s="1"/>
    </row>
    <row r="8" spans="1:36" x14ac:dyDescent="0.25">
      <c r="A8" s="3"/>
      <c r="B8" s="25">
        <v>43979</v>
      </c>
      <c r="C8" s="10" t="s">
        <v>539</v>
      </c>
      <c r="D8" s="1">
        <v>337.5</v>
      </c>
      <c r="E8" s="30">
        <v>1400</v>
      </c>
      <c r="F8" s="1">
        <v>340</v>
      </c>
      <c r="G8" s="1">
        <v>28.65</v>
      </c>
      <c r="H8" s="1">
        <v>57400</v>
      </c>
      <c r="I8" s="1">
        <v>2800</v>
      </c>
      <c r="J8" s="1">
        <v>28.75</v>
      </c>
      <c r="K8" s="1">
        <v>29.2</v>
      </c>
      <c r="L8" s="1">
        <v>2800</v>
      </c>
      <c r="M8" s="9"/>
      <c r="N8" s="7">
        <f t="shared" ca="1" si="0"/>
        <v>8.9719354369637919E-2</v>
      </c>
      <c r="O8" s="7">
        <f t="shared" ca="1" si="1"/>
        <v>6.4085253121169946E-3</v>
      </c>
      <c r="P8" s="33">
        <f t="shared" ca="1" si="2"/>
        <v>790855</v>
      </c>
      <c r="Q8" s="33">
        <f t="shared" ca="1" si="3"/>
        <v>62100</v>
      </c>
      <c r="R8" s="7">
        <f t="shared" ca="1" si="4"/>
        <v>7.852261160389705E-2</v>
      </c>
      <c r="S8" s="7">
        <f t="shared" ca="1" si="5"/>
        <v>-0.19510024720689637</v>
      </c>
      <c r="T8" s="33">
        <f t="shared" ca="1" si="6"/>
        <v>-83341.006004810028</v>
      </c>
      <c r="U8" s="7">
        <f t="shared" ca="1" si="7"/>
        <v>-0.10538089283725845</v>
      </c>
      <c r="V8" s="7">
        <f t="shared" ca="1" si="8"/>
        <v>-2.6858281233361397E-2</v>
      </c>
      <c r="W8" s="7">
        <f t="shared" ca="1" si="9"/>
        <v>-6.5087475671695955E-2</v>
      </c>
      <c r="X8" s="33">
        <f t="shared" ca="1" si="10"/>
        <v>19480.244427660899</v>
      </c>
      <c r="Y8" s="7">
        <f t="shared" ca="1" si="11"/>
        <v>2.4631878697941971E-2</v>
      </c>
      <c r="Z8" s="7">
        <f t="shared" ca="1" si="12"/>
        <v>0.10315449030183901</v>
      </c>
      <c r="AA8" s="1"/>
      <c r="AB8" s="1"/>
    </row>
    <row r="9" spans="1:36" x14ac:dyDescent="0.25">
      <c r="A9" s="3"/>
      <c r="B9" s="25">
        <v>43979</v>
      </c>
      <c r="C9" s="10" t="s">
        <v>644</v>
      </c>
      <c r="D9" s="1">
        <v>2205</v>
      </c>
      <c r="E9" s="30">
        <v>300</v>
      </c>
      <c r="F9" s="1">
        <v>2220</v>
      </c>
      <c r="G9" s="1">
        <v>115</v>
      </c>
      <c r="H9" s="1">
        <v>6300</v>
      </c>
      <c r="I9" s="1">
        <v>600</v>
      </c>
      <c r="J9" s="1">
        <v>113.75</v>
      </c>
      <c r="K9" s="1">
        <v>117.15</v>
      </c>
      <c r="L9" s="1">
        <v>600</v>
      </c>
      <c r="M9" s="9"/>
      <c r="N9" s="7">
        <f t="shared" ca="1" si="0"/>
        <v>6.2417871222076218E-2</v>
      </c>
      <c r="O9" s="7">
        <f t="shared" ca="1" si="1"/>
        <v>4.4584193730054442E-3</v>
      </c>
      <c r="P9" s="33">
        <f t="shared" ca="1" si="2"/>
        <v>700120</v>
      </c>
      <c r="Q9" s="33">
        <f t="shared" ca="1" si="3"/>
        <v>33580.000000000051</v>
      </c>
      <c r="R9" s="7">
        <f t="shared" ca="1" si="4"/>
        <v>4.7963206307490215E-2</v>
      </c>
      <c r="S9" s="7">
        <f t="shared" ca="1" si="5"/>
        <v>-0.14778578206489221</v>
      </c>
      <c r="T9" s="33">
        <f t="shared" ca="1" si="6"/>
        <v>-59767.78173927233</v>
      </c>
      <c r="U9" s="7">
        <f t="shared" ca="1" si="7"/>
        <v>-8.5367910842815989E-2</v>
      </c>
      <c r="V9" s="7">
        <f t="shared" ca="1" si="8"/>
        <v>-3.7404704535325774E-2</v>
      </c>
      <c r="W9" s="7">
        <f t="shared" ca="1" si="9"/>
        <v>-4.7597961276022317E-2</v>
      </c>
      <c r="X9" s="33">
        <f t="shared" ca="1" si="10"/>
        <v>10375.715351431259</v>
      </c>
      <c r="Y9" s="7">
        <f t="shared" ca="1" si="11"/>
        <v>1.4819909946053905E-2</v>
      </c>
      <c r="Z9" s="7">
        <f t="shared" ca="1" si="12"/>
        <v>6.2783116253544116E-2</v>
      </c>
      <c r="AA9" s="1"/>
      <c r="AB9" s="1"/>
    </row>
    <row r="10" spans="1:36" x14ac:dyDescent="0.25">
      <c r="A10" s="3"/>
      <c r="B10" s="25">
        <v>43979</v>
      </c>
      <c r="C10" s="10" t="s">
        <v>644</v>
      </c>
      <c r="D10" s="1">
        <v>2205</v>
      </c>
      <c r="E10" s="30">
        <v>300</v>
      </c>
      <c r="F10" s="1">
        <v>2240</v>
      </c>
      <c r="G10" s="1">
        <v>109</v>
      </c>
      <c r="H10" s="1">
        <v>25200</v>
      </c>
      <c r="I10" s="1">
        <v>300</v>
      </c>
      <c r="J10" s="1">
        <v>105.2</v>
      </c>
      <c r="K10" s="1">
        <v>107.95</v>
      </c>
      <c r="L10" s="1">
        <v>1200</v>
      </c>
      <c r="M10" s="9"/>
      <c r="N10" s="7">
        <f t="shared" ca="1" si="0"/>
        <v>4.6032027418306448E-2</v>
      </c>
      <c r="O10" s="7">
        <f t="shared" ca="1" si="1"/>
        <v>3.2880019584504605E-3</v>
      </c>
      <c r="P10" s="33">
        <f t="shared" ca="1" si="2"/>
        <v>592305</v>
      </c>
      <c r="Q10" s="33">
        <f t="shared" ca="1" si="3"/>
        <v>29960.000000000047</v>
      </c>
      <c r="R10" s="7">
        <f t="shared" ca="1" si="4"/>
        <v>5.058204810021872E-2</v>
      </c>
      <c r="S10" s="7">
        <f t="shared" ca="1" si="5"/>
        <v>-0.21054860265758243</v>
      </c>
      <c r="T10" s="33">
        <f t="shared" ca="1" si="6"/>
        <v>-97443.990097099362</v>
      </c>
      <c r="U10" s="7">
        <f t="shared" ca="1" si="7"/>
        <v>-0.16451657523927599</v>
      </c>
      <c r="V10" s="7">
        <f t="shared" ca="1" si="8"/>
        <v>-0.11393452713905727</v>
      </c>
      <c r="W10" s="7">
        <f t="shared" ca="1" si="9"/>
        <v>-5.832413648398059E-2</v>
      </c>
      <c r="X10" s="33">
        <f t="shared" ca="1" si="10"/>
        <v>-7280.6776601441188</v>
      </c>
      <c r="Y10" s="7">
        <f t="shared" ca="1" si="11"/>
        <v>-1.2292109065674135E-2</v>
      </c>
      <c r="Z10" s="7">
        <f t="shared" ca="1" si="12"/>
        <v>3.8289939034544584E-2</v>
      </c>
      <c r="AA10" s="1"/>
      <c r="AB10" s="1"/>
    </row>
    <row r="11" spans="1:36" x14ac:dyDescent="0.25">
      <c r="A11" s="3"/>
      <c r="B11" s="25">
        <v>43979</v>
      </c>
      <c r="C11" s="10" t="s">
        <v>933</v>
      </c>
      <c r="D11" s="1">
        <v>833.8</v>
      </c>
      <c r="E11" s="30">
        <v>700</v>
      </c>
      <c r="F11" s="1">
        <v>840</v>
      </c>
      <c r="G11" s="1">
        <v>59.6</v>
      </c>
      <c r="H11" s="1">
        <v>9100</v>
      </c>
      <c r="I11" s="1">
        <v>1400</v>
      </c>
      <c r="J11" s="1">
        <v>53.5</v>
      </c>
      <c r="K11" s="1">
        <v>59.6</v>
      </c>
      <c r="L11" s="1">
        <v>11200</v>
      </c>
      <c r="M11" s="9"/>
      <c r="N11" s="7" t="e">
        <f t="shared" ca="1" si="0"/>
        <v>#DIV/0!</v>
      </c>
      <c r="O11" s="7" t="e">
        <f t="shared" ca="1" si="1"/>
        <v>#DIV/0!</v>
      </c>
      <c r="P11" s="33">
        <f t="shared" ca="1" si="2"/>
        <v>0</v>
      </c>
      <c r="Q11" s="33">
        <f t="shared" ca="1" si="3"/>
        <v>0</v>
      </c>
      <c r="R11" s="7" t="e">
        <f t="shared" ca="1" si="4"/>
        <v>#DIV/0!</v>
      </c>
      <c r="S1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#DIV/0!</v>
      </c>
      <c r="W1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#DIV/0!</v>
      </c>
      <c r="AA11" s="1"/>
      <c r="AB11" s="1"/>
    </row>
    <row r="12" spans="1:36" x14ac:dyDescent="0.25">
      <c r="A12" s="3"/>
      <c r="B12" s="25">
        <v>43979</v>
      </c>
      <c r="C12" s="10" t="s">
        <v>1530</v>
      </c>
      <c r="D12" s="1">
        <v>466</v>
      </c>
      <c r="E12" s="30">
        <v>1250</v>
      </c>
      <c r="F12" s="1">
        <v>460</v>
      </c>
      <c r="G12" s="1">
        <v>39.5</v>
      </c>
      <c r="H12" s="1">
        <v>11250</v>
      </c>
      <c r="I12" s="1">
        <v>1250</v>
      </c>
      <c r="J12" s="1">
        <v>39.65</v>
      </c>
      <c r="K12" s="1">
        <v>40.25</v>
      </c>
      <c r="L12" s="1">
        <v>1250</v>
      </c>
      <c r="M12" s="9"/>
      <c r="N12" s="7" t="e">
        <f t="shared" ca="1" si="0"/>
        <v>#DIV/0!</v>
      </c>
      <c r="O12" s="7" t="e">
        <f t="shared" ca="1" si="1"/>
        <v>#DIV/0!</v>
      </c>
      <c r="P12" s="33">
        <f t="shared" ca="1" si="2"/>
        <v>0</v>
      </c>
      <c r="Q12" s="33">
        <f t="shared" ca="1" si="3"/>
        <v>0</v>
      </c>
      <c r="R12" s="7" t="e">
        <f t="shared" ca="1" si="4"/>
        <v>#DIV/0!</v>
      </c>
      <c r="S1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#DIV/0!</v>
      </c>
      <c r="W1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#DIV/0!</v>
      </c>
      <c r="AA12" s="1"/>
      <c r="AB12" s="1"/>
    </row>
    <row r="13" spans="1:36" x14ac:dyDescent="0.25">
      <c r="A13" s="3"/>
      <c r="B13" s="25">
        <v>43979</v>
      </c>
      <c r="C13" s="10" t="s">
        <v>1530</v>
      </c>
      <c r="D13" s="1">
        <v>466</v>
      </c>
      <c r="E13" s="30">
        <v>1250</v>
      </c>
      <c r="F13" s="1">
        <v>470</v>
      </c>
      <c r="G13" s="1">
        <v>35</v>
      </c>
      <c r="H13" s="1">
        <v>97500</v>
      </c>
      <c r="I13" s="1">
        <v>2500</v>
      </c>
      <c r="J13" s="1">
        <v>34.65</v>
      </c>
      <c r="K13" s="1">
        <v>35.1</v>
      </c>
      <c r="L13" s="1">
        <v>2500</v>
      </c>
      <c r="M13" s="9"/>
      <c r="N13" s="7" t="e">
        <f t="shared" ca="1" si="0"/>
        <v>#DIV/0!</v>
      </c>
      <c r="O13" s="7" t="e">
        <f t="shared" ca="1" si="1"/>
        <v>#DIV/0!</v>
      </c>
      <c r="P13" s="33">
        <f t="shared" ca="1" si="2"/>
        <v>0</v>
      </c>
      <c r="Q13" s="33">
        <f t="shared" ca="1" si="3"/>
        <v>0</v>
      </c>
      <c r="R13" s="7" t="e">
        <f t="shared" ca="1" si="4"/>
        <v>#DIV/0!</v>
      </c>
      <c r="S1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#DIV/0!</v>
      </c>
      <c r="W1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#DIV/0!</v>
      </c>
      <c r="AA13" s="1"/>
      <c r="AB13" s="1"/>
    </row>
    <row r="14" spans="1:36" x14ac:dyDescent="0.25">
      <c r="A14" s="3"/>
      <c r="B14" s="25">
        <v>43979</v>
      </c>
      <c r="C14" s="10" t="s">
        <v>1757</v>
      </c>
      <c r="D14" s="1">
        <v>27.85</v>
      </c>
      <c r="E14" s="30">
        <v>8800</v>
      </c>
      <c r="F14" s="1">
        <v>25</v>
      </c>
      <c r="G14" s="1">
        <v>5.6</v>
      </c>
      <c r="H14" s="1">
        <v>413600</v>
      </c>
      <c r="I14" s="1">
        <v>8800</v>
      </c>
      <c r="J14" s="1">
        <v>5.2</v>
      </c>
      <c r="K14" s="1">
        <v>5.65</v>
      </c>
      <c r="L14" s="1">
        <v>8800</v>
      </c>
      <c r="M14" s="9"/>
      <c r="N14" s="7" t="e">
        <f t="shared" ca="1" si="0"/>
        <v>#DIV/0!</v>
      </c>
      <c r="O14" s="7" t="e">
        <f t="shared" ca="1" si="1"/>
        <v>#DIV/0!</v>
      </c>
      <c r="P14" s="33">
        <f t="shared" ca="1" si="2"/>
        <v>0</v>
      </c>
      <c r="Q14" s="33">
        <f t="shared" ca="1" si="3"/>
        <v>0</v>
      </c>
      <c r="R14" s="7" t="e">
        <f t="shared" ca="1" si="4"/>
        <v>#DIV/0!</v>
      </c>
      <c r="S1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#DIV/0!</v>
      </c>
      <c r="W1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#DIV/0!</v>
      </c>
      <c r="AA14" s="1"/>
      <c r="AB14" s="1"/>
    </row>
    <row r="15" spans="1:36" x14ac:dyDescent="0.25">
      <c r="A15" s="3"/>
      <c r="B15" s="25">
        <v>43979</v>
      </c>
      <c r="C15" s="10" t="s">
        <v>1757</v>
      </c>
      <c r="D15" s="1">
        <v>27.85</v>
      </c>
      <c r="E15" s="30">
        <v>8800</v>
      </c>
      <c r="F15" s="1">
        <v>30</v>
      </c>
      <c r="G15" s="1">
        <v>3.1</v>
      </c>
      <c r="H15" s="1">
        <v>2560800</v>
      </c>
      <c r="I15" s="1">
        <v>17600</v>
      </c>
      <c r="J15" s="1">
        <v>3.1</v>
      </c>
      <c r="K15" s="1">
        <v>3.2</v>
      </c>
      <c r="L15" s="1">
        <v>17600</v>
      </c>
      <c r="M15" s="9"/>
      <c r="N15" s="7" t="e">
        <f t="shared" ca="1" si="0"/>
        <v>#DIV/0!</v>
      </c>
      <c r="O15" s="7" t="e">
        <f t="shared" ca="1" si="1"/>
        <v>#DIV/0!</v>
      </c>
      <c r="P15" s="33">
        <f t="shared" ca="1" si="2"/>
        <v>0</v>
      </c>
      <c r="Q15" s="33">
        <f t="shared" ca="1" si="3"/>
        <v>0</v>
      </c>
      <c r="R15" s="7" t="e">
        <f t="shared" ca="1" si="4"/>
        <v>#DIV/0!</v>
      </c>
      <c r="S1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#DIV/0!</v>
      </c>
      <c r="W1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#DIV/0!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ca="1" si="0"/>
        <v>#DIV/0!</v>
      </c>
      <c r="O16" s="7" t="e">
        <f t="shared" ca="1" si="1"/>
        <v>#DIV/0!</v>
      </c>
      <c r="P16" s="33">
        <f t="shared" ca="1" si="2"/>
        <v>0</v>
      </c>
      <c r="Q16" s="33">
        <f t="shared" ca="1" si="3"/>
        <v>0</v>
      </c>
      <c r="R16" s="7" t="e">
        <f t="shared" ca="1" si="4"/>
        <v>#DIV/0!</v>
      </c>
      <c r="S1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#DIV/0!</v>
      </c>
      <c r="W1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ca="1" si="0"/>
        <v>#DIV/0!</v>
      </c>
      <c r="O17" s="7" t="e">
        <f t="shared" ca="1" si="1"/>
        <v>#DIV/0!</v>
      </c>
      <c r="P17" s="33">
        <f t="shared" ca="1" si="2"/>
        <v>0</v>
      </c>
      <c r="Q17" s="33">
        <f t="shared" ca="1" si="3"/>
        <v>0</v>
      </c>
      <c r="R17" s="7" t="e">
        <f t="shared" ca="1" si="4"/>
        <v>#DIV/0!</v>
      </c>
      <c r="S1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#DIV/0!</v>
      </c>
      <c r="W1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ca="1" si="0"/>
        <v>#DIV/0!</v>
      </c>
      <c r="O18" s="7" t="e">
        <f t="shared" ca="1" si="1"/>
        <v>#DIV/0!</v>
      </c>
      <c r="P18" s="33">
        <f t="shared" ca="1" si="2"/>
        <v>0</v>
      </c>
      <c r="Q18" s="33">
        <f t="shared" ca="1" si="3"/>
        <v>0</v>
      </c>
      <c r="R18" s="7" t="e">
        <f t="shared" ca="1" si="4"/>
        <v>#DIV/0!</v>
      </c>
      <c r="S1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#DIV/0!</v>
      </c>
      <c r="W1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ca="1" si="0"/>
        <v>#DIV/0!</v>
      </c>
      <c r="O19" s="7" t="e">
        <f t="shared" ca="1" si="1"/>
        <v>#DIV/0!</v>
      </c>
      <c r="P19" s="33">
        <f t="shared" ca="1" si="2"/>
        <v>0</v>
      </c>
      <c r="Q19" s="33">
        <f t="shared" ca="1" si="3"/>
        <v>0</v>
      </c>
      <c r="R19" s="7" t="e">
        <f t="shared" ca="1" si="4"/>
        <v>#DIV/0!</v>
      </c>
      <c r="S1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#DIV/0!</v>
      </c>
      <c r="W1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ca="1" si="0"/>
        <v>#DIV/0!</v>
      </c>
      <c r="O20" s="7" t="e">
        <f t="shared" ca="1" si="1"/>
        <v>#DIV/0!</v>
      </c>
      <c r="P20" s="33">
        <f t="shared" ca="1" si="2"/>
        <v>0</v>
      </c>
      <c r="Q20" s="33">
        <f t="shared" ca="1" si="3"/>
        <v>0</v>
      </c>
      <c r="R20" s="7" t="e">
        <f t="shared" ca="1" si="4"/>
        <v>#DIV/0!</v>
      </c>
      <c r="S2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#DIV/0!</v>
      </c>
      <c r="W2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ca="1" si="0"/>
        <v>#DIV/0!</v>
      </c>
      <c r="O21" s="7" t="e">
        <f t="shared" ca="1" si="1"/>
        <v>#DIV/0!</v>
      </c>
      <c r="P21" s="33">
        <f t="shared" ca="1" si="2"/>
        <v>0</v>
      </c>
      <c r="Q21" s="33">
        <f t="shared" ca="1" si="3"/>
        <v>0</v>
      </c>
      <c r="R21" s="7" t="e">
        <f t="shared" ca="1" si="4"/>
        <v>#DIV/0!</v>
      </c>
      <c r="S2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#DIV/0!</v>
      </c>
      <c r="W2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ca="1" si="0"/>
        <v>#DIV/0!</v>
      </c>
      <c r="O22" s="7" t="e">
        <f t="shared" ca="1" si="1"/>
        <v>#DIV/0!</v>
      </c>
      <c r="P22" s="33">
        <f t="shared" ca="1" si="2"/>
        <v>0</v>
      </c>
      <c r="Q22" s="33">
        <f t="shared" ca="1" si="3"/>
        <v>0</v>
      </c>
      <c r="R22" s="7" t="e">
        <f t="shared" ca="1" si="4"/>
        <v>#DIV/0!</v>
      </c>
      <c r="S2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#DIV/0!</v>
      </c>
      <c r="W2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ca="1" si="0"/>
        <v>#DIV/0!</v>
      </c>
      <c r="O23" s="7" t="e">
        <f t="shared" ca="1" si="1"/>
        <v>#DIV/0!</v>
      </c>
      <c r="P23" s="33">
        <f t="shared" ca="1" si="2"/>
        <v>0</v>
      </c>
      <c r="Q23" s="33">
        <f t="shared" ca="1" si="3"/>
        <v>0</v>
      </c>
      <c r="R23" s="7" t="e">
        <f t="shared" ca="1" si="4"/>
        <v>#DIV/0!</v>
      </c>
      <c r="S2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#DIV/0!</v>
      </c>
      <c r="W2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ca="1" si="0"/>
        <v>#DIV/0!</v>
      </c>
      <c r="O24" s="7" t="e">
        <f t="shared" ca="1" si="1"/>
        <v>#DIV/0!</v>
      </c>
      <c r="P24" s="33">
        <f t="shared" ca="1" si="2"/>
        <v>0</v>
      </c>
      <c r="Q24" s="33">
        <f t="shared" ca="1" si="3"/>
        <v>0</v>
      </c>
      <c r="R24" s="7" t="e">
        <f t="shared" ca="1" si="4"/>
        <v>#DIV/0!</v>
      </c>
      <c r="S2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#DIV/0!</v>
      </c>
      <c r="W2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ca="1" si="0"/>
        <v>#DIV/0!</v>
      </c>
      <c r="O25" s="7" t="e">
        <f t="shared" ca="1" si="1"/>
        <v>#DIV/0!</v>
      </c>
      <c r="P25" s="33">
        <f t="shared" ca="1" si="2"/>
        <v>0</v>
      </c>
      <c r="Q25" s="33">
        <f t="shared" ca="1" si="3"/>
        <v>0</v>
      </c>
      <c r="R25" s="7" t="e">
        <f t="shared" ca="1" si="4"/>
        <v>#DIV/0!</v>
      </c>
      <c r="S2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#DIV/0!</v>
      </c>
      <c r="W2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ca="1" si="0"/>
        <v>#DIV/0!</v>
      </c>
      <c r="O26" s="7" t="e">
        <f t="shared" ca="1" si="1"/>
        <v>#DIV/0!</v>
      </c>
      <c r="P26" s="33">
        <f t="shared" ca="1" si="2"/>
        <v>0</v>
      </c>
      <c r="Q26" s="33">
        <f t="shared" ca="1" si="3"/>
        <v>0</v>
      </c>
      <c r="R26" s="7" t="e">
        <f t="shared" ca="1" si="4"/>
        <v>#DIV/0!</v>
      </c>
      <c r="S2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#DIV/0!</v>
      </c>
      <c r="W2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ca="1" si="0"/>
        <v>#DIV/0!</v>
      </c>
      <c r="O27" s="7" t="e">
        <f t="shared" ca="1" si="1"/>
        <v>#DIV/0!</v>
      </c>
      <c r="P27" s="33">
        <f t="shared" ca="1" si="2"/>
        <v>0</v>
      </c>
      <c r="Q27" s="33">
        <f t="shared" ca="1" si="3"/>
        <v>0</v>
      </c>
      <c r="R27" s="7" t="e">
        <f t="shared" ca="1" si="4"/>
        <v>#DIV/0!</v>
      </c>
      <c r="S2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#DIV/0!</v>
      </c>
      <c r="W2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ca="1" si="0"/>
        <v>#DIV/0!</v>
      </c>
      <c r="O28" s="7" t="e">
        <f t="shared" ca="1" si="1"/>
        <v>#DIV/0!</v>
      </c>
      <c r="P28" s="33">
        <f t="shared" ca="1" si="2"/>
        <v>0</v>
      </c>
      <c r="Q28" s="33">
        <f t="shared" ca="1" si="3"/>
        <v>0</v>
      </c>
      <c r="R28" s="7" t="e">
        <f t="shared" ca="1" si="4"/>
        <v>#DIV/0!</v>
      </c>
      <c r="S2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#DIV/0!</v>
      </c>
      <c r="W2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ca="1" si="0"/>
        <v>#DIV/0!</v>
      </c>
      <c r="O29" s="7" t="e">
        <f t="shared" ca="1" si="1"/>
        <v>#DIV/0!</v>
      </c>
      <c r="P29" s="33">
        <f t="shared" ca="1" si="2"/>
        <v>0</v>
      </c>
      <c r="Q29" s="33">
        <f t="shared" ca="1" si="3"/>
        <v>0</v>
      </c>
      <c r="R29" s="7" t="e">
        <f t="shared" ca="1" si="4"/>
        <v>#DIV/0!</v>
      </c>
      <c r="S2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#DIV/0!</v>
      </c>
      <c r="W2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ca="1" si="0"/>
        <v>#DIV/0!</v>
      </c>
      <c r="O30" s="7" t="e">
        <f t="shared" ca="1" si="1"/>
        <v>#DIV/0!</v>
      </c>
      <c r="P30" s="33">
        <f t="shared" ca="1" si="2"/>
        <v>0</v>
      </c>
      <c r="Q30" s="33">
        <f t="shared" ca="1" si="3"/>
        <v>0</v>
      </c>
      <c r="R30" s="7" t="e">
        <f t="shared" ca="1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ca="1" si="0"/>
        <v>#DIV/0!</v>
      </c>
      <c r="O31" s="7" t="e">
        <f t="shared" ca="1" si="1"/>
        <v>#DIV/0!</v>
      </c>
      <c r="P31" s="33">
        <f t="shared" ca="1" si="2"/>
        <v>0</v>
      </c>
      <c r="Q31" s="33">
        <f t="shared" ca="1" si="3"/>
        <v>0</v>
      </c>
      <c r="R31" s="7" t="e">
        <f t="shared" ca="1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ca="1" si="0"/>
        <v>#DIV/0!</v>
      </c>
      <c r="O32" s="7" t="e">
        <f t="shared" ca="1" si="1"/>
        <v>#DIV/0!</v>
      </c>
      <c r="P32" s="33">
        <f t="shared" ca="1" si="2"/>
        <v>0</v>
      </c>
      <c r="Q32" s="33">
        <f t="shared" ca="1" si="3"/>
        <v>0</v>
      </c>
      <c r="R32" s="7" t="e">
        <f t="shared" ca="1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ca="1" si="0"/>
        <v>#DIV/0!</v>
      </c>
      <c r="O33" s="7" t="e">
        <f t="shared" ca="1" si="1"/>
        <v>#DIV/0!</v>
      </c>
      <c r="P33" s="33">
        <f t="shared" ca="1" si="2"/>
        <v>0</v>
      </c>
      <c r="Q33" s="33">
        <f t="shared" ca="1" si="3"/>
        <v>0</v>
      </c>
      <c r="R33" s="7" t="e">
        <f t="shared" ca="1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ca="1" si="0"/>
        <v>#DIV/0!</v>
      </c>
      <c r="O34" s="7" t="e">
        <f t="shared" ca="1" si="1"/>
        <v>#DIV/0!</v>
      </c>
      <c r="P34" s="33">
        <f t="shared" ca="1" si="2"/>
        <v>0</v>
      </c>
      <c r="Q34" s="33">
        <f t="shared" ca="1" si="3"/>
        <v>0</v>
      </c>
      <c r="R34" s="7" t="e">
        <f t="shared" ca="1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ca="1" si="0"/>
        <v>#DIV/0!</v>
      </c>
      <c r="O35" s="7" t="e">
        <f t="shared" ca="1" si="1"/>
        <v>#DIV/0!</v>
      </c>
      <c r="P35" s="33">
        <f t="shared" ca="1" si="2"/>
        <v>0</v>
      </c>
      <c r="Q35" s="33">
        <f t="shared" ca="1" si="3"/>
        <v>0</v>
      </c>
      <c r="R35" s="7" t="e">
        <f t="shared" ca="1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ca="1" si="0"/>
        <v>#DIV/0!</v>
      </c>
      <c r="O36" s="7" t="e">
        <f t="shared" ca="1" si="1"/>
        <v>#DIV/0!</v>
      </c>
      <c r="P36" s="33">
        <f t="shared" ca="1" si="2"/>
        <v>0</v>
      </c>
      <c r="Q36" s="33">
        <f t="shared" ca="1" si="3"/>
        <v>0</v>
      </c>
      <c r="R36" s="7" t="e">
        <f t="shared" ca="1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ca="1" si="0"/>
        <v>#DIV/0!</v>
      </c>
      <c r="O37" s="7" t="e">
        <f t="shared" ca="1" si="1"/>
        <v>#DIV/0!</v>
      </c>
      <c r="P37" s="33">
        <f t="shared" ca="1" si="2"/>
        <v>0</v>
      </c>
      <c r="Q37" s="33">
        <f t="shared" ca="1" si="3"/>
        <v>0</v>
      </c>
      <c r="R37" s="7" t="e">
        <f t="shared" ca="1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ca="1" si="0"/>
        <v>#DIV/0!</v>
      </c>
      <c r="O38" s="7" t="e">
        <f t="shared" ca="1" si="1"/>
        <v>#DIV/0!</v>
      </c>
      <c r="P38" s="33">
        <f t="shared" ca="1" si="2"/>
        <v>0</v>
      </c>
      <c r="Q38" s="33">
        <f t="shared" ca="1" si="3"/>
        <v>0</v>
      </c>
      <c r="R38" s="7" t="e">
        <f t="shared" ca="1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ca="1" si="0"/>
        <v>#DIV/0!</v>
      </c>
      <c r="O39" s="7" t="e">
        <f t="shared" ca="1" si="1"/>
        <v>#DIV/0!</v>
      </c>
      <c r="P39" s="33">
        <f t="shared" ca="1" si="2"/>
        <v>0</v>
      </c>
      <c r="Q39" s="33">
        <f t="shared" ca="1" si="3"/>
        <v>0</v>
      </c>
      <c r="R39" s="7" t="e">
        <f t="shared" ca="1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ca="1" si="0"/>
        <v>#DIV/0!</v>
      </c>
      <c r="O40" s="7" t="e">
        <f t="shared" ca="1" si="1"/>
        <v>#DIV/0!</v>
      </c>
      <c r="P40" s="33">
        <f t="shared" ca="1" si="2"/>
        <v>0</v>
      </c>
      <c r="Q40" s="33">
        <f t="shared" ca="1" si="3"/>
        <v>0</v>
      </c>
      <c r="R40" s="7" t="e">
        <f t="shared" ca="1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ca="1" si="0"/>
        <v>#DIV/0!</v>
      </c>
      <c r="O41" s="7" t="e">
        <f t="shared" ca="1" si="1"/>
        <v>#DIV/0!</v>
      </c>
      <c r="P41" s="33">
        <f t="shared" ca="1" si="2"/>
        <v>0</v>
      </c>
      <c r="Q41" s="33">
        <f t="shared" ca="1" si="3"/>
        <v>0</v>
      </c>
      <c r="R41" s="7" t="e">
        <f t="shared" ca="1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ca="1" si="0"/>
        <v>#DIV/0!</v>
      </c>
      <c r="O42" s="7" t="e">
        <f t="shared" ca="1" si="1"/>
        <v>#DIV/0!</v>
      </c>
      <c r="P42" s="33">
        <f t="shared" ca="1" si="2"/>
        <v>0</v>
      </c>
      <c r="Q42" s="33">
        <f t="shared" ca="1" si="3"/>
        <v>0</v>
      </c>
      <c r="R42" s="7" t="e">
        <f t="shared" ca="1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4"/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si="2">R4/D4-1</f>
        <v>-0.79104477611940305</v>
      </c>
      <c r="R4" s="33">
        <f t="shared" ref="R4:R35" si="3">mrigxl_stockquote(C4)</f>
        <v>1.4</v>
      </c>
      <c r="S4" s="33">
        <f t="shared" ref="S4:S35" si="4">(MIN(F4,R4)-D4+G4)*E4</f>
        <v>-161500.00000000003</v>
      </c>
      <c r="T4" s="7">
        <f t="shared" ref="T4:T35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si="2"/>
        <v>-0.79104477611940305</v>
      </c>
      <c r="R5" s="33">
        <f t="shared" si="3"/>
        <v>1.4</v>
      </c>
      <c r="S5" s="33">
        <f t="shared" si="4"/>
        <v>-164900.00000000003</v>
      </c>
      <c r="T5" s="7">
        <f t="shared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si="2"/>
        <v>-1.6611295681063121E-2</v>
      </c>
      <c r="R6" s="33">
        <f t="shared" si="3"/>
        <v>148</v>
      </c>
      <c r="S6" s="33">
        <f t="shared" si="4"/>
        <v>14600.000000000002</v>
      </c>
      <c r="T6" s="7">
        <f t="shared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si="2"/>
        <v>-0.57425742574257432</v>
      </c>
      <c r="R7" s="33">
        <f t="shared" si="3"/>
        <v>34.4</v>
      </c>
      <c r="S7" s="33">
        <f t="shared" si="4"/>
        <v>-261000</v>
      </c>
      <c r="T7" s="7">
        <f t="shared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si="2"/>
        <v>-0.60299116247450713</v>
      </c>
      <c r="R8" s="33">
        <f t="shared" si="3"/>
        <v>29.2</v>
      </c>
      <c r="S8" s="33">
        <f t="shared" si="4"/>
        <v>-252299.99999999997</v>
      </c>
      <c r="T8" s="7">
        <f t="shared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si="2"/>
        <v>-0.15137889688249395</v>
      </c>
      <c r="R9" s="33">
        <f t="shared" si="3"/>
        <v>141.55000000000001</v>
      </c>
      <c r="S9" s="33">
        <f t="shared" si="4"/>
        <v>-49125</v>
      </c>
      <c r="T9" s="7">
        <f t="shared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si="2"/>
        <v>0.19231685054369385</v>
      </c>
      <c r="R10" s="33">
        <f t="shared" si="3"/>
        <v>751.1</v>
      </c>
      <c r="S10" s="33">
        <f t="shared" si="4"/>
        <v>54174.999999999956</v>
      </c>
      <c r="T10" s="7">
        <f t="shared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si="2"/>
        <v>-1.6611295681063121E-2</v>
      </c>
      <c r="R11" s="33">
        <f t="shared" si="3"/>
        <v>148</v>
      </c>
      <c r="S11" s="33">
        <f t="shared" si="4"/>
        <v>19000</v>
      </c>
      <c r="T11" s="7">
        <f t="shared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si="2"/>
        <v>-0.51760228353948623</v>
      </c>
      <c r="R12" s="33">
        <f t="shared" si="3"/>
        <v>50.7</v>
      </c>
      <c r="S12" s="33">
        <f t="shared" si="4"/>
        <v>-204799.99999999994</v>
      </c>
      <c r="T12" s="7">
        <f t="shared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si="2"/>
        <v>-0.95263598326359833</v>
      </c>
      <c r="R13" s="33">
        <f t="shared" si="3"/>
        <v>14.15</v>
      </c>
      <c r="S13" s="33">
        <f t="shared" si="4"/>
        <v>-351910.00000000006</v>
      </c>
      <c r="T13" s="7">
        <f t="shared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si="2"/>
        <v>9.4082840236686449E-2</v>
      </c>
      <c r="R14" s="33">
        <f t="shared" si="3"/>
        <v>92.45</v>
      </c>
      <c r="S14" s="33">
        <f t="shared" si="4"/>
        <v>36000</v>
      </c>
      <c r="T14" s="7">
        <f t="shared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si="2"/>
        <v>-0.57425742574257432</v>
      </c>
      <c r="R15" s="33">
        <f t="shared" si="3"/>
        <v>34.4</v>
      </c>
      <c r="S15" s="33">
        <f t="shared" si="4"/>
        <v>-255000</v>
      </c>
      <c r="T15" s="7">
        <f t="shared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si="2"/>
        <v>-0.58355437665782506</v>
      </c>
      <c r="R16" s="33">
        <f t="shared" si="3"/>
        <v>15.7</v>
      </c>
      <c r="S16" s="33">
        <f t="shared" si="4"/>
        <v>-273900.00000000006</v>
      </c>
      <c r="T16" s="7">
        <f t="shared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si="2"/>
        <v>-0.95263598326359833</v>
      </c>
      <c r="R17" s="33">
        <f t="shared" si="3"/>
        <v>14.15</v>
      </c>
      <c r="S17" s="33">
        <f t="shared" si="4"/>
        <v>-345605.00000000006</v>
      </c>
      <c r="T17" s="7">
        <f t="shared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si="2"/>
        <v>0.11041990668740298</v>
      </c>
      <c r="R18" s="33">
        <f t="shared" si="3"/>
        <v>35.700000000000003</v>
      </c>
      <c r="S18" s="33">
        <f t="shared" si="4"/>
        <v>19350.000000000011</v>
      </c>
      <c r="T18" s="7">
        <f t="shared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si="2"/>
        <v>-0.67058823529411771</v>
      </c>
      <c r="R19" s="33">
        <f t="shared" si="3"/>
        <v>4.2</v>
      </c>
      <c r="S19" s="33">
        <f t="shared" si="4"/>
        <v>-198750.00000000003</v>
      </c>
      <c r="T19" s="7">
        <f t="shared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si="2"/>
        <v>-0.62967504598405888</v>
      </c>
      <c r="R20" s="33">
        <f t="shared" si="3"/>
        <v>90.6</v>
      </c>
      <c r="S20" s="33">
        <f t="shared" si="4"/>
        <v>-286300</v>
      </c>
      <c r="T20" s="7">
        <f t="shared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si="2"/>
        <v>-0.15137889688249395</v>
      </c>
      <c r="R21" s="33">
        <f t="shared" si="3"/>
        <v>141.55000000000001</v>
      </c>
      <c r="S21" s="33">
        <f t="shared" si="4"/>
        <v>-43500</v>
      </c>
      <c r="T21" s="7">
        <f t="shared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si="2"/>
        <v>3.5888252148997157E-2</v>
      </c>
      <c r="R22" s="33">
        <f t="shared" si="3"/>
        <v>723.05</v>
      </c>
      <c r="S22" s="33">
        <f t="shared" si="4"/>
        <v>22825</v>
      </c>
      <c r="T22" s="7">
        <f t="shared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si="2"/>
        <v>-3.849557522123892E-2</v>
      </c>
      <c r="R23" s="33">
        <f t="shared" si="3"/>
        <v>217.3</v>
      </c>
      <c r="S23" s="33">
        <f t="shared" si="4"/>
        <v>3228.7500000000177</v>
      </c>
      <c r="T23" s="7">
        <f t="shared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si="2"/>
        <v>-0.60299116247450713</v>
      </c>
      <c r="R24" s="33">
        <f t="shared" si="3"/>
        <v>29.2</v>
      </c>
      <c r="S24" s="33">
        <f t="shared" si="4"/>
        <v>-246299.99999999997</v>
      </c>
      <c r="T24" s="7">
        <f t="shared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si="2"/>
        <v>-0.5143939393939394</v>
      </c>
      <c r="R25" s="33">
        <f t="shared" si="3"/>
        <v>32.049999999999997</v>
      </c>
      <c r="S25" s="33">
        <f t="shared" si="4"/>
        <v>-172150.00000000003</v>
      </c>
      <c r="T25" s="7">
        <f t="shared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si="2"/>
        <v>-0.21546529792457048</v>
      </c>
      <c r="R26" s="33">
        <f t="shared" si="3"/>
        <v>351.55</v>
      </c>
      <c r="S26" s="33">
        <f t="shared" si="4"/>
        <v>-62040.000000000007</v>
      </c>
      <c r="T26" s="7">
        <f t="shared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si="2"/>
        <v>-0.47762998790810152</v>
      </c>
      <c r="R27" s="33">
        <f t="shared" si="3"/>
        <v>43.2</v>
      </c>
      <c r="S27" s="33">
        <f t="shared" si="4"/>
        <v>-293600</v>
      </c>
      <c r="T27" s="7">
        <f t="shared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si="2"/>
        <v>-0.10572259941804063</v>
      </c>
      <c r="R28" s="33">
        <f t="shared" si="3"/>
        <v>92.2</v>
      </c>
      <c r="S28" s="33">
        <f t="shared" si="4"/>
        <v>-38999.999999999949</v>
      </c>
      <c r="T28" s="7">
        <f t="shared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si="2"/>
        <v>0.19231685054369385</v>
      </c>
      <c r="R29" s="33">
        <f t="shared" si="3"/>
        <v>751.1</v>
      </c>
      <c r="S29" s="33">
        <f t="shared" si="4"/>
        <v>41634.999999999949</v>
      </c>
      <c r="T29" s="7">
        <f t="shared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si="2"/>
        <v>-0.21546529792457048</v>
      </c>
      <c r="R30" s="33">
        <f t="shared" si="3"/>
        <v>351.55</v>
      </c>
      <c r="S30" s="33">
        <f t="shared" si="4"/>
        <v>-57240.000000000007</v>
      </c>
      <c r="T30" s="7">
        <f t="shared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si="2"/>
        <v>-0.62967504598405888</v>
      </c>
      <c r="R31" s="33">
        <f t="shared" si="3"/>
        <v>90.6</v>
      </c>
      <c r="S31" s="33">
        <f t="shared" si="4"/>
        <v>-280200.00000000006</v>
      </c>
      <c r="T31" s="7">
        <f t="shared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si="2"/>
        <v>0.14729166666666682</v>
      </c>
      <c r="R32" s="33">
        <f t="shared" si="3"/>
        <v>275.35000000000002</v>
      </c>
      <c r="S32" s="33">
        <f t="shared" si="4"/>
        <v>17500</v>
      </c>
      <c r="T32" s="7">
        <f t="shared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si="2"/>
        <v>0.11495535714285721</v>
      </c>
      <c r="R33" s="33">
        <f t="shared" si="3"/>
        <v>49.95</v>
      </c>
      <c r="S33" s="33">
        <f t="shared" si="4"/>
        <v>28600.000000000029</v>
      </c>
      <c r="T33" s="7">
        <f t="shared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si="2"/>
        <v>0.12186490229266056</v>
      </c>
      <c r="R34" s="33">
        <f t="shared" si="3"/>
        <v>364.55</v>
      </c>
      <c r="S34" s="33">
        <f t="shared" si="4"/>
        <v>33210.000000000015</v>
      </c>
      <c r="T34" s="7">
        <f t="shared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si="2"/>
        <v>0.17172393588080181</v>
      </c>
      <c r="R35" s="33">
        <f t="shared" si="3"/>
        <v>1399.8</v>
      </c>
      <c r="S35" s="33">
        <f t="shared" si="4"/>
        <v>33674.999999999956</v>
      </c>
      <c r="T35" s="7">
        <f t="shared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si="9">R36/D36-1</f>
        <v>-0.94213381555153708</v>
      </c>
      <c r="R36" s="33">
        <f t="shared" ref="R36:R67" si="10">mrigxl_stockquote(C36)</f>
        <v>1.6</v>
      </c>
      <c r="S36" s="33">
        <f t="shared" ref="S36:S67" si="11">(MIN(F36,R36)-D36+G36)*E36</f>
        <v>-318499.99999999994</v>
      </c>
      <c r="T36" s="7">
        <f t="shared" ref="T36:T67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si="9"/>
        <v>-0.53214513049013368</v>
      </c>
      <c r="R37" s="33">
        <f t="shared" si="10"/>
        <v>73.5</v>
      </c>
      <c r="S37" s="33">
        <f t="shared" si="11"/>
        <v>-186479.99999999997</v>
      </c>
      <c r="T37" s="7">
        <f t="shared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si="9"/>
        <v>-0.47794373046196592</v>
      </c>
      <c r="R38" s="33">
        <f t="shared" si="10"/>
        <v>75.150000000000006</v>
      </c>
      <c r="S38" s="33">
        <f t="shared" si="11"/>
        <v>-154499.99999999997</v>
      </c>
      <c r="T38" s="7">
        <f t="shared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si="9"/>
        <v>-0.60614081524616203</v>
      </c>
      <c r="R39" s="33">
        <f t="shared" si="10"/>
        <v>334.8</v>
      </c>
      <c r="S39" s="33">
        <f t="shared" si="11"/>
        <v>-263202.5</v>
      </c>
      <c r="T39" s="7">
        <f t="shared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si="9"/>
        <v>-0.40088888888888885</v>
      </c>
      <c r="R40" s="33">
        <f t="shared" si="10"/>
        <v>67.400000000000006</v>
      </c>
      <c r="S40" s="33">
        <f t="shared" si="11"/>
        <v>-145249.99999999997</v>
      </c>
      <c r="T40" s="7">
        <f t="shared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si="9"/>
        <v>-3.849557522123892E-2</v>
      </c>
      <c r="R41" s="33">
        <f t="shared" si="10"/>
        <v>217.3</v>
      </c>
      <c r="S41" s="33">
        <f t="shared" si="11"/>
        <v>6772.5000000000182</v>
      </c>
      <c r="T41" s="7">
        <f t="shared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si="9"/>
        <v>-1.4367816091953589E-3</v>
      </c>
      <c r="R42" s="33">
        <f t="shared" si="10"/>
        <v>347.5</v>
      </c>
      <c r="S42" s="33">
        <f t="shared" si="11"/>
        <v>43862.5</v>
      </c>
      <c r="T42" s="7">
        <f t="shared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si="9"/>
        <v>3.8932146829810943E-3</v>
      </c>
      <c r="R43" s="33">
        <f t="shared" si="10"/>
        <v>90.25</v>
      </c>
      <c r="S43" s="33">
        <f t="shared" si="11"/>
        <v>27899.999999999964</v>
      </c>
      <c r="T43" s="7">
        <f t="shared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si="9"/>
        <v>0.11041990668740298</v>
      </c>
      <c r="R44" s="33">
        <f t="shared" si="10"/>
        <v>35.700000000000003</v>
      </c>
      <c r="S44" s="33">
        <f t="shared" si="11"/>
        <v>14850.000000000013</v>
      </c>
      <c r="T44" s="7">
        <f t="shared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si="9"/>
        <v>0.74083209998355515</v>
      </c>
      <c r="R45" s="33">
        <f t="shared" si="10"/>
        <v>529.29999999999995</v>
      </c>
      <c r="S45" s="33">
        <f t="shared" si="11"/>
        <v>26604.999999999978</v>
      </c>
      <c r="T45" s="7">
        <f t="shared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si="9"/>
        <v>-0.16193181818181823</v>
      </c>
      <c r="R46" s="33">
        <f t="shared" si="10"/>
        <v>368.75</v>
      </c>
      <c r="S46" s="33">
        <f t="shared" si="11"/>
        <v>-49000</v>
      </c>
      <c r="T46" s="7">
        <f t="shared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si="9"/>
        <v>-0.58355437665782506</v>
      </c>
      <c r="R47" s="33">
        <f t="shared" si="10"/>
        <v>15.7</v>
      </c>
      <c r="S47" s="33">
        <f t="shared" si="11"/>
        <v>-269280</v>
      </c>
      <c r="T47" s="7">
        <f t="shared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si="9"/>
        <v>0.11495535714285721</v>
      </c>
      <c r="R48" s="33">
        <f t="shared" si="10"/>
        <v>49.95</v>
      </c>
      <c r="S48" s="33">
        <f t="shared" si="11"/>
        <v>24750.000000000029</v>
      </c>
      <c r="T48" s="7">
        <f t="shared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si="9"/>
        <v>-0.10572259941804063</v>
      </c>
      <c r="R49" s="33">
        <f t="shared" si="10"/>
        <v>92.2</v>
      </c>
      <c r="S49" s="33">
        <f t="shared" si="11"/>
        <v>-30899.999999999949</v>
      </c>
      <c r="T49" s="7">
        <f t="shared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si="9"/>
        <v>-0.637029831387808</v>
      </c>
      <c r="R50" s="33">
        <f t="shared" si="10"/>
        <v>279.85000000000002</v>
      </c>
      <c r="S50" s="33">
        <f t="shared" si="11"/>
        <v>-369400</v>
      </c>
      <c r="T50" s="7">
        <f t="shared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si="9"/>
        <v>-0.76603911533540492</v>
      </c>
      <c r="R51" s="33">
        <f t="shared" si="10"/>
        <v>64</v>
      </c>
      <c r="S51" s="33">
        <f t="shared" si="11"/>
        <v>-296400.00000000006</v>
      </c>
      <c r="T51" s="7">
        <f t="shared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si="9"/>
        <v>-0.51760228353948623</v>
      </c>
      <c r="R52" s="33">
        <f t="shared" si="10"/>
        <v>50.7</v>
      </c>
      <c r="S52" s="33">
        <f t="shared" si="11"/>
        <v>-196799.99999999994</v>
      </c>
      <c r="T52" s="7">
        <f t="shared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si="9"/>
        <v>-0.39390454284071308</v>
      </c>
      <c r="R53" s="33">
        <f t="shared" si="10"/>
        <v>263.5</v>
      </c>
      <c r="S53" s="33">
        <f t="shared" si="11"/>
        <v>-171050</v>
      </c>
      <c r="T53" s="7">
        <f t="shared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si="9"/>
        <v>#VALUE!</v>
      </c>
      <c r="R54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si="11"/>
        <v>22949.999999999975</v>
      </c>
      <c r="T54" s="7">
        <f t="shared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si="9"/>
        <v>-0.48984063745019912</v>
      </c>
      <c r="R55" s="33">
        <f t="shared" si="10"/>
        <v>256.10000000000002</v>
      </c>
      <c r="S55" s="33">
        <f t="shared" si="11"/>
        <v>-201959.99999999997</v>
      </c>
      <c r="T55" s="7">
        <f t="shared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si="9"/>
        <v>-0.43071192052980134</v>
      </c>
      <c r="R56" s="33">
        <f t="shared" si="10"/>
        <v>343.85</v>
      </c>
      <c r="S56" s="33">
        <f t="shared" si="11"/>
        <v>-213569.99999999997</v>
      </c>
      <c r="T56" s="7">
        <f t="shared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si="9"/>
        <v>1.6001855287569589E-2</v>
      </c>
      <c r="R57" s="33">
        <f t="shared" si="10"/>
        <v>1095.25</v>
      </c>
      <c r="S57" s="33">
        <f t="shared" si="11"/>
        <v>37837.5</v>
      </c>
      <c r="T57" s="7">
        <f t="shared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si="9"/>
        <v>0.17172393588080181</v>
      </c>
      <c r="R58" s="33">
        <f t="shared" si="10"/>
        <v>1399.8</v>
      </c>
      <c r="S58" s="33">
        <f t="shared" si="11"/>
        <v>27499.999999999953</v>
      </c>
      <c r="T58" s="7">
        <f t="shared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si="9"/>
        <v>-0.34732824427480913</v>
      </c>
      <c r="R59" s="33">
        <f t="shared" si="10"/>
        <v>85.5</v>
      </c>
      <c r="S59" s="33">
        <f t="shared" si="11"/>
        <v>-123000</v>
      </c>
      <c r="T59" s="7">
        <f t="shared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si="9"/>
        <v>-0.48962655601659755</v>
      </c>
      <c r="R60" s="33">
        <f t="shared" si="10"/>
        <v>43.05</v>
      </c>
      <c r="S60" s="33">
        <f t="shared" si="11"/>
        <v>-209549.99999999997</v>
      </c>
      <c r="T60" s="7">
        <f t="shared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si="9"/>
        <v>-0.45554511278195498</v>
      </c>
      <c r="R61" s="33">
        <f t="shared" si="10"/>
        <v>289.64999999999998</v>
      </c>
      <c r="S61" s="33">
        <f t="shared" si="11"/>
        <v>-226350.00000000003</v>
      </c>
      <c r="T61" s="7">
        <f t="shared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si="9"/>
        <v>-0.46383182799136757</v>
      </c>
      <c r="R62" s="33">
        <f t="shared" si="10"/>
        <v>335.4</v>
      </c>
      <c r="S62" s="33">
        <f t="shared" si="11"/>
        <v>-266599.99999999994</v>
      </c>
      <c r="T62" s="7">
        <f t="shared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si="9"/>
        <v>-0.60614081524616203</v>
      </c>
      <c r="R63" s="33">
        <f t="shared" si="10"/>
        <v>334.8</v>
      </c>
      <c r="S63" s="33">
        <f t="shared" si="11"/>
        <v>-256987.5</v>
      </c>
      <c r="T63" s="7">
        <f t="shared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si="9"/>
        <v>-0.16485638426261162</v>
      </c>
      <c r="R64" s="33">
        <f t="shared" si="10"/>
        <v>173</v>
      </c>
      <c r="S64" s="33">
        <f t="shared" si="11"/>
        <v>-69625.000000000015</v>
      </c>
      <c r="T64" s="7">
        <f t="shared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si="9"/>
        <v>1.6001855287569589E-2</v>
      </c>
      <c r="R65" s="33">
        <f t="shared" si="10"/>
        <v>1095.25</v>
      </c>
      <c r="S65" s="33">
        <f t="shared" si="11"/>
        <v>35587.5</v>
      </c>
      <c r="T65" s="7">
        <f t="shared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si="9"/>
        <v>-0.5143939393939394</v>
      </c>
      <c r="R66" s="33">
        <f t="shared" si="10"/>
        <v>32.049999999999997</v>
      </c>
      <c r="S66" s="33">
        <f t="shared" si="11"/>
        <v>-165275.00000000003</v>
      </c>
      <c r="T66" s="7">
        <f t="shared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si="9"/>
        <v>-0.18614901794844674</v>
      </c>
      <c r="R67" s="33">
        <f t="shared" si="10"/>
        <v>1154</v>
      </c>
      <c r="S67" s="33">
        <f t="shared" si="11"/>
        <v>-73580.000000000015</v>
      </c>
      <c r="T67" s="7">
        <f t="shared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si="16">R68/D68-1</f>
        <v>-0.23722538649308378</v>
      </c>
      <c r="R68" s="33">
        <f t="shared" ref="R68:R99" si="17">mrigxl_stockquote(C68)</f>
        <v>937.45</v>
      </c>
      <c r="S68" s="33">
        <f t="shared" ref="S68:S99" si="18">(MIN(F68,R68)-D68+G68)*E68</f>
        <v>-174194.99999999997</v>
      </c>
      <c r="T68" s="7">
        <f t="shared" ref="T68:T99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si="16"/>
        <v>-0.94213381555153708</v>
      </c>
      <c r="R69" s="33">
        <f t="shared" si="17"/>
        <v>1.6</v>
      </c>
      <c r="S69" s="33">
        <f t="shared" si="18"/>
        <v>-323050</v>
      </c>
      <c r="T69" s="7">
        <f t="shared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si="16"/>
        <v>0.78373565492679065</v>
      </c>
      <c r="R70" s="33">
        <f t="shared" si="17"/>
        <v>450.75</v>
      </c>
      <c r="S70" s="33">
        <f t="shared" si="18"/>
        <v>29975.000000000029</v>
      </c>
      <c r="T70" s="7">
        <f t="shared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si="16"/>
        <v>-0.53214513049013368</v>
      </c>
      <c r="R71" s="33">
        <f t="shared" si="17"/>
        <v>73.5</v>
      </c>
      <c r="S71" s="33">
        <f t="shared" si="18"/>
        <v>-179520</v>
      </c>
      <c r="T71" s="7">
        <f t="shared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si="16"/>
        <v>-0.40088888888888885</v>
      </c>
      <c r="R72" s="33">
        <f t="shared" si="17"/>
        <v>67.400000000000006</v>
      </c>
      <c r="S72" s="33">
        <f t="shared" si="18"/>
        <v>-141224.99999999997</v>
      </c>
      <c r="T72" s="7">
        <f t="shared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si="16"/>
        <v>4.7721530831850156E-3</v>
      </c>
      <c r="R73" s="33">
        <f t="shared" si="17"/>
        <v>536.9</v>
      </c>
      <c r="S73" s="33">
        <f t="shared" si="18"/>
        <v>19449.999999999953</v>
      </c>
      <c r="T73" s="7">
        <f t="shared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si="16"/>
        <v>-0.37529411764705889</v>
      </c>
      <c r="R74" s="33">
        <f t="shared" si="17"/>
        <v>690.3</v>
      </c>
      <c r="S74" s="33">
        <f t="shared" si="18"/>
        <v>-218370.00000000003</v>
      </c>
      <c r="T74" s="7">
        <f t="shared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si="16"/>
        <v>-0.56957773512476007</v>
      </c>
      <c r="R75" s="33">
        <f t="shared" si="17"/>
        <v>44.85</v>
      </c>
      <c r="S75" s="33">
        <f t="shared" si="18"/>
        <v>-251775</v>
      </c>
      <c r="T75" s="7">
        <f t="shared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si="16"/>
        <v>0.1947398955714561</v>
      </c>
      <c r="R76" s="33">
        <f t="shared" si="17"/>
        <v>1235.5999999999999</v>
      </c>
      <c r="S76" s="33">
        <f t="shared" si="18"/>
        <v>22439.999999999975</v>
      </c>
      <c r="T76" s="7">
        <f t="shared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si="16"/>
        <v>-0.60604713205869276</v>
      </c>
      <c r="R77" s="33">
        <f t="shared" si="17"/>
        <v>88.6</v>
      </c>
      <c r="S77" s="33">
        <f t="shared" si="18"/>
        <v>-382950</v>
      </c>
      <c r="T77" s="7">
        <f t="shared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si="16"/>
        <v>-0.35062675471548899</v>
      </c>
      <c r="R78" s="33">
        <f t="shared" si="17"/>
        <v>821.1</v>
      </c>
      <c r="S78" s="33">
        <f t="shared" si="18"/>
        <v>-135817.5</v>
      </c>
      <c r="T78" s="7">
        <f t="shared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si="16"/>
        <v>3.8932146829810943E-3</v>
      </c>
      <c r="R79" s="33">
        <f t="shared" si="17"/>
        <v>90.25</v>
      </c>
      <c r="S79" s="33">
        <f t="shared" si="18"/>
        <v>20699.999999999964</v>
      </c>
      <c r="T79" s="7">
        <f t="shared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si="16"/>
        <v>-0.43071192052980134</v>
      </c>
      <c r="R80" s="33">
        <f t="shared" si="17"/>
        <v>343.85</v>
      </c>
      <c r="S80" s="33">
        <f t="shared" si="18"/>
        <v>-210059.99999999997</v>
      </c>
      <c r="T80" s="7">
        <f t="shared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si="16"/>
        <v>-0.25828533266549802</v>
      </c>
      <c r="R81" s="33">
        <f t="shared" si="17"/>
        <v>444.25</v>
      </c>
      <c r="S81" s="33">
        <f t="shared" si="18"/>
        <v>-159840.00000000006</v>
      </c>
      <c r="T81" s="7">
        <f t="shared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si="16"/>
        <v>-0.637029831387808</v>
      </c>
      <c r="R82" s="33">
        <f t="shared" si="17"/>
        <v>279.85000000000002</v>
      </c>
      <c r="S82" s="33">
        <f t="shared" si="18"/>
        <v>-361039.99999999994</v>
      </c>
      <c r="T82" s="7">
        <f t="shared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si="16"/>
        <v>-0.44916226761533162</v>
      </c>
      <c r="R83" s="33">
        <f t="shared" si="17"/>
        <v>120</v>
      </c>
      <c r="S83" s="33">
        <f t="shared" si="18"/>
        <v>-313774.99999999994</v>
      </c>
      <c r="T83" s="7">
        <f t="shared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si="16"/>
        <v>-0.21956834532374103</v>
      </c>
      <c r="R84" s="33">
        <f t="shared" si="17"/>
        <v>542.4</v>
      </c>
      <c r="S84" s="33">
        <f t="shared" si="18"/>
        <v>-155160</v>
      </c>
      <c r="T84" s="7">
        <f t="shared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si="16"/>
        <v>0.64299931365820173</v>
      </c>
      <c r="R85" s="33">
        <f t="shared" si="17"/>
        <v>2393.85</v>
      </c>
      <c r="S85" s="33">
        <f t="shared" si="18"/>
        <v>22920</v>
      </c>
      <c r="T85" s="7">
        <f t="shared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si="16"/>
        <v>-0.48984063745019912</v>
      </c>
      <c r="R86" s="33">
        <f t="shared" si="17"/>
        <v>256.10000000000002</v>
      </c>
      <c r="S86" s="33">
        <f t="shared" si="18"/>
        <v>-207539.99999999997</v>
      </c>
      <c r="T86" s="7">
        <f t="shared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si="16"/>
        <v>-0.31676342525399126</v>
      </c>
      <c r="R87" s="33">
        <f t="shared" si="17"/>
        <v>188.3</v>
      </c>
      <c r="S87" s="33">
        <f t="shared" si="18"/>
        <v>-231300.00000000003</v>
      </c>
      <c r="T87" s="7">
        <f t="shared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si="16"/>
        <v>-0.42079999999999995</v>
      </c>
      <c r="R88" s="33">
        <f t="shared" si="17"/>
        <v>144.80000000000001</v>
      </c>
      <c r="S88" s="33">
        <f t="shared" si="18"/>
        <v>-193200</v>
      </c>
      <c r="T88" s="7">
        <f t="shared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si="16"/>
        <v>0.78373565492679065</v>
      </c>
      <c r="R89" s="33">
        <f t="shared" si="17"/>
        <v>450.75</v>
      </c>
      <c r="S89" s="33">
        <f t="shared" si="18"/>
        <v>23512.500000000033</v>
      </c>
      <c r="T89" s="7">
        <f t="shared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si="16"/>
        <v>0.19654841802492817</v>
      </c>
      <c r="R90" s="33">
        <f t="shared" si="17"/>
        <v>312</v>
      </c>
      <c r="S90" s="33">
        <f t="shared" si="18"/>
        <v>33150</v>
      </c>
      <c r="T90" s="7">
        <f t="shared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si="16"/>
        <v>4.7721530831850156E-3</v>
      </c>
      <c r="R91" s="33">
        <f t="shared" si="17"/>
        <v>536.9</v>
      </c>
      <c r="S91" s="33">
        <f t="shared" si="18"/>
        <v>17299.999999999975</v>
      </c>
      <c r="T91" s="7">
        <f t="shared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si="16"/>
        <v>-0.35062675471548899</v>
      </c>
      <c r="R92" s="33">
        <f t="shared" si="17"/>
        <v>821.1</v>
      </c>
      <c r="S92" s="33">
        <f t="shared" si="18"/>
        <v>-138775</v>
      </c>
      <c r="T92" s="7">
        <f t="shared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si="16"/>
        <v>-0.62695268704686447</v>
      </c>
      <c r="R93" s="33">
        <f t="shared" si="17"/>
        <v>249.55</v>
      </c>
      <c r="S93" s="33">
        <f t="shared" si="18"/>
        <v>-299475</v>
      </c>
      <c r="T93" s="7">
        <f t="shared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si="16"/>
        <v>0.4568319454958365</v>
      </c>
      <c r="R94" s="33">
        <f t="shared" si="17"/>
        <v>3848.95</v>
      </c>
      <c r="S94" s="33">
        <f t="shared" si="18"/>
        <v>20662.5</v>
      </c>
      <c r="T94" s="7">
        <f t="shared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si="16"/>
        <v>-0.62695268704686447</v>
      </c>
      <c r="R95" s="33">
        <f t="shared" si="17"/>
        <v>249.55</v>
      </c>
      <c r="S95" s="33">
        <f t="shared" si="18"/>
        <v>-293550</v>
      </c>
      <c r="T95" s="7">
        <f t="shared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si="16"/>
        <v>#VALUE!</v>
      </c>
      <c r="R96" s="33" t="str">
        <f t="shared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si="18"/>
        <v>13387.499999999975</v>
      </c>
      <c r="T96" s="7">
        <f t="shared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si="16"/>
        <v>-0.4242424242424242</v>
      </c>
      <c r="R97" s="33">
        <f t="shared" si="17"/>
        <v>190</v>
      </c>
      <c r="S97" s="33">
        <f t="shared" si="18"/>
        <v>-301920</v>
      </c>
      <c r="T97" s="7">
        <f t="shared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si="16"/>
        <v>-1.4367816091953589E-3</v>
      </c>
      <c r="R98" s="33">
        <f t="shared" si="17"/>
        <v>347.5</v>
      </c>
      <c r="S98" s="33">
        <f t="shared" si="18"/>
        <v>25437.5</v>
      </c>
      <c r="T98" s="7">
        <f t="shared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si="16"/>
        <v>0.19654841802492817</v>
      </c>
      <c r="R99" s="33">
        <f t="shared" si="17"/>
        <v>312</v>
      </c>
      <c r="S99" s="33">
        <f t="shared" si="18"/>
        <v>42150</v>
      </c>
      <c r="T99" s="7">
        <f t="shared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si="23">R100/D100-1</f>
        <v>-0.21956834532374103</v>
      </c>
      <c r="R100" s="33">
        <f t="shared" ref="R100:R121" si="24">mrigxl_stockquote(C100)</f>
        <v>542.4</v>
      </c>
      <c r="S100" s="33">
        <f t="shared" ref="S100:S121" si="25">(MIN(F100,R100)-D100+G100)*E100</f>
        <v>-144660.00000000003</v>
      </c>
      <c r="T100" s="7">
        <f t="shared" ref="T100:T12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si="23"/>
        <v>0.33509856977193664</v>
      </c>
      <c r="R101" s="33">
        <f t="shared" si="24"/>
        <v>1726.95</v>
      </c>
      <c r="S101" s="33">
        <f t="shared" si="25"/>
        <v>18090</v>
      </c>
      <c r="T101" s="7">
        <f t="shared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si="23"/>
        <v>-0.60604713205869276</v>
      </c>
      <c r="R102" s="33">
        <f t="shared" si="24"/>
        <v>88.6</v>
      </c>
      <c r="S102" s="33">
        <f t="shared" si="25"/>
        <v>-378900.00000000006</v>
      </c>
      <c r="T102" s="7">
        <f t="shared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si="23"/>
        <v>-0.3307639166636368</v>
      </c>
      <c r="R103" s="33">
        <f t="shared" si="24"/>
        <v>920.3</v>
      </c>
      <c r="S103" s="33">
        <f t="shared" si="25"/>
        <v>-153431.25000000006</v>
      </c>
      <c r="T103" s="7">
        <f t="shared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si="23"/>
        <v>0.4568319454958365</v>
      </c>
      <c r="R104" s="33">
        <f t="shared" si="24"/>
        <v>3848.95</v>
      </c>
      <c r="S104" s="33">
        <f t="shared" si="25"/>
        <v>26637.5</v>
      </c>
      <c r="T104" s="7">
        <f t="shared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si="23"/>
        <v>-0.27788805081381496</v>
      </c>
      <c r="R105" s="33">
        <f t="shared" si="24"/>
        <v>727.6</v>
      </c>
      <c r="S105" s="33">
        <f t="shared" si="25"/>
        <v>-97600</v>
      </c>
      <c r="T105" s="7">
        <f t="shared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si="23"/>
        <v>-0.4242424242424242</v>
      </c>
      <c r="R106" s="33">
        <f t="shared" si="24"/>
        <v>190</v>
      </c>
      <c r="S106" s="33">
        <f t="shared" si="25"/>
        <v>-311640</v>
      </c>
      <c r="T106" s="7">
        <f t="shared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si="23"/>
        <v>8.5116840176935771E-2</v>
      </c>
      <c r="R107" s="33">
        <f t="shared" si="24"/>
        <v>1214.3</v>
      </c>
      <c r="S107" s="33">
        <f t="shared" si="25"/>
        <v>33875.000000000022</v>
      </c>
      <c r="T107" s="7">
        <f t="shared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si="23"/>
        <v>-0.93148714260025178</v>
      </c>
      <c r="R108" s="33">
        <f t="shared" si="24"/>
        <v>19.05</v>
      </c>
      <c r="S108" s="33">
        <f t="shared" si="25"/>
        <v>-275400</v>
      </c>
      <c r="T108" s="7">
        <f t="shared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si="23"/>
        <v>8.5116840176935771E-2</v>
      </c>
      <c r="R109" s="33">
        <f t="shared" si="24"/>
        <v>1214.3</v>
      </c>
      <c r="S109" s="33">
        <f t="shared" si="25"/>
        <v>18475.000000000022</v>
      </c>
      <c r="T109" s="7">
        <f t="shared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si="23"/>
        <v>-0.53194180898165722</v>
      </c>
      <c r="R110" s="33">
        <f t="shared" si="24"/>
        <v>37</v>
      </c>
      <c r="S110" s="33">
        <f t="shared" si="25"/>
        <v>-355500</v>
      </c>
      <c r="T110" s="7">
        <f t="shared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si="23"/>
        <v>-9.7964824120603033E-2</v>
      </c>
      <c r="R111" s="33">
        <f t="shared" si="24"/>
        <v>1795.05</v>
      </c>
      <c r="S111" s="33">
        <f t="shared" si="25"/>
        <v>-31475.000000000011</v>
      </c>
      <c r="T111" s="7">
        <f t="shared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si="23"/>
        <v>-0.93148714260025178</v>
      </c>
      <c r="R112" s="33">
        <f t="shared" si="24"/>
        <v>19.05</v>
      </c>
      <c r="S112" s="33">
        <f t="shared" si="25"/>
        <v>-281820</v>
      </c>
      <c r="T112" s="7">
        <f t="shared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si="23"/>
        <v>-0.95718654434250761</v>
      </c>
      <c r="R113" s="33">
        <f t="shared" si="24"/>
        <v>0.7</v>
      </c>
      <c r="S113" s="33">
        <f t="shared" si="25"/>
        <v>-382200.00000000006</v>
      </c>
      <c r="T113" s="7">
        <f t="shared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si="23"/>
        <v>-0.2922830867652938</v>
      </c>
      <c r="R114" s="33">
        <f t="shared" si="24"/>
        <v>531</v>
      </c>
      <c r="S114" s="33">
        <f t="shared" si="25"/>
        <v>-189999.99999999994</v>
      </c>
      <c r="T114" s="7">
        <f t="shared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si="23"/>
        <v>-0.13683063511830629</v>
      </c>
      <c r="R115" s="33">
        <f t="shared" si="24"/>
        <v>554.5</v>
      </c>
      <c r="S115" s="33">
        <f t="shared" si="25"/>
        <v>-75624.999999999971</v>
      </c>
      <c r="T115" s="7">
        <f t="shared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si="23"/>
        <v>-0.48652902509026941</v>
      </c>
      <c r="R116" s="33">
        <f t="shared" si="24"/>
        <v>277.3</v>
      </c>
      <c r="S116" s="33">
        <f t="shared" si="25"/>
        <v>-367124.99999999994</v>
      </c>
      <c r="T116" s="7">
        <f t="shared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si="23"/>
        <v>-0.70980140935297886</v>
      </c>
      <c r="R117" s="33">
        <f t="shared" si="24"/>
        <v>135.9</v>
      </c>
      <c r="S117" s="33">
        <f t="shared" si="25"/>
        <v>-399879.99999999994</v>
      </c>
      <c r="T117" s="7">
        <f t="shared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si="23"/>
        <v>-0.13683063511830629</v>
      </c>
      <c r="R118" s="33">
        <f t="shared" si="24"/>
        <v>554.5</v>
      </c>
      <c r="S118" s="33">
        <f t="shared" si="25"/>
        <v>-82374.999999999971</v>
      </c>
      <c r="T118" s="7">
        <f t="shared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si="23"/>
        <v>-0.70980140935297886</v>
      </c>
      <c r="R119" s="33">
        <f t="shared" si="24"/>
        <v>135.9</v>
      </c>
      <c r="S119" s="33">
        <f t="shared" si="25"/>
        <v>-409564.99999999994</v>
      </c>
      <c r="T119" s="7">
        <f t="shared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si="23"/>
        <v>-0.95718654434250761</v>
      </c>
      <c r="R120" s="33">
        <f t="shared" si="24"/>
        <v>0.7</v>
      </c>
      <c r="S120" s="33">
        <f t="shared" si="25"/>
        <v>-394800.00000000006</v>
      </c>
      <c r="T120" s="7">
        <f t="shared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si="23"/>
        <v>-0.53143675606262653</v>
      </c>
      <c r="R121" s="33">
        <f t="shared" si="24"/>
        <v>474.35</v>
      </c>
      <c r="S121" s="33">
        <f t="shared" si="25"/>
        <v>-351890</v>
      </c>
      <c r="T121" s="7">
        <f t="shared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zoomScale="80" zoomScaleNormal="80" workbookViewId="0">
      <pane ySplit="3" topLeftCell="A4" activePane="bottomLeft" state="frozen"/>
      <selection pane="bottomLeft" activeCell="I15" sqref="I15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59" t="s">
        <v>1891</v>
      </c>
      <c r="B1" s="64" t="s">
        <v>1852</v>
      </c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40" t="b">
        <v>0</v>
      </c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66" t="s">
        <v>1851</v>
      </c>
      <c r="U2" s="68"/>
      <c r="V2" s="66" t="s">
        <v>1849</v>
      </c>
      <c r="W2" s="67"/>
      <c r="X2" s="67"/>
      <c r="Y2" s="68"/>
      <c r="Z2" s="66" t="s">
        <v>1850</v>
      </c>
      <c r="AA2" s="67"/>
      <c r="AB2" s="67"/>
      <c r="AC2" s="68"/>
      <c r="AD2" s="1"/>
      <c r="AE2" s="1"/>
      <c r="AM2" s="11"/>
    </row>
    <row r="3" spans="1:39" ht="47.25" customHeight="1" x14ac:dyDescent="0.25">
      <c r="A3" s="1"/>
      <c r="B3" s="61" t="s">
        <v>1803</v>
      </c>
      <c r="C3" s="61" t="s">
        <v>1838</v>
      </c>
      <c r="D3" s="61" t="s">
        <v>1839</v>
      </c>
      <c r="E3" s="61" t="s">
        <v>1840</v>
      </c>
      <c r="F3" s="61" t="s">
        <v>1854</v>
      </c>
      <c r="G3" s="61" t="s">
        <v>1855</v>
      </c>
      <c r="H3" s="61" t="s">
        <v>1837</v>
      </c>
      <c r="I3" s="61" t="s">
        <v>1819</v>
      </c>
      <c r="J3" s="61" t="s">
        <v>1822</v>
      </c>
      <c r="K3" s="61" t="s">
        <v>1815</v>
      </c>
      <c r="L3" s="61" t="s">
        <v>1816</v>
      </c>
      <c r="M3" s="61" t="s">
        <v>1817</v>
      </c>
      <c r="N3" s="61" t="s">
        <v>1818</v>
      </c>
      <c r="O3" s="5"/>
      <c r="P3" s="61" t="s">
        <v>1826</v>
      </c>
      <c r="Q3" s="61" t="s">
        <v>1827</v>
      </c>
      <c r="R3" s="61" t="s">
        <v>1856</v>
      </c>
      <c r="S3" s="61" t="s">
        <v>1857</v>
      </c>
      <c r="T3" s="62" t="s">
        <v>1824</v>
      </c>
      <c r="U3" s="63" t="s">
        <v>1829</v>
      </c>
      <c r="V3" s="62" t="s">
        <v>1831</v>
      </c>
      <c r="W3" s="61" t="s">
        <v>1825</v>
      </c>
      <c r="X3" s="61" t="s">
        <v>1830</v>
      </c>
      <c r="Y3" s="63" t="s">
        <v>1832</v>
      </c>
      <c r="Z3" s="62" t="s">
        <v>1847</v>
      </c>
      <c r="AA3" s="61" t="s">
        <v>1848</v>
      </c>
      <c r="AB3" s="61" t="s">
        <v>1832</v>
      </c>
      <c r="AC3" s="63" t="s">
        <v>1832</v>
      </c>
      <c r="AD3" s="1"/>
      <c r="AE3" s="1"/>
      <c r="AG3" s="28" t="str">
        <f ca="1">B3</f>
        <v>Expiry</v>
      </c>
    </row>
    <row r="4" spans="1:39" x14ac:dyDescent="0.25">
      <c r="A4" s="1"/>
      <c r="B4" s="25">
        <v>43979</v>
      </c>
      <c r="C4" s="10" t="s">
        <v>283</v>
      </c>
      <c r="D4" s="1">
        <v>323.95</v>
      </c>
      <c r="E4" s="30">
        <v>2200</v>
      </c>
      <c r="F4" s="1">
        <v>290</v>
      </c>
      <c r="G4" s="1">
        <v>6.4</v>
      </c>
      <c r="H4" s="1">
        <v>290</v>
      </c>
      <c r="I4" s="1">
        <v>6.4</v>
      </c>
      <c r="J4" s="1">
        <v>17600</v>
      </c>
      <c r="K4" s="1">
        <v>33000</v>
      </c>
      <c r="L4" s="1">
        <v>6.55</v>
      </c>
      <c r="M4" s="1">
        <v>8.4</v>
      </c>
      <c r="N4" s="1">
        <v>2200</v>
      </c>
      <c r="O4" s="9"/>
      <c r="P4" s="7">
        <f t="shared" ref="P4:P67" ca="1" si="0">($G4-$I4)/($F4-$H4)</f>
        <v>0.10115384615384615</v>
      </c>
      <c r="Q4" s="7">
        <f t="shared" ref="Q4:Q32" ca="1" si="1">P4/($B4-TODAY())</f>
        <v>7.2252747252747251E-3</v>
      </c>
      <c r="R4" s="33">
        <f t="shared" ref="R4:R67" ca="1" si="2">$E4*($G4-$I4)</f>
        <v>16437.5</v>
      </c>
      <c r="S4" s="33">
        <f t="shared" ref="S4:S67" ca="1" si="3">-(($F4-$H4)*$E4-$R4)</f>
        <v>-146062.5</v>
      </c>
      <c r="T4" s="33">
        <f t="shared" ref="T4:T32" ca="1" si="4">R4</f>
        <v>16437.5</v>
      </c>
      <c r="U4" s="7">
        <f t="shared" ref="U4:U67" ca="1" si="5">ABS($T4/$S4)</f>
        <v>0.11253744116388532</v>
      </c>
      <c r="V4" s="7">
        <f t="shared" ref="V4:V67" ca="1" si="6">mrigxl_max_drawdown($C4,INT($B4-TODAY()))</f>
        <v>-0.18647083662403016</v>
      </c>
      <c r="W4" s="33">
        <f t="shared" ref="W4:W32" ca="1" si="7">-(MAX(($F4-MAX($D4*(1+V4),$H4)),0)*$E4-$R4)</f>
        <v>-48546.581909788998</v>
      </c>
      <c r="X4" s="7">
        <f t="shared" ref="X4:X32" ca="1" si="8">W4/ABS($S4)</f>
        <v>-0.33236855393950532</v>
      </c>
      <c r="Y4" s="7">
        <f t="shared" ref="Y4:Y32" ca="1" si="9">$U4+X4</f>
        <v>-0.21983111277562001</v>
      </c>
      <c r="Z4" s="7">
        <f t="shared" ref="Z4:Z67" ca="1" si="10">mrigxl_avg_drawdown($C4,INT($B4-TODAY()))</f>
        <v>-6.367187417701746E-2</v>
      </c>
      <c r="AA4" s="33">
        <f t="shared" ref="AA4:AA32" ca="1" si="11">-(MAX(($F4-MAX($D4*(1+Z4),$H4)),0)*$E4-$R4)</f>
        <v>16437.5</v>
      </c>
      <c r="AB4" s="7">
        <f t="shared" ref="AB4:AB32" ca="1" si="12">AA4/$R4</f>
        <v>1</v>
      </c>
      <c r="AC4" s="7">
        <f ca="1">AVERAGE($U4,AB4)</f>
        <v>0.55626872058194266</v>
      </c>
      <c r="AD4" s="40"/>
      <c r="AE4" s="42"/>
      <c r="AF4" s="34"/>
      <c r="AH4" s="34"/>
    </row>
    <row r="5" spans="1:39" x14ac:dyDescent="0.25">
      <c r="A5" s="3"/>
      <c r="B5" s="25">
        <v>43979</v>
      </c>
      <c r="C5" s="10" t="s">
        <v>283</v>
      </c>
      <c r="D5" s="1">
        <v>323.95</v>
      </c>
      <c r="E5" s="30">
        <v>2200</v>
      </c>
      <c r="F5" s="1">
        <v>290</v>
      </c>
      <c r="G5" s="1">
        <v>6.4</v>
      </c>
      <c r="H5" s="1">
        <v>300</v>
      </c>
      <c r="I5" s="1">
        <v>10.55</v>
      </c>
      <c r="J5" s="1">
        <v>200200</v>
      </c>
      <c r="K5" s="1">
        <v>4400</v>
      </c>
      <c r="L5" s="1">
        <v>10.65</v>
      </c>
      <c r="M5" s="1">
        <v>10.8</v>
      </c>
      <c r="N5" s="1">
        <v>2200</v>
      </c>
      <c r="O5" s="9"/>
      <c r="P5" s="7">
        <f t="shared" ca="1" si="0"/>
        <v>0.10833333333333334</v>
      </c>
      <c r="Q5" s="7">
        <f t="shared" ca="1" si="1"/>
        <v>7.7380952380952384E-3</v>
      </c>
      <c r="R5" s="33">
        <f t="shared" ca="1" si="2"/>
        <v>16250</v>
      </c>
      <c r="S5" s="33">
        <f t="shared" ca="1" si="3"/>
        <v>-133750</v>
      </c>
      <c r="T5" s="33">
        <f t="shared" ca="1" si="4"/>
        <v>16250</v>
      </c>
      <c r="U5" s="7">
        <f t="shared" ca="1" si="5"/>
        <v>0.12149532710280374</v>
      </c>
      <c r="V5" s="7">
        <f t="shared" ca="1" si="6"/>
        <v>-0.18647083662403016</v>
      </c>
      <c r="W5" s="33">
        <f t="shared" ca="1" si="7"/>
        <v>-48734.081909788998</v>
      </c>
      <c r="X5" s="7">
        <f t="shared" ca="1" si="8"/>
        <v>-0.36436696754982428</v>
      </c>
      <c r="Y5" s="7">
        <f t="shared" ca="1" si="9"/>
        <v>-0.24287164044702053</v>
      </c>
      <c r="Z5" s="7">
        <f t="shared" ca="1" si="10"/>
        <v>-6.367187417701746E-2</v>
      </c>
      <c r="AA5" s="33">
        <f t="shared" ca="1" si="11"/>
        <v>16250</v>
      </c>
      <c r="AB5" s="7">
        <f t="shared" ca="1" si="12"/>
        <v>1</v>
      </c>
      <c r="AC5" s="7">
        <f t="shared" ref="AC5:AC68" ca="1" si="13">AVERAGE($U5,AB5)</f>
        <v>0.56074766355140182</v>
      </c>
      <c r="AD5" s="1"/>
      <c r="AE5" s="1"/>
    </row>
    <row r="6" spans="1:39" x14ac:dyDescent="0.25">
      <c r="A6" s="3"/>
      <c r="B6" s="25">
        <v>43979</v>
      </c>
      <c r="C6" s="10" t="s">
        <v>283</v>
      </c>
      <c r="D6" s="1">
        <v>323.95</v>
      </c>
      <c r="E6" s="30">
        <v>2200</v>
      </c>
      <c r="F6" s="1">
        <v>290</v>
      </c>
      <c r="G6" s="1">
        <v>6.4</v>
      </c>
      <c r="H6" s="1">
        <v>310</v>
      </c>
      <c r="I6" s="1">
        <v>17</v>
      </c>
      <c r="J6" s="1">
        <v>6600</v>
      </c>
      <c r="K6" s="1">
        <v>2200</v>
      </c>
      <c r="L6" s="1">
        <v>10.65</v>
      </c>
      <c r="M6" s="1">
        <v>16.149999999999999</v>
      </c>
      <c r="N6" s="1">
        <v>33000</v>
      </c>
      <c r="O6" s="9"/>
      <c r="P6" s="7">
        <f t="shared" ca="1" si="0"/>
        <v>0.11909090909090909</v>
      </c>
      <c r="Q6" s="7">
        <f t="shared" ca="1" si="1"/>
        <v>8.5064935064935072E-3</v>
      </c>
      <c r="R6" s="33">
        <f t="shared" ca="1" si="2"/>
        <v>16375</v>
      </c>
      <c r="S6" s="33">
        <f t="shared" ca="1" si="3"/>
        <v>-121125</v>
      </c>
      <c r="T6" s="33">
        <f t="shared" ca="1" si="4"/>
        <v>16375</v>
      </c>
      <c r="U6" s="7">
        <f t="shared" ca="1" si="5"/>
        <v>0.13519091847265222</v>
      </c>
      <c r="V6" s="7">
        <f t="shared" ca="1" si="6"/>
        <v>-0.18647083662403016</v>
      </c>
      <c r="W6" s="33">
        <f t="shared" ca="1" si="7"/>
        <v>-48609.081909788998</v>
      </c>
      <c r="X6" s="7">
        <f t="shared" ca="1" si="8"/>
        <v>-0.40131336974026005</v>
      </c>
      <c r="Y6" s="7">
        <f t="shared" ca="1" si="9"/>
        <v>-0.26612245126760781</v>
      </c>
      <c r="Z6" s="7">
        <f t="shared" ca="1" si="10"/>
        <v>-6.367187417701746E-2</v>
      </c>
      <c r="AA6" s="33">
        <f t="shared" ca="1" si="11"/>
        <v>16375</v>
      </c>
      <c r="AB6" s="7">
        <f t="shared" ca="1" si="12"/>
        <v>1</v>
      </c>
      <c r="AC6" s="7">
        <f t="shared" ca="1" si="13"/>
        <v>0.56759545923632615</v>
      </c>
      <c r="AD6" s="1"/>
      <c r="AE6" s="1"/>
    </row>
    <row r="7" spans="1:39" x14ac:dyDescent="0.25">
      <c r="A7" s="3"/>
      <c r="B7" s="25">
        <v>43979</v>
      </c>
      <c r="C7" s="10" t="s">
        <v>283</v>
      </c>
      <c r="D7" s="1">
        <v>323.95</v>
      </c>
      <c r="E7" s="30">
        <v>2200</v>
      </c>
      <c r="F7" s="1">
        <v>290</v>
      </c>
      <c r="G7" s="1">
        <v>6.4</v>
      </c>
      <c r="H7" s="1">
        <v>320</v>
      </c>
      <c r="I7" s="1">
        <v>19.8</v>
      </c>
      <c r="J7" s="1">
        <v>15400</v>
      </c>
      <c r="K7" s="1">
        <v>37400</v>
      </c>
      <c r="L7" s="1">
        <v>17.05</v>
      </c>
      <c r="M7" s="1">
        <v>21.4</v>
      </c>
      <c r="N7" s="1">
        <v>37400</v>
      </c>
      <c r="O7" s="9"/>
      <c r="P7" s="7">
        <f t="shared" ca="1" si="0"/>
        <v>0.1285</v>
      </c>
      <c r="Q7" s="7">
        <f t="shared" ca="1" si="1"/>
        <v>9.1785714285714283E-3</v>
      </c>
      <c r="R7" s="33">
        <f t="shared" ca="1" si="2"/>
        <v>16062.5</v>
      </c>
      <c r="S7" s="33">
        <f t="shared" ca="1" si="3"/>
        <v>-108937.5</v>
      </c>
      <c r="T7" s="33">
        <f t="shared" ca="1" si="4"/>
        <v>16062.5</v>
      </c>
      <c r="U7" s="7">
        <f t="shared" ca="1" si="5"/>
        <v>0.14744693057946071</v>
      </c>
      <c r="V7" s="7">
        <f t="shared" ca="1" si="6"/>
        <v>-0.18647083662403016</v>
      </c>
      <c r="W7" s="33">
        <f t="shared" ca="1" si="7"/>
        <v>-48921.581909788998</v>
      </c>
      <c r="X7" s="7">
        <f t="shared" ca="1" si="8"/>
        <v>-0.44907935201183247</v>
      </c>
      <c r="Y7" s="7">
        <f t="shared" ca="1" si="9"/>
        <v>-0.30163242143237179</v>
      </c>
      <c r="Z7" s="7">
        <f t="shared" ca="1" si="10"/>
        <v>-6.367187417701746E-2</v>
      </c>
      <c r="AA7" s="33">
        <f t="shared" ca="1" si="11"/>
        <v>16062.5</v>
      </c>
      <c r="AB7" s="7">
        <f t="shared" ca="1" si="12"/>
        <v>1</v>
      </c>
      <c r="AC7" s="7">
        <f t="shared" ca="1" si="13"/>
        <v>0.57372346528973039</v>
      </c>
      <c r="AD7" s="1"/>
      <c r="AE7" s="1"/>
    </row>
    <row r="8" spans="1:39" x14ac:dyDescent="0.25">
      <c r="A8" s="3"/>
      <c r="B8" s="25">
        <v>43979</v>
      </c>
      <c r="C8" s="10" t="s">
        <v>283</v>
      </c>
      <c r="D8" s="1">
        <v>323.95</v>
      </c>
      <c r="E8" s="30">
        <v>2200</v>
      </c>
      <c r="F8" s="1">
        <v>290</v>
      </c>
      <c r="G8" s="1">
        <v>6.4</v>
      </c>
      <c r="H8" s="1">
        <v>400</v>
      </c>
      <c r="I8" s="1">
        <v>71.75</v>
      </c>
      <c r="J8" s="1">
        <v>8800</v>
      </c>
      <c r="K8" s="1">
        <v>35200</v>
      </c>
      <c r="L8" s="1">
        <v>73.7</v>
      </c>
      <c r="M8" s="1">
        <v>81.599999999999994</v>
      </c>
      <c r="N8" s="1">
        <v>8800</v>
      </c>
      <c r="O8" s="9"/>
      <c r="P8" s="7">
        <f t="shared" ca="1" si="0"/>
        <v>0.1411111111111111</v>
      </c>
      <c r="Q8" s="7">
        <f t="shared" ca="1" si="1"/>
        <v>1.0079365079365079E-2</v>
      </c>
      <c r="R8" s="33">
        <f t="shared" ca="1" si="2"/>
        <v>15875</v>
      </c>
      <c r="S8" s="33">
        <f t="shared" ca="1" si="3"/>
        <v>-96625</v>
      </c>
      <c r="T8" s="33">
        <f t="shared" ca="1" si="4"/>
        <v>15875</v>
      </c>
      <c r="U8" s="7">
        <f t="shared" ca="1" si="5"/>
        <v>0.16429495472186287</v>
      </c>
      <c r="V8" s="7">
        <f t="shared" ca="1" si="6"/>
        <v>-0.18647083662403016</v>
      </c>
      <c r="W8" s="33">
        <f t="shared" ca="1" si="7"/>
        <v>-49109.081909788998</v>
      </c>
      <c r="X8" s="7">
        <f t="shared" ca="1" si="8"/>
        <v>-0.50824405598746702</v>
      </c>
      <c r="Y8" s="7">
        <f t="shared" ca="1" si="9"/>
        <v>-0.34394910126560418</v>
      </c>
      <c r="Z8" s="7">
        <f t="shared" ca="1" si="10"/>
        <v>-6.367187417701746E-2</v>
      </c>
      <c r="AA8" s="33">
        <f t="shared" ca="1" si="11"/>
        <v>15875</v>
      </c>
      <c r="AB8" s="7">
        <f t="shared" ca="1" si="12"/>
        <v>1</v>
      </c>
      <c r="AC8" s="7">
        <f t="shared" ca="1" si="13"/>
        <v>0.58214747736093142</v>
      </c>
      <c r="AD8" s="1"/>
      <c r="AE8" s="1"/>
    </row>
    <row r="9" spans="1:39" x14ac:dyDescent="0.25">
      <c r="A9" s="3"/>
      <c r="B9" s="25">
        <v>43979</v>
      </c>
      <c r="C9" s="10" t="s">
        <v>327</v>
      </c>
      <c r="D9" s="1">
        <v>590</v>
      </c>
      <c r="E9" s="30">
        <v>1150</v>
      </c>
      <c r="F9" s="1">
        <v>540</v>
      </c>
      <c r="G9" s="1">
        <v>10.45</v>
      </c>
      <c r="H9" s="1">
        <v>450</v>
      </c>
      <c r="I9" s="1">
        <v>1</v>
      </c>
      <c r="J9" s="1">
        <v>5750</v>
      </c>
      <c r="K9" s="1">
        <v>47150</v>
      </c>
      <c r="L9" s="1">
        <v>0.75</v>
      </c>
      <c r="M9" s="1">
        <v>3.65</v>
      </c>
      <c r="N9" s="1">
        <v>18400</v>
      </c>
      <c r="O9" s="9"/>
      <c r="P9" s="7">
        <f t="shared" ca="1" si="0"/>
        <v>0.15437499999999998</v>
      </c>
      <c r="Q9" s="7">
        <f t="shared" ca="1" si="1"/>
        <v>1.1026785714285713E-2</v>
      </c>
      <c r="R9" s="33">
        <f t="shared" ca="1" si="2"/>
        <v>15437.5</v>
      </c>
      <c r="S9" s="33">
        <f t="shared" ca="1" si="3"/>
        <v>-84562.5</v>
      </c>
      <c r="T9" s="33">
        <f t="shared" ca="1" si="4"/>
        <v>15437.5</v>
      </c>
      <c r="U9" s="7">
        <f t="shared" ca="1" si="5"/>
        <v>0.18255728011825573</v>
      </c>
      <c r="V9" s="7">
        <f t="shared" ca="1" si="6"/>
        <v>-0.18647083662403016</v>
      </c>
      <c r="W9" s="33">
        <f t="shared" ca="1" si="7"/>
        <v>-49546.581909788998</v>
      </c>
      <c r="X9" s="7">
        <f t="shared" ca="1" si="8"/>
        <v>-0.58591671142396451</v>
      </c>
      <c r="Y9" s="7">
        <f t="shared" ca="1" si="9"/>
        <v>-0.40335943130570878</v>
      </c>
      <c r="Z9" s="7">
        <f t="shared" ca="1" si="10"/>
        <v>-6.367187417701746E-2</v>
      </c>
      <c r="AA9" s="33">
        <f t="shared" ca="1" si="11"/>
        <v>15437.5</v>
      </c>
      <c r="AB9" s="7">
        <f t="shared" ca="1" si="12"/>
        <v>1</v>
      </c>
      <c r="AC9" s="7">
        <f t="shared" ca="1" si="13"/>
        <v>0.59127864005912789</v>
      </c>
      <c r="AD9" s="1"/>
      <c r="AE9" s="1"/>
    </row>
    <row r="10" spans="1:39" x14ac:dyDescent="0.25">
      <c r="A10" s="3"/>
      <c r="B10" s="25">
        <v>43979</v>
      </c>
      <c r="C10" s="10" t="s">
        <v>327</v>
      </c>
      <c r="D10" s="1">
        <v>590</v>
      </c>
      <c r="E10" s="30">
        <v>1150</v>
      </c>
      <c r="F10" s="1">
        <v>540</v>
      </c>
      <c r="G10" s="1">
        <v>10.45</v>
      </c>
      <c r="H10" s="1">
        <v>500</v>
      </c>
      <c r="I10" s="1">
        <v>5</v>
      </c>
      <c r="J10" s="1">
        <v>94300</v>
      </c>
      <c r="K10" s="1">
        <v>1150</v>
      </c>
      <c r="L10" s="1">
        <v>4.95</v>
      </c>
      <c r="M10" s="1">
        <v>5.2</v>
      </c>
      <c r="N10" s="1">
        <v>1150</v>
      </c>
      <c r="O10" s="9"/>
      <c r="P10" s="7">
        <f t="shared" ca="1" si="0"/>
        <v>0.17214285714285715</v>
      </c>
      <c r="Q10" s="7">
        <f t="shared" ca="1" si="1"/>
        <v>1.2295918367346939E-2</v>
      </c>
      <c r="R10" s="33">
        <f t="shared" ca="1" si="2"/>
        <v>15062.5</v>
      </c>
      <c r="S10" s="33">
        <f t="shared" ca="1" si="3"/>
        <v>-72437.5</v>
      </c>
      <c r="T10" s="33">
        <f t="shared" ca="1" si="4"/>
        <v>15062.5</v>
      </c>
      <c r="U10" s="7">
        <f t="shared" ca="1" si="5"/>
        <v>0.2079378774805867</v>
      </c>
      <c r="V10" s="7">
        <f t="shared" ca="1" si="6"/>
        <v>-0.18647083662403016</v>
      </c>
      <c r="W10" s="33">
        <f t="shared" ca="1" si="7"/>
        <v>-49921.581909788998</v>
      </c>
      <c r="X10" s="7">
        <f t="shared" ca="1" si="8"/>
        <v>-0.68916765362952892</v>
      </c>
      <c r="Y10" s="7">
        <f t="shared" ca="1" si="9"/>
        <v>-0.48122977614894225</v>
      </c>
      <c r="Z10" s="7">
        <f t="shared" ca="1" si="10"/>
        <v>-6.367187417701746E-2</v>
      </c>
      <c r="AA10" s="33">
        <f t="shared" ca="1" si="11"/>
        <v>15062.5</v>
      </c>
      <c r="AB10" s="7">
        <f t="shared" ca="1" si="12"/>
        <v>1</v>
      </c>
      <c r="AC10" s="7">
        <f t="shared" ca="1" si="13"/>
        <v>0.60396893874029334</v>
      </c>
      <c r="AD10" s="1"/>
      <c r="AE10" s="1"/>
    </row>
    <row r="11" spans="1:39" x14ac:dyDescent="0.25">
      <c r="A11" s="3"/>
      <c r="B11" s="25">
        <v>43979</v>
      </c>
      <c r="C11" s="10" t="s">
        <v>327</v>
      </c>
      <c r="D11" s="1">
        <v>590</v>
      </c>
      <c r="E11" s="30">
        <v>1150</v>
      </c>
      <c r="F11" s="1">
        <v>540</v>
      </c>
      <c r="G11" s="1">
        <v>10.45</v>
      </c>
      <c r="H11" s="1">
        <v>540</v>
      </c>
      <c r="I11" s="1">
        <v>10.45</v>
      </c>
      <c r="J11" s="1">
        <v>21850</v>
      </c>
      <c r="K11" s="1">
        <v>19550</v>
      </c>
      <c r="L11" s="1">
        <v>10.45</v>
      </c>
      <c r="M11" s="1">
        <v>12.8</v>
      </c>
      <c r="N11" s="1">
        <v>5750</v>
      </c>
      <c r="O11" s="9"/>
      <c r="P11" s="7">
        <f t="shared" ca="1" si="0"/>
        <v>0.18916666666666665</v>
      </c>
      <c r="Q11" s="7">
        <f t="shared" ca="1" si="1"/>
        <v>1.3511904761904761E-2</v>
      </c>
      <c r="R11" s="33">
        <f t="shared" ca="1" si="2"/>
        <v>14187.5</v>
      </c>
      <c r="S11" s="33">
        <f t="shared" ca="1" si="3"/>
        <v>-60812.5</v>
      </c>
      <c r="T11" s="33">
        <f t="shared" ca="1" si="4"/>
        <v>14187.5</v>
      </c>
      <c r="U11" s="7">
        <f t="shared" ca="1" si="5"/>
        <v>0.23329907502569372</v>
      </c>
      <c r="V11" s="7">
        <f t="shared" ca="1" si="6"/>
        <v>-0.18647083662403016</v>
      </c>
      <c r="W11" s="33">
        <f t="shared" ca="1" si="7"/>
        <v>-50796.581909788998</v>
      </c>
      <c r="X11" s="7">
        <f t="shared" ca="1" si="8"/>
        <v>-0.83529836645079547</v>
      </c>
      <c r="Y11" s="7">
        <f t="shared" ca="1" si="9"/>
        <v>-0.60199929142510178</v>
      </c>
      <c r="Z11" s="7">
        <f t="shared" ca="1" si="10"/>
        <v>-6.367187417701746E-2</v>
      </c>
      <c r="AA11" s="33">
        <f t="shared" ca="1" si="11"/>
        <v>14187.5</v>
      </c>
      <c r="AB11" s="7">
        <f t="shared" ca="1" si="12"/>
        <v>1</v>
      </c>
      <c r="AC11" s="7">
        <f t="shared" ca="1" si="13"/>
        <v>0.6166495375128469</v>
      </c>
      <c r="AD11" s="1"/>
      <c r="AE11" s="1"/>
    </row>
    <row r="12" spans="1:39" x14ac:dyDescent="0.25">
      <c r="A12" s="3"/>
      <c r="B12" s="25">
        <v>43979</v>
      </c>
      <c r="C12" s="10" t="s">
        <v>327</v>
      </c>
      <c r="D12" s="1">
        <v>590</v>
      </c>
      <c r="E12" s="30">
        <v>1150</v>
      </c>
      <c r="F12" s="1">
        <v>540</v>
      </c>
      <c r="G12" s="42">
        <v>10.45</v>
      </c>
      <c r="H12" s="1">
        <v>550</v>
      </c>
      <c r="I12" s="1">
        <v>14.8</v>
      </c>
      <c r="J12" s="1">
        <v>56350</v>
      </c>
      <c r="K12" s="1">
        <v>1150</v>
      </c>
      <c r="L12" s="1">
        <v>14.8</v>
      </c>
      <c r="M12" s="1">
        <v>15.25</v>
      </c>
      <c r="N12" s="1">
        <v>2300</v>
      </c>
      <c r="O12" s="9"/>
      <c r="P12" s="7">
        <f t="shared" ca="1" si="0"/>
        <v>0.20800000000000002</v>
      </c>
      <c r="Q12" s="7">
        <f t="shared" ca="1" si="1"/>
        <v>1.4857142857142859E-2</v>
      </c>
      <c r="R12" s="33">
        <f t="shared" ca="1" si="2"/>
        <v>13000</v>
      </c>
      <c r="S12" s="33">
        <f t="shared" ca="1" si="3"/>
        <v>-49500</v>
      </c>
      <c r="T12" s="33">
        <f t="shared" ca="1" si="4"/>
        <v>13000</v>
      </c>
      <c r="U12" s="7">
        <f t="shared" ca="1" si="5"/>
        <v>0.26262626262626265</v>
      </c>
      <c r="V12" s="7">
        <f t="shared" ca="1" si="6"/>
        <v>-0.18647083662403016</v>
      </c>
      <c r="W12" s="33">
        <f t="shared" ca="1" si="7"/>
        <v>-49500</v>
      </c>
      <c r="X12" s="7">
        <f t="shared" ca="1" si="8"/>
        <v>-1</v>
      </c>
      <c r="Y12" s="7">
        <f t="shared" ca="1" si="9"/>
        <v>-0.73737373737373735</v>
      </c>
      <c r="Z12" s="7">
        <f t="shared" ca="1" si="10"/>
        <v>-6.367187417701746E-2</v>
      </c>
      <c r="AA12" s="33">
        <f t="shared" ca="1" si="11"/>
        <v>13000</v>
      </c>
      <c r="AB12" s="7">
        <f t="shared" ca="1" si="12"/>
        <v>1</v>
      </c>
      <c r="AC12" s="7">
        <f t="shared" ca="1" si="13"/>
        <v>0.63131313131313127</v>
      </c>
      <c r="AD12" s="1"/>
      <c r="AE12" s="1"/>
    </row>
    <row r="13" spans="1:39" x14ac:dyDescent="0.25">
      <c r="A13" s="3"/>
      <c r="B13" s="25">
        <v>43979</v>
      </c>
      <c r="C13" s="10" t="s">
        <v>327</v>
      </c>
      <c r="D13" s="1">
        <v>590</v>
      </c>
      <c r="E13" s="30">
        <v>1150</v>
      </c>
      <c r="F13" s="1">
        <v>540</v>
      </c>
      <c r="G13" s="1">
        <v>10.45</v>
      </c>
      <c r="H13" s="1">
        <v>560</v>
      </c>
      <c r="I13" s="1">
        <v>18.100000000000001</v>
      </c>
      <c r="J13" s="1">
        <v>14950</v>
      </c>
      <c r="K13" s="1">
        <v>1150</v>
      </c>
      <c r="L13" s="1">
        <v>17.850000000000001</v>
      </c>
      <c r="M13" s="1">
        <v>18.399999999999999</v>
      </c>
      <c r="N13" s="1">
        <v>1150</v>
      </c>
      <c r="O13" s="9"/>
      <c r="P13" s="7">
        <f t="shared" ca="1" si="0"/>
        <v>0.23624999999999999</v>
      </c>
      <c r="Q13" s="7">
        <f t="shared" ca="1" si="1"/>
        <v>1.6874999999999998E-2</v>
      </c>
      <c r="R13" s="33">
        <f t="shared" ca="1" si="2"/>
        <v>11812.5</v>
      </c>
      <c r="S13" s="33">
        <f t="shared" ca="1" si="3"/>
        <v>-38187.5</v>
      </c>
      <c r="T13" s="33">
        <f t="shared" ca="1" si="4"/>
        <v>11812.5</v>
      </c>
      <c r="U13" s="7">
        <f t="shared" ca="1" si="5"/>
        <v>0.30932896890343697</v>
      </c>
      <c r="V13" s="7">
        <f t="shared" ca="1" si="6"/>
        <v>-0.18647083662403016</v>
      </c>
      <c r="W13" s="33">
        <f t="shared" ca="1" si="7"/>
        <v>-38187.5</v>
      </c>
      <c r="X13" s="7">
        <f t="shared" ca="1" si="8"/>
        <v>-1</v>
      </c>
      <c r="Y13" s="7">
        <f t="shared" ca="1" si="9"/>
        <v>-0.69067103109656303</v>
      </c>
      <c r="Z13" s="7">
        <f t="shared" ca="1" si="10"/>
        <v>-6.367187417701746E-2</v>
      </c>
      <c r="AA13" s="33">
        <f t="shared" ca="1" si="11"/>
        <v>11812.5</v>
      </c>
      <c r="AB13" s="7">
        <f t="shared" ca="1" si="12"/>
        <v>1</v>
      </c>
      <c r="AC13" s="7">
        <f t="shared" ca="1" si="13"/>
        <v>0.65466448445171843</v>
      </c>
      <c r="AD13" s="1"/>
      <c r="AE13" s="1"/>
    </row>
    <row r="14" spans="1:39" x14ac:dyDescent="0.25">
      <c r="A14" s="3"/>
      <c r="B14" s="25">
        <v>43979</v>
      </c>
      <c r="C14" s="10" t="s">
        <v>327</v>
      </c>
      <c r="D14" s="1">
        <v>590</v>
      </c>
      <c r="E14" s="30">
        <v>1150</v>
      </c>
      <c r="F14" s="1">
        <v>540</v>
      </c>
      <c r="G14" s="1">
        <v>10.45</v>
      </c>
      <c r="H14" s="1">
        <v>570</v>
      </c>
      <c r="I14" s="1">
        <v>20.75</v>
      </c>
      <c r="J14" s="1">
        <v>13800</v>
      </c>
      <c r="K14" s="1">
        <v>1150</v>
      </c>
      <c r="L14" s="1">
        <v>21.25</v>
      </c>
      <c r="M14" s="1">
        <v>21.7</v>
      </c>
      <c r="N14" s="1">
        <v>1150</v>
      </c>
      <c r="O14" s="9"/>
      <c r="P14" s="7">
        <f t="shared" ca="1" si="0"/>
        <v>0.33166666666666667</v>
      </c>
      <c r="Q14" s="7">
        <f t="shared" ca="1" si="1"/>
        <v>2.3690476190476189E-2</v>
      </c>
      <c r="R14" s="33">
        <f t="shared" ca="1" si="2"/>
        <v>12437.5</v>
      </c>
      <c r="S14" s="33">
        <f t="shared" ca="1" si="3"/>
        <v>-25062.5</v>
      </c>
      <c r="T14" s="33">
        <f t="shared" ca="1" si="4"/>
        <v>12437.5</v>
      </c>
      <c r="U14" s="7">
        <f t="shared" ca="1" si="5"/>
        <v>0.49625935162094764</v>
      </c>
      <c r="V14" s="7">
        <f t="shared" ca="1" si="6"/>
        <v>-0.18647083662403016</v>
      </c>
      <c r="W14" s="33">
        <f t="shared" ca="1" si="7"/>
        <v>-25062.5</v>
      </c>
      <c r="X14" s="7">
        <f t="shared" ca="1" si="8"/>
        <v>-1</v>
      </c>
      <c r="Y14" s="7">
        <f t="shared" ca="1" si="9"/>
        <v>-0.5037406483790523</v>
      </c>
      <c r="Z14" s="7">
        <f t="shared" ca="1" si="10"/>
        <v>-6.367187417701746E-2</v>
      </c>
      <c r="AA14" s="33">
        <f t="shared" ca="1" si="11"/>
        <v>12437.5</v>
      </c>
      <c r="AB14" s="7">
        <f t="shared" ca="1" si="12"/>
        <v>1</v>
      </c>
      <c r="AC14" s="7">
        <f t="shared" ca="1" si="13"/>
        <v>0.74812967581047385</v>
      </c>
      <c r="AD14" s="1"/>
      <c r="AE14" s="1"/>
    </row>
    <row r="15" spans="1:39" x14ac:dyDescent="0.25">
      <c r="A15" s="3"/>
      <c r="B15" s="25">
        <v>43979</v>
      </c>
      <c r="C15" s="10" t="s">
        <v>327</v>
      </c>
      <c r="D15" s="1">
        <v>590</v>
      </c>
      <c r="E15" s="30">
        <v>1150</v>
      </c>
      <c r="F15" s="1">
        <v>540</v>
      </c>
      <c r="G15" s="1">
        <v>10.45</v>
      </c>
      <c r="H15" s="1">
        <v>580</v>
      </c>
      <c r="I15" s="1">
        <v>25.3</v>
      </c>
      <c r="J15" s="1">
        <v>35650</v>
      </c>
      <c r="K15" s="1">
        <v>1150</v>
      </c>
      <c r="L15" s="1">
        <v>25.35</v>
      </c>
      <c r="M15" s="1">
        <v>26.15</v>
      </c>
      <c r="N15" s="1">
        <v>9200</v>
      </c>
      <c r="O15" s="9"/>
      <c r="P15" s="7">
        <f t="shared" ca="1" si="0"/>
        <v>0.3</v>
      </c>
      <c r="Q15" s="7">
        <f t="shared" ca="1" si="1"/>
        <v>2.1428571428571429E-2</v>
      </c>
      <c r="R15" s="33">
        <f t="shared" ca="1" si="2"/>
        <v>7500</v>
      </c>
      <c r="S15" s="33">
        <f t="shared" ca="1" si="3"/>
        <v>-17500</v>
      </c>
      <c r="T15" s="33">
        <f t="shared" ca="1" si="4"/>
        <v>7500</v>
      </c>
      <c r="U15" s="7">
        <f t="shared" ca="1" si="5"/>
        <v>0.42857142857142855</v>
      </c>
      <c r="V15" s="7">
        <f t="shared" ca="1" si="6"/>
        <v>-0.18647083662403016</v>
      </c>
      <c r="W15" s="33">
        <f t="shared" ca="1" si="7"/>
        <v>-17500</v>
      </c>
      <c r="X15" s="7">
        <f t="shared" ca="1" si="8"/>
        <v>-1</v>
      </c>
      <c r="Y15" s="7">
        <f t="shared" ca="1" si="9"/>
        <v>-0.5714285714285714</v>
      </c>
      <c r="Z15" s="7">
        <f t="shared" ca="1" si="10"/>
        <v>-6.367187417701746E-2</v>
      </c>
      <c r="AA15" s="33">
        <f t="shared" ca="1" si="11"/>
        <v>7500</v>
      </c>
      <c r="AB15" s="7">
        <f t="shared" ca="1" si="12"/>
        <v>1</v>
      </c>
      <c r="AC15" s="7">
        <f t="shared" ca="1" si="13"/>
        <v>0.7142857142857143</v>
      </c>
      <c r="AD15" s="1"/>
      <c r="AE15" s="1"/>
    </row>
    <row r="16" spans="1:39" x14ac:dyDescent="0.25">
      <c r="A16" s="3"/>
      <c r="B16" s="25">
        <v>43979</v>
      </c>
      <c r="C16" s="10" t="s">
        <v>327</v>
      </c>
      <c r="D16" s="1">
        <v>590</v>
      </c>
      <c r="E16" s="30">
        <v>1150</v>
      </c>
      <c r="F16" s="1">
        <v>540</v>
      </c>
      <c r="G16" s="1">
        <v>10.45</v>
      </c>
      <c r="H16" s="1">
        <v>590</v>
      </c>
      <c r="I16" s="1">
        <v>30</v>
      </c>
      <c r="J16" s="1">
        <v>8050</v>
      </c>
      <c r="K16" s="1">
        <v>1150</v>
      </c>
      <c r="L16" s="1">
        <v>29.75</v>
      </c>
      <c r="M16" s="1">
        <v>30.75</v>
      </c>
      <c r="N16" s="1">
        <v>1150</v>
      </c>
      <c r="O16" s="9"/>
      <c r="P16" s="7">
        <f t="shared" ca="1" si="0"/>
        <v>0.31500000000000006</v>
      </c>
      <c r="Q16" s="7">
        <f t="shared" ca="1" si="1"/>
        <v>2.2500000000000003E-2</v>
      </c>
      <c r="R16" s="33">
        <f t="shared" ca="1" si="2"/>
        <v>3937.5000000000005</v>
      </c>
      <c r="S16" s="33">
        <f t="shared" ca="1" si="3"/>
        <v>-8562.5</v>
      </c>
      <c r="T16" s="33">
        <f t="shared" ca="1" si="4"/>
        <v>3937.5000000000005</v>
      </c>
      <c r="U16" s="7">
        <f t="shared" ca="1" si="5"/>
        <v>0.4598540145985402</v>
      </c>
      <c r="V16" s="7">
        <f t="shared" ca="1" si="6"/>
        <v>-0.18647083662403016</v>
      </c>
      <c r="W16" s="33">
        <f t="shared" ca="1" si="7"/>
        <v>-8562.5</v>
      </c>
      <c r="X16" s="7">
        <f t="shared" ca="1" si="8"/>
        <v>-1</v>
      </c>
      <c r="Y16" s="7">
        <f t="shared" ca="1" si="9"/>
        <v>-0.54014598540145986</v>
      </c>
      <c r="Z16" s="7">
        <f t="shared" ca="1" si="10"/>
        <v>-6.367187417701746E-2</v>
      </c>
      <c r="AA16" s="33">
        <f t="shared" ca="1" si="11"/>
        <v>3937.5000000000005</v>
      </c>
      <c r="AB16" s="7">
        <f t="shared" ca="1" si="12"/>
        <v>1</v>
      </c>
      <c r="AC16" s="7">
        <f t="shared" ca="1" si="13"/>
        <v>0.72992700729927007</v>
      </c>
      <c r="AD16" s="1"/>
      <c r="AE16" s="1"/>
    </row>
    <row r="17" spans="1:31" x14ac:dyDescent="0.25">
      <c r="A17" s="3"/>
      <c r="B17" s="25">
        <v>43979</v>
      </c>
      <c r="C17" s="10" t="s">
        <v>327</v>
      </c>
      <c r="D17" s="1">
        <v>590</v>
      </c>
      <c r="E17" s="30">
        <v>1150</v>
      </c>
      <c r="F17" s="1">
        <v>540</v>
      </c>
      <c r="G17" s="1">
        <v>10.45</v>
      </c>
      <c r="H17" s="1">
        <v>600</v>
      </c>
      <c r="I17" s="1">
        <v>34.200000000000003</v>
      </c>
      <c r="J17" s="1">
        <v>58650</v>
      </c>
      <c r="K17" s="1">
        <v>1150</v>
      </c>
      <c r="L17" s="1">
        <v>34.9</v>
      </c>
      <c r="M17" s="1">
        <v>35.35</v>
      </c>
      <c r="N17" s="1">
        <v>1150</v>
      </c>
      <c r="O17" s="9"/>
      <c r="P17" s="7">
        <f t="shared" ca="1" si="0"/>
        <v>0.10688235294117647</v>
      </c>
      <c r="Q17" s="7">
        <f t="shared" ca="1" si="1"/>
        <v>7.6344537815126049E-3</v>
      </c>
      <c r="R17" s="33">
        <f t="shared" ca="1" si="2"/>
        <v>22712.5</v>
      </c>
      <c r="S17" s="33">
        <f t="shared" ca="1" si="3"/>
        <v>-189787.5</v>
      </c>
      <c r="T17" s="33">
        <f t="shared" ca="1" si="4"/>
        <v>22712.5</v>
      </c>
      <c r="U17" s="7">
        <f t="shared" ca="1" si="5"/>
        <v>0.11967331884344333</v>
      </c>
      <c r="V17" s="7">
        <f t="shared" ca="1" si="6"/>
        <v>-0.15873789989731096</v>
      </c>
      <c r="W17" s="33">
        <f t="shared" ca="1" si="7"/>
        <v>-30293.559952438816</v>
      </c>
      <c r="X17" s="7">
        <f t="shared" ca="1" si="8"/>
        <v>-0.1596183097013176</v>
      </c>
      <c r="Y17" s="7">
        <f t="shared" ca="1" si="9"/>
        <v>-3.9944990857874271E-2</v>
      </c>
      <c r="Z17" s="7">
        <f t="shared" ca="1" si="10"/>
        <v>-4.3306560246757587E-2</v>
      </c>
      <c r="AA17" s="33">
        <f t="shared" ca="1" si="11"/>
        <v>22712.5</v>
      </c>
      <c r="AB17" s="7">
        <f t="shared" ca="1" si="12"/>
        <v>1</v>
      </c>
      <c r="AC17" s="7">
        <f t="shared" ca="1" si="13"/>
        <v>0.55983665942172167</v>
      </c>
      <c r="AD17" s="1"/>
      <c r="AE17" s="1"/>
    </row>
    <row r="18" spans="1:31" x14ac:dyDescent="0.25">
      <c r="A18" s="3"/>
      <c r="B18" s="25">
        <v>43979</v>
      </c>
      <c r="C18" s="10" t="s">
        <v>327</v>
      </c>
      <c r="D18" s="1">
        <v>590</v>
      </c>
      <c r="E18" s="30">
        <v>1150</v>
      </c>
      <c r="F18" s="1">
        <v>540</v>
      </c>
      <c r="G18" s="1">
        <v>10.45</v>
      </c>
      <c r="H18" s="1">
        <v>700</v>
      </c>
      <c r="I18" s="1">
        <v>102</v>
      </c>
      <c r="J18" s="1">
        <v>16100</v>
      </c>
      <c r="K18" s="1">
        <v>19550</v>
      </c>
      <c r="L18" s="1">
        <v>101.9</v>
      </c>
      <c r="M18" s="1">
        <v>110.95</v>
      </c>
      <c r="N18" s="1">
        <v>5750</v>
      </c>
      <c r="O18" s="9"/>
      <c r="P18" s="7">
        <f t="shared" ca="1" si="0"/>
        <v>0.11846666666666666</v>
      </c>
      <c r="Q18" s="7">
        <f t="shared" ca="1" si="1"/>
        <v>8.4619047619047625E-3</v>
      </c>
      <c r="R18" s="33">
        <f t="shared" ca="1" si="2"/>
        <v>22212.5</v>
      </c>
      <c r="S18" s="33">
        <f t="shared" ca="1" si="3"/>
        <v>-165287.5</v>
      </c>
      <c r="T18" s="33">
        <f t="shared" ca="1" si="4"/>
        <v>22212.5</v>
      </c>
      <c r="U18" s="7">
        <f t="shared" ca="1" si="5"/>
        <v>0.13438705286243666</v>
      </c>
      <c r="V18" s="7">
        <f t="shared" ca="1" si="6"/>
        <v>-0.15873789989731096</v>
      </c>
      <c r="W18" s="33">
        <f t="shared" ca="1" si="7"/>
        <v>-30793.559952438816</v>
      </c>
      <c r="X18" s="7">
        <f t="shared" ca="1" si="8"/>
        <v>-0.18630301718181239</v>
      </c>
      <c r="Y18" s="7">
        <f t="shared" ca="1" si="9"/>
        <v>-5.1915964319375729E-2</v>
      </c>
      <c r="Z18" s="7">
        <f t="shared" ca="1" si="10"/>
        <v>-4.3306560246757587E-2</v>
      </c>
      <c r="AA18" s="33">
        <f t="shared" ca="1" si="11"/>
        <v>22212.5</v>
      </c>
      <c r="AB18" s="7">
        <f t="shared" ca="1" si="12"/>
        <v>1</v>
      </c>
      <c r="AC18" s="7">
        <f t="shared" ca="1" si="13"/>
        <v>0.56719352643121834</v>
      </c>
      <c r="AD18" s="1"/>
      <c r="AE18" s="1"/>
    </row>
    <row r="19" spans="1:31" ht="15" customHeight="1" x14ac:dyDescent="0.25">
      <c r="A19" s="3"/>
      <c r="B19" s="25">
        <v>43979</v>
      </c>
      <c r="C19" s="10" t="s">
        <v>18</v>
      </c>
      <c r="D19" s="1">
        <v>2333</v>
      </c>
      <c r="E19" s="30">
        <v>400</v>
      </c>
      <c r="F19" s="1">
        <v>2100</v>
      </c>
      <c r="G19" s="1">
        <v>29.35</v>
      </c>
      <c r="H19" s="1">
        <v>2000</v>
      </c>
      <c r="I19" s="1">
        <v>20</v>
      </c>
      <c r="J19" s="1">
        <v>2800</v>
      </c>
      <c r="K19" s="1">
        <v>4000</v>
      </c>
      <c r="L19" s="1">
        <v>10.4</v>
      </c>
      <c r="M19" s="1">
        <v>24.95</v>
      </c>
      <c r="N19" s="1">
        <v>6400</v>
      </c>
      <c r="O19" s="9"/>
      <c r="P19" s="7">
        <f t="shared" ca="1" si="0"/>
        <v>0.13615384615384615</v>
      </c>
      <c r="Q19" s="7">
        <f t="shared" ca="1" si="1"/>
        <v>9.7252747252747247E-3</v>
      </c>
      <c r="R19" s="33">
        <f t="shared" ca="1" si="2"/>
        <v>22125</v>
      </c>
      <c r="S19" s="33">
        <f t="shared" ca="1" si="3"/>
        <v>-140375</v>
      </c>
      <c r="T19" s="33">
        <f t="shared" ca="1" si="4"/>
        <v>22125</v>
      </c>
      <c r="U19" s="7">
        <f t="shared" ca="1" si="5"/>
        <v>0.15761353517364202</v>
      </c>
      <c r="V19" s="7">
        <f t="shared" ca="1" si="6"/>
        <v>-0.15873789989731096</v>
      </c>
      <c r="W19" s="33">
        <f t="shared" ca="1" si="7"/>
        <v>-30881.059952438816</v>
      </c>
      <c r="X19" s="7">
        <f t="shared" ca="1" si="8"/>
        <v>-0.21998974142431926</v>
      </c>
      <c r="Y19" s="7">
        <f t="shared" ca="1" si="9"/>
        <v>-6.2376206250677246E-2</v>
      </c>
      <c r="Z19" s="7">
        <f t="shared" ca="1" si="10"/>
        <v>-4.3306560246757587E-2</v>
      </c>
      <c r="AA19" s="33">
        <f t="shared" ca="1" si="11"/>
        <v>22125</v>
      </c>
      <c r="AB19" s="7">
        <f t="shared" ca="1" si="12"/>
        <v>1</v>
      </c>
      <c r="AC19" s="7">
        <f t="shared" ca="1" si="13"/>
        <v>0.57880676758682104</v>
      </c>
      <c r="AD19" s="1"/>
      <c r="AE19" s="1"/>
    </row>
    <row r="20" spans="1:31" ht="15" customHeight="1" x14ac:dyDescent="0.25">
      <c r="A20" s="3"/>
      <c r="B20" s="25">
        <v>43979</v>
      </c>
      <c r="C20" s="10" t="s">
        <v>18</v>
      </c>
      <c r="D20" s="1">
        <v>2333</v>
      </c>
      <c r="E20" s="30">
        <v>400</v>
      </c>
      <c r="F20" s="1">
        <v>2100</v>
      </c>
      <c r="G20" s="1">
        <v>29.35</v>
      </c>
      <c r="H20" s="1">
        <v>2100</v>
      </c>
      <c r="I20" s="1">
        <v>29.35</v>
      </c>
      <c r="J20" s="1">
        <v>5200</v>
      </c>
      <c r="K20" s="1">
        <v>4400</v>
      </c>
      <c r="L20" s="1">
        <v>26.2</v>
      </c>
      <c r="M20" s="1">
        <v>40.299999999999997</v>
      </c>
      <c r="N20" s="1">
        <v>6800</v>
      </c>
      <c r="O20" s="9"/>
      <c r="P20" s="7">
        <f t="shared" ca="1" si="0"/>
        <v>0.15609090909090909</v>
      </c>
      <c r="Q20" s="7">
        <f t="shared" ca="1" si="1"/>
        <v>1.1149350649350648E-2</v>
      </c>
      <c r="R20" s="33">
        <f t="shared" ca="1" si="2"/>
        <v>21462.5</v>
      </c>
      <c r="S20" s="33">
        <f t="shared" ca="1" si="3"/>
        <v>-116037.5</v>
      </c>
      <c r="T20" s="33">
        <f t="shared" ca="1" si="4"/>
        <v>21462.5</v>
      </c>
      <c r="U20" s="7">
        <f t="shared" ca="1" si="5"/>
        <v>0.18496175805235376</v>
      </c>
      <c r="V20" s="7">
        <f t="shared" ca="1" si="6"/>
        <v>-0.15873789989731096</v>
      </c>
      <c r="W20" s="33">
        <f t="shared" ca="1" si="7"/>
        <v>-31543.559952438816</v>
      </c>
      <c r="X20" s="7">
        <f t="shared" ca="1" si="8"/>
        <v>-0.27183936186524887</v>
      </c>
      <c r="Y20" s="7">
        <f t="shared" ca="1" si="9"/>
        <v>-8.687760381289511E-2</v>
      </c>
      <c r="Z20" s="7">
        <f t="shared" ca="1" si="10"/>
        <v>-4.3306560246757587E-2</v>
      </c>
      <c r="AA20" s="33">
        <f t="shared" ca="1" si="11"/>
        <v>21462.5</v>
      </c>
      <c r="AB20" s="7">
        <f t="shared" ca="1" si="12"/>
        <v>1</v>
      </c>
      <c r="AC20" s="7">
        <f t="shared" ca="1" si="13"/>
        <v>0.59248087902617685</v>
      </c>
      <c r="AD20" s="1"/>
      <c r="AE20" s="1"/>
    </row>
    <row r="21" spans="1:31" x14ac:dyDescent="0.25">
      <c r="A21" s="3"/>
      <c r="B21" s="25">
        <v>43979</v>
      </c>
      <c r="C21" s="10" t="s">
        <v>18</v>
      </c>
      <c r="D21" s="1">
        <v>2333</v>
      </c>
      <c r="E21" s="30">
        <v>400</v>
      </c>
      <c r="F21" s="1">
        <v>2100</v>
      </c>
      <c r="G21" s="1">
        <v>29.35</v>
      </c>
      <c r="H21" s="1">
        <v>2200</v>
      </c>
      <c r="I21" s="1">
        <v>62.85</v>
      </c>
      <c r="J21" s="1">
        <v>6400</v>
      </c>
      <c r="K21" s="1">
        <v>8000</v>
      </c>
      <c r="L21" s="1">
        <v>49.6</v>
      </c>
      <c r="M21" s="1">
        <v>70</v>
      </c>
      <c r="N21" s="1">
        <v>7600</v>
      </c>
      <c r="O21" s="9"/>
      <c r="P21" s="7">
        <f t="shared" ca="1" si="0"/>
        <v>0.15769999999999998</v>
      </c>
      <c r="Q21" s="7">
        <f t="shared" ca="1" si="1"/>
        <v>1.1264285714285713E-2</v>
      </c>
      <c r="R21" s="33">
        <f t="shared" ca="1" si="2"/>
        <v>19712.5</v>
      </c>
      <c r="S21" s="33">
        <f t="shared" ca="1" si="3"/>
        <v>-105287.5</v>
      </c>
      <c r="T21" s="33">
        <f t="shared" ca="1" si="4"/>
        <v>19712.5</v>
      </c>
      <c r="U21" s="7">
        <f t="shared" ca="1" si="5"/>
        <v>0.1872254541137362</v>
      </c>
      <c r="V21" s="7">
        <f t="shared" ca="1" si="6"/>
        <v>-0.15873789989731096</v>
      </c>
      <c r="W21" s="33">
        <f t="shared" ca="1" si="7"/>
        <v>-33293.559952438816</v>
      </c>
      <c r="X21" s="7">
        <f t="shared" ca="1" si="8"/>
        <v>-0.31621569466877658</v>
      </c>
      <c r="Y21" s="7">
        <f t="shared" ca="1" si="9"/>
        <v>-0.12899024055504038</v>
      </c>
      <c r="Z21" s="7">
        <f t="shared" ca="1" si="10"/>
        <v>-4.3306560246757587E-2</v>
      </c>
      <c r="AA21" s="33">
        <f t="shared" ca="1" si="11"/>
        <v>19712.5</v>
      </c>
      <c r="AB21" s="7">
        <f t="shared" ca="1" si="12"/>
        <v>1</v>
      </c>
      <c r="AC21" s="7">
        <f t="shared" ca="1" si="13"/>
        <v>0.59361272705686807</v>
      </c>
      <c r="AD21" s="1"/>
      <c r="AE21" s="1"/>
    </row>
    <row r="22" spans="1:31" x14ac:dyDescent="0.25">
      <c r="A22" s="3"/>
      <c r="B22" s="25">
        <v>43979</v>
      </c>
      <c r="C22" s="10" t="s">
        <v>18</v>
      </c>
      <c r="D22" s="1">
        <v>2333</v>
      </c>
      <c r="E22" s="30">
        <v>400</v>
      </c>
      <c r="F22" s="1">
        <v>2100</v>
      </c>
      <c r="G22" s="1">
        <v>29.35</v>
      </c>
      <c r="H22" s="1">
        <v>2240</v>
      </c>
      <c r="I22" s="1">
        <v>67</v>
      </c>
      <c r="J22" s="1">
        <v>800</v>
      </c>
      <c r="K22" s="1">
        <v>7200</v>
      </c>
      <c r="L22" s="1">
        <v>60</v>
      </c>
      <c r="M22" s="1">
        <v>83.35</v>
      </c>
      <c r="N22" s="1">
        <v>7200</v>
      </c>
      <c r="O22" s="9"/>
      <c r="P22" s="7">
        <f t="shared" ca="1" si="0"/>
        <v>0.18244444444444444</v>
      </c>
      <c r="Q22" s="7">
        <f t="shared" ca="1" si="1"/>
        <v>1.3031746031746031E-2</v>
      </c>
      <c r="R22" s="33">
        <f t="shared" ca="1" si="2"/>
        <v>20525</v>
      </c>
      <c r="S22" s="33">
        <f t="shared" ca="1" si="3"/>
        <v>-91975</v>
      </c>
      <c r="T22" s="33">
        <f t="shared" ca="1" si="4"/>
        <v>20525</v>
      </c>
      <c r="U22" s="7">
        <f t="shared" ca="1" si="5"/>
        <v>0.22315846697472139</v>
      </c>
      <c r="V22" s="7">
        <f t="shared" ca="1" si="6"/>
        <v>-0.15873789989731096</v>
      </c>
      <c r="W22" s="33">
        <f t="shared" ca="1" si="7"/>
        <v>-32481.059952438816</v>
      </c>
      <c r="X22" s="7">
        <f t="shared" ca="1" si="8"/>
        <v>-0.35315096441901406</v>
      </c>
      <c r="Y22" s="7">
        <f t="shared" ca="1" si="9"/>
        <v>-0.12999249744429267</v>
      </c>
      <c r="Z22" s="7">
        <f t="shared" ca="1" si="10"/>
        <v>-4.3306560246757587E-2</v>
      </c>
      <c r="AA22" s="33">
        <f t="shared" ca="1" si="11"/>
        <v>20525</v>
      </c>
      <c r="AB22" s="7">
        <f t="shared" ca="1" si="12"/>
        <v>1</v>
      </c>
      <c r="AC22" s="7">
        <f t="shared" ca="1" si="13"/>
        <v>0.61157923348736065</v>
      </c>
      <c r="AD22" s="1"/>
      <c r="AE22" s="1"/>
    </row>
    <row r="23" spans="1:31" x14ac:dyDescent="0.25">
      <c r="A23" s="3"/>
      <c r="B23" s="25">
        <v>43979</v>
      </c>
      <c r="C23" s="10" t="s">
        <v>18</v>
      </c>
      <c r="D23" s="1">
        <v>2333</v>
      </c>
      <c r="E23" s="30">
        <v>400</v>
      </c>
      <c r="F23" s="1">
        <v>2100</v>
      </c>
      <c r="G23" s="1">
        <v>29.35</v>
      </c>
      <c r="H23" s="1">
        <v>2350</v>
      </c>
      <c r="I23" s="1">
        <v>124.35</v>
      </c>
      <c r="J23" s="1">
        <v>2000</v>
      </c>
      <c r="K23" s="1">
        <v>7200</v>
      </c>
      <c r="L23" s="1">
        <v>110.7</v>
      </c>
      <c r="M23" s="1">
        <v>120.35</v>
      </c>
      <c r="N23" s="1">
        <v>400</v>
      </c>
      <c r="O23" s="9"/>
      <c r="P23" s="7">
        <f t="shared" ca="1" si="0"/>
        <v>0.18162499999999998</v>
      </c>
      <c r="Q23" s="7">
        <f t="shared" ca="1" si="1"/>
        <v>1.2973214285714284E-2</v>
      </c>
      <c r="R23" s="33">
        <f t="shared" ca="1" si="2"/>
        <v>18162.499999999996</v>
      </c>
      <c r="S23" s="33">
        <f t="shared" ca="1" si="3"/>
        <v>-81837.5</v>
      </c>
      <c r="T23" s="33">
        <f t="shared" ca="1" si="4"/>
        <v>18162.499999999996</v>
      </c>
      <c r="U23" s="7">
        <f t="shared" ca="1" si="5"/>
        <v>0.22193371009622723</v>
      </c>
      <c r="V23" s="7">
        <f t="shared" ca="1" si="6"/>
        <v>-0.15873789989731096</v>
      </c>
      <c r="W23" s="33">
        <f t="shared" ca="1" si="7"/>
        <v>-34843.559952438824</v>
      </c>
      <c r="X23" s="7">
        <f t="shared" ca="1" si="8"/>
        <v>-0.42576520485643898</v>
      </c>
      <c r="Y23" s="7">
        <f t="shared" ca="1" si="9"/>
        <v>-0.20383149476021176</v>
      </c>
      <c r="Z23" s="7">
        <f t="shared" ca="1" si="10"/>
        <v>-4.3306560246757587E-2</v>
      </c>
      <c r="AA23" s="33">
        <f t="shared" ca="1" si="11"/>
        <v>18162.499999999996</v>
      </c>
      <c r="AB23" s="7">
        <f t="shared" ca="1" si="12"/>
        <v>1</v>
      </c>
      <c r="AC23" s="7">
        <f t="shared" ca="1" si="13"/>
        <v>0.61096685504811366</v>
      </c>
      <c r="AD23" s="1"/>
      <c r="AE23" s="1"/>
    </row>
    <row r="24" spans="1:31" x14ac:dyDescent="0.25">
      <c r="A24" s="3"/>
      <c r="B24" s="25">
        <v>43979</v>
      </c>
      <c r="C24" s="10" t="s">
        <v>18</v>
      </c>
      <c r="D24" s="1">
        <v>2333</v>
      </c>
      <c r="E24" s="30">
        <v>400</v>
      </c>
      <c r="F24" s="1">
        <v>2100</v>
      </c>
      <c r="G24" s="1">
        <v>29.35</v>
      </c>
      <c r="H24" s="1">
        <v>2400</v>
      </c>
      <c r="I24" s="1">
        <v>145.4</v>
      </c>
      <c r="J24" s="1">
        <v>800</v>
      </c>
      <c r="K24" s="1">
        <v>7200</v>
      </c>
      <c r="L24" s="1">
        <v>139.15</v>
      </c>
      <c r="M24" s="1">
        <v>149</v>
      </c>
      <c r="N24" s="1">
        <v>400</v>
      </c>
      <c r="O24" s="9"/>
      <c r="P24" s="7">
        <f t="shared" ca="1" si="0"/>
        <v>0.21414285714285711</v>
      </c>
      <c r="Q24" s="7">
        <f t="shared" ca="1" si="1"/>
        <v>1.5295918367346936E-2</v>
      </c>
      <c r="R24" s="33">
        <f t="shared" ca="1" si="2"/>
        <v>18737.499999999996</v>
      </c>
      <c r="S24" s="33">
        <f t="shared" ca="1" si="3"/>
        <v>-68762.5</v>
      </c>
      <c r="T24" s="33">
        <f t="shared" ca="1" si="4"/>
        <v>18737.499999999996</v>
      </c>
      <c r="U24" s="7">
        <f t="shared" ca="1" si="5"/>
        <v>0.2724959098345755</v>
      </c>
      <c r="V24" s="7">
        <f t="shared" ca="1" si="6"/>
        <v>-0.15873789989731096</v>
      </c>
      <c r="W24" s="33">
        <f t="shared" ca="1" si="7"/>
        <v>-34268.559952438824</v>
      </c>
      <c r="X24" s="7">
        <f t="shared" ca="1" si="8"/>
        <v>-0.49836117000456387</v>
      </c>
      <c r="Y24" s="7">
        <f t="shared" ca="1" si="9"/>
        <v>-0.22586526016998837</v>
      </c>
      <c r="Z24" s="7">
        <f t="shared" ca="1" si="10"/>
        <v>-4.3306560246757587E-2</v>
      </c>
      <c r="AA24" s="33">
        <f t="shared" ca="1" si="11"/>
        <v>18737.499999999996</v>
      </c>
      <c r="AB24" s="7">
        <f t="shared" ca="1" si="12"/>
        <v>1</v>
      </c>
      <c r="AC24" s="7">
        <f t="shared" ca="1" si="13"/>
        <v>0.63624795491728769</v>
      </c>
      <c r="AD24" s="1"/>
      <c r="AE24" s="1"/>
    </row>
    <row r="25" spans="1:31" x14ac:dyDescent="0.25">
      <c r="A25" s="3"/>
      <c r="B25" s="25">
        <v>43979</v>
      </c>
      <c r="C25" s="10" t="s">
        <v>642</v>
      </c>
      <c r="D25" s="1">
        <v>219.35</v>
      </c>
      <c r="E25" s="30">
        <v>2100</v>
      </c>
      <c r="F25" s="1">
        <v>195</v>
      </c>
      <c r="G25" s="1">
        <v>6.75</v>
      </c>
      <c r="H25" s="1">
        <v>180</v>
      </c>
      <c r="I25" s="1">
        <v>3</v>
      </c>
      <c r="J25" s="1">
        <v>16800</v>
      </c>
      <c r="K25" s="1">
        <v>37800</v>
      </c>
      <c r="L25" s="1">
        <v>2</v>
      </c>
      <c r="M25" s="1">
        <v>4.1500000000000004</v>
      </c>
      <c r="N25" s="1">
        <v>25200</v>
      </c>
      <c r="O25" s="9"/>
      <c r="P25" s="7">
        <f t="shared" ca="1" si="0"/>
        <v>0.17949999999999999</v>
      </c>
      <c r="Q25" s="7">
        <f t="shared" ca="1" si="1"/>
        <v>1.282142857142857E-2</v>
      </c>
      <c r="R25" s="33">
        <f t="shared" ca="1" si="2"/>
        <v>13462.499999999998</v>
      </c>
      <c r="S25" s="33">
        <f t="shared" ca="1" si="3"/>
        <v>-61537.5</v>
      </c>
      <c r="T25" s="33">
        <f t="shared" ca="1" si="4"/>
        <v>13462.499999999998</v>
      </c>
      <c r="U25" s="7">
        <f t="shared" ca="1" si="5"/>
        <v>0.21876904326630101</v>
      </c>
      <c r="V25" s="7">
        <f t="shared" ca="1" si="6"/>
        <v>-0.15873789989731096</v>
      </c>
      <c r="W25" s="33">
        <f t="shared" ca="1" si="7"/>
        <v>-39543.559952438816</v>
      </c>
      <c r="X25" s="7">
        <f t="shared" ca="1" si="8"/>
        <v>-0.64259288974103301</v>
      </c>
      <c r="Y25" s="7">
        <f t="shared" ca="1" si="9"/>
        <v>-0.42382384647473204</v>
      </c>
      <c r="Z25" s="7">
        <f t="shared" ca="1" si="10"/>
        <v>-4.3306560246757587E-2</v>
      </c>
      <c r="AA25" s="33">
        <f t="shared" ca="1" si="11"/>
        <v>13462.499999999998</v>
      </c>
      <c r="AB25" s="7">
        <f t="shared" ca="1" si="12"/>
        <v>1</v>
      </c>
      <c r="AC25" s="7">
        <f t="shared" ca="1" si="13"/>
        <v>0.60938452163315049</v>
      </c>
      <c r="AD25" s="1"/>
      <c r="AE25" s="1"/>
    </row>
    <row r="26" spans="1:31" x14ac:dyDescent="0.25">
      <c r="A26" s="3"/>
      <c r="B26" s="25">
        <v>43979</v>
      </c>
      <c r="C26" s="10" t="s">
        <v>642</v>
      </c>
      <c r="D26" s="1">
        <v>219.35</v>
      </c>
      <c r="E26" s="30">
        <v>2100</v>
      </c>
      <c r="F26" s="1">
        <v>195</v>
      </c>
      <c r="G26" s="1">
        <v>6.75</v>
      </c>
      <c r="H26" s="1">
        <v>190</v>
      </c>
      <c r="I26" s="1">
        <v>5.2</v>
      </c>
      <c r="J26" s="1">
        <v>25200</v>
      </c>
      <c r="K26" s="1">
        <v>2100</v>
      </c>
      <c r="L26" s="1">
        <v>4.9000000000000004</v>
      </c>
      <c r="M26" s="1">
        <v>5.55</v>
      </c>
      <c r="N26" s="1">
        <v>2100</v>
      </c>
      <c r="O26" s="9"/>
      <c r="P26" s="7">
        <f t="shared" ca="1" si="0"/>
        <v>0.29799999999999999</v>
      </c>
      <c r="Q26" s="7">
        <f t="shared" ca="1" si="1"/>
        <v>2.1285714285714286E-2</v>
      </c>
      <c r="R26" s="33">
        <f t="shared" ca="1" si="2"/>
        <v>18625</v>
      </c>
      <c r="S26" s="33">
        <f t="shared" ca="1" si="3"/>
        <v>-43875</v>
      </c>
      <c r="T26" s="33">
        <f t="shared" ca="1" si="4"/>
        <v>18625</v>
      </c>
      <c r="U26" s="7">
        <f t="shared" ca="1" si="5"/>
        <v>0.42450142450142453</v>
      </c>
      <c r="V26" s="7">
        <f t="shared" ca="1" si="6"/>
        <v>-0.15873789989731096</v>
      </c>
      <c r="W26" s="33">
        <f t="shared" ca="1" si="7"/>
        <v>-34381.059952438816</v>
      </c>
      <c r="X26" s="7">
        <f t="shared" ca="1" si="8"/>
        <v>-0.78361390204988757</v>
      </c>
      <c r="Y26" s="7">
        <f t="shared" ca="1" si="9"/>
        <v>-0.35911247754846304</v>
      </c>
      <c r="Z26" s="7">
        <f t="shared" ca="1" si="10"/>
        <v>-4.3306560246757587E-2</v>
      </c>
      <c r="AA26" s="33">
        <f t="shared" ca="1" si="11"/>
        <v>18625</v>
      </c>
      <c r="AB26" s="7">
        <f t="shared" ca="1" si="12"/>
        <v>1</v>
      </c>
      <c r="AC26" s="7">
        <f t="shared" ca="1" si="13"/>
        <v>0.71225071225071224</v>
      </c>
      <c r="AD26" s="1"/>
      <c r="AE26" s="1"/>
    </row>
    <row r="27" spans="1:31" x14ac:dyDescent="0.25">
      <c r="A27" s="3"/>
      <c r="B27" s="25">
        <v>43979</v>
      </c>
      <c r="C27" s="10" t="s">
        <v>642</v>
      </c>
      <c r="D27" s="1">
        <v>219.35</v>
      </c>
      <c r="E27" s="30">
        <v>2100</v>
      </c>
      <c r="F27" s="1">
        <v>195</v>
      </c>
      <c r="G27" s="1">
        <v>6.75</v>
      </c>
      <c r="H27" s="1">
        <v>195</v>
      </c>
      <c r="I27" s="1">
        <v>6.75</v>
      </c>
      <c r="J27" s="1">
        <v>8400</v>
      </c>
      <c r="K27" s="1">
        <v>2100</v>
      </c>
      <c r="L27" s="1">
        <v>6.4</v>
      </c>
      <c r="M27" s="1">
        <v>7.55</v>
      </c>
      <c r="N27" s="1">
        <v>8400</v>
      </c>
      <c r="O27" s="9"/>
      <c r="P27" s="7">
        <f t="shared" ca="1" si="0"/>
        <v>0.21424999999999997</v>
      </c>
      <c r="Q27" s="7">
        <f t="shared" ca="1" si="1"/>
        <v>1.5303571428571427E-2</v>
      </c>
      <c r="R27" s="33">
        <f t="shared" ca="1" si="2"/>
        <v>10712.499999999998</v>
      </c>
      <c r="S27" s="33">
        <f t="shared" ca="1" si="3"/>
        <v>-39287.5</v>
      </c>
      <c r="T27" s="33">
        <f t="shared" ca="1" si="4"/>
        <v>10712.499999999998</v>
      </c>
      <c r="U27" s="7">
        <f t="shared" ca="1" si="5"/>
        <v>0.27266942411708556</v>
      </c>
      <c r="V27" s="7">
        <f t="shared" ca="1" si="6"/>
        <v>-0.15873789989731096</v>
      </c>
      <c r="W27" s="33">
        <f t="shared" ca="1" si="7"/>
        <v>-39287.5</v>
      </c>
      <c r="X27" s="7">
        <f t="shared" ca="1" si="8"/>
        <v>-1</v>
      </c>
      <c r="Y27" s="7">
        <f t="shared" ca="1" si="9"/>
        <v>-0.7273305758829145</v>
      </c>
      <c r="Z27" s="7">
        <f t="shared" ca="1" si="10"/>
        <v>-4.3306560246757587E-2</v>
      </c>
      <c r="AA27" s="33">
        <f t="shared" ca="1" si="11"/>
        <v>10712.499999999998</v>
      </c>
      <c r="AB27" s="7">
        <f t="shared" ca="1" si="12"/>
        <v>1</v>
      </c>
      <c r="AC27" s="7">
        <f t="shared" ca="1" si="13"/>
        <v>0.63633471205854275</v>
      </c>
      <c r="AD27" s="1"/>
      <c r="AE27" s="1"/>
    </row>
    <row r="28" spans="1:31" x14ac:dyDescent="0.25">
      <c r="A28" s="3"/>
      <c r="B28" s="25">
        <v>43979</v>
      </c>
      <c r="C28" s="10" t="s">
        <v>642</v>
      </c>
      <c r="D28" s="1">
        <v>219.35</v>
      </c>
      <c r="E28" s="30">
        <v>2100</v>
      </c>
      <c r="F28" s="1">
        <v>195</v>
      </c>
      <c r="G28" s="1">
        <v>6.75</v>
      </c>
      <c r="H28" s="1">
        <v>200</v>
      </c>
      <c r="I28" s="1">
        <v>8.5500000000000007</v>
      </c>
      <c r="J28" s="1">
        <v>46200</v>
      </c>
      <c r="K28" s="1">
        <v>4200</v>
      </c>
      <c r="L28" s="1">
        <v>8.3000000000000007</v>
      </c>
      <c r="M28" s="1">
        <v>8.5500000000000007</v>
      </c>
      <c r="N28" s="1">
        <v>2100</v>
      </c>
      <c r="O28" s="9"/>
      <c r="P28" s="7">
        <f t="shared" ca="1" si="0"/>
        <v>0.45899999999999996</v>
      </c>
      <c r="Q28" s="7">
        <f t="shared" ca="1" si="1"/>
        <v>3.2785714285714286E-2</v>
      </c>
      <c r="R28" s="33">
        <f t="shared" ca="1" si="2"/>
        <v>17212.5</v>
      </c>
      <c r="S28" s="33">
        <f t="shared" ca="1" si="3"/>
        <v>-20287.5</v>
      </c>
      <c r="T28" s="33">
        <f t="shared" ca="1" si="4"/>
        <v>17212.5</v>
      </c>
      <c r="U28" s="7">
        <f t="shared" ca="1" si="5"/>
        <v>0.84842883548983361</v>
      </c>
      <c r="V28" s="7">
        <f t="shared" ca="1" si="6"/>
        <v>-0.15873789989731096</v>
      </c>
      <c r="W28" s="33">
        <f t="shared" ca="1" si="7"/>
        <v>-20287.5</v>
      </c>
      <c r="X28" s="7">
        <f t="shared" ca="1" si="8"/>
        <v>-1</v>
      </c>
      <c r="Y28" s="7">
        <f t="shared" ca="1" si="9"/>
        <v>-0.15157116451016639</v>
      </c>
      <c r="Z28" s="7">
        <f t="shared" ca="1" si="10"/>
        <v>-4.3306560246757587E-2</v>
      </c>
      <c r="AA28" s="33">
        <f t="shared" ca="1" si="11"/>
        <v>17212.5</v>
      </c>
      <c r="AB28" s="7">
        <f t="shared" ca="1" si="12"/>
        <v>1</v>
      </c>
      <c r="AC28" s="7">
        <f t="shared" ca="1" si="13"/>
        <v>0.92421441774491675</v>
      </c>
      <c r="AD28" s="1"/>
      <c r="AE28" s="1"/>
    </row>
    <row r="29" spans="1:31" x14ac:dyDescent="0.25">
      <c r="A29" s="3"/>
      <c r="B29" s="25">
        <v>43979</v>
      </c>
      <c r="C29" s="10" t="s">
        <v>642</v>
      </c>
      <c r="D29" s="1">
        <v>219.35</v>
      </c>
      <c r="E29" s="30">
        <v>2100</v>
      </c>
      <c r="F29" s="1">
        <v>195</v>
      </c>
      <c r="G29" s="1">
        <v>6.75</v>
      </c>
      <c r="H29" s="1">
        <v>205</v>
      </c>
      <c r="I29" s="1">
        <v>10.3</v>
      </c>
      <c r="J29" s="1">
        <v>2100</v>
      </c>
      <c r="K29" s="1">
        <v>2100</v>
      </c>
      <c r="L29" s="1">
        <v>10.4</v>
      </c>
      <c r="M29" s="1">
        <v>11.6</v>
      </c>
      <c r="N29" s="1">
        <v>12600</v>
      </c>
      <c r="O29" s="9"/>
      <c r="P29" s="7">
        <f t="shared" ca="1" si="0"/>
        <v>0.54849999999999999</v>
      </c>
      <c r="Q29" s="7">
        <f t="shared" ca="1" si="1"/>
        <v>3.9178571428571431E-2</v>
      </c>
      <c r="R29" s="33">
        <f t="shared" ca="1" si="2"/>
        <v>13712.499999999998</v>
      </c>
      <c r="S29" s="33">
        <f t="shared" ca="1" si="3"/>
        <v>-11287.500000000002</v>
      </c>
      <c r="T29" s="33">
        <f t="shared" ca="1" si="4"/>
        <v>13712.499999999998</v>
      </c>
      <c r="U29" s="7">
        <f t="shared" ca="1" si="5"/>
        <v>1.2148394241417493</v>
      </c>
      <c r="V29" s="7">
        <f t="shared" ca="1" si="6"/>
        <v>-0.15873789989731096</v>
      </c>
      <c r="W29" s="33">
        <f t="shared" ca="1" si="7"/>
        <v>-11287.500000000002</v>
      </c>
      <c r="X29" s="7">
        <f t="shared" ca="1" si="8"/>
        <v>-1</v>
      </c>
      <c r="Y29" s="7">
        <f t="shared" ca="1" si="9"/>
        <v>0.21483942414174928</v>
      </c>
      <c r="Z29" s="7">
        <f t="shared" ca="1" si="10"/>
        <v>-4.3306560246757587E-2</v>
      </c>
      <c r="AA29" s="33">
        <f t="shared" ca="1" si="11"/>
        <v>13712.499999999998</v>
      </c>
      <c r="AB29" s="7">
        <f t="shared" ca="1" si="12"/>
        <v>1</v>
      </c>
      <c r="AC29" s="7">
        <f t="shared" ca="1" si="13"/>
        <v>1.1074197120708746</v>
      </c>
      <c r="AD29" s="1"/>
      <c r="AE29" s="1"/>
    </row>
    <row r="30" spans="1:31" x14ac:dyDescent="0.25">
      <c r="A30" s="3"/>
      <c r="B30" s="25">
        <v>43979</v>
      </c>
      <c r="C30" s="10" t="s">
        <v>642</v>
      </c>
      <c r="D30" s="1">
        <v>219.35</v>
      </c>
      <c r="E30" s="30">
        <v>2100</v>
      </c>
      <c r="F30" s="1">
        <v>195</v>
      </c>
      <c r="G30" s="1">
        <v>6.75</v>
      </c>
      <c r="H30" s="1">
        <v>210</v>
      </c>
      <c r="I30" s="1">
        <v>13.15</v>
      </c>
      <c r="J30" s="1">
        <v>25200</v>
      </c>
      <c r="K30" s="1">
        <v>4200</v>
      </c>
      <c r="L30" s="1">
        <v>13</v>
      </c>
      <c r="M30" s="1">
        <v>13.5</v>
      </c>
      <c r="N30" s="1">
        <v>2100</v>
      </c>
      <c r="O30" s="9"/>
      <c r="P30" s="7">
        <f t="shared" ca="1" si="0"/>
        <v>1.117</v>
      </c>
      <c r="Q30" s="7">
        <f t="shared" ca="1" si="1"/>
        <v>7.9785714285714279E-2</v>
      </c>
      <c r="R30" s="33">
        <f t="shared" ca="1" si="2"/>
        <v>13962.499999999998</v>
      </c>
      <c r="S30" s="33">
        <f t="shared" ca="1" si="3"/>
        <v>1462.4999999999982</v>
      </c>
      <c r="T30" s="33">
        <f t="shared" ca="1" si="4"/>
        <v>13962.499999999998</v>
      </c>
      <c r="U30" s="7">
        <f t="shared" ca="1" si="5"/>
        <v>9.5470085470085575</v>
      </c>
      <c r="V30" s="7">
        <f t="shared" ca="1" si="6"/>
        <v>-0.15873789989731096</v>
      </c>
      <c r="W30" s="33">
        <f t="shared" ca="1" si="7"/>
        <v>1462.4999999999982</v>
      </c>
      <c r="X30" s="7">
        <f t="shared" ca="1" si="8"/>
        <v>1</v>
      </c>
      <c r="Y30" s="7">
        <f t="shared" ca="1" si="9"/>
        <v>10.547008547008557</v>
      </c>
      <c r="Z30" s="7">
        <f t="shared" ca="1" si="10"/>
        <v>-4.3306560246757587E-2</v>
      </c>
      <c r="AA30" s="33">
        <f t="shared" ca="1" si="11"/>
        <v>13962.499999999998</v>
      </c>
      <c r="AB30" s="7">
        <f t="shared" ca="1" si="12"/>
        <v>1</v>
      </c>
      <c r="AC30" s="7">
        <f t="shared" ca="1" si="13"/>
        <v>5.2735042735042787</v>
      </c>
      <c r="AD30" s="1"/>
      <c r="AE30" s="1"/>
    </row>
    <row r="31" spans="1:31" x14ac:dyDescent="0.25">
      <c r="A31" s="3"/>
      <c r="B31" s="25">
        <v>43979</v>
      </c>
      <c r="C31" s="10" t="s">
        <v>642</v>
      </c>
      <c r="D31" s="1">
        <v>219.35</v>
      </c>
      <c r="E31" s="30">
        <v>2100</v>
      </c>
      <c r="F31" s="1">
        <v>195</v>
      </c>
      <c r="G31" s="1">
        <v>6.75</v>
      </c>
      <c r="H31" s="1">
        <v>220</v>
      </c>
      <c r="I31" s="1">
        <v>19</v>
      </c>
      <c r="J31" s="1">
        <v>35700</v>
      </c>
      <c r="K31" s="1">
        <v>4200</v>
      </c>
      <c r="L31" s="1">
        <v>18.350000000000001</v>
      </c>
      <c r="M31" s="1">
        <v>20.100000000000001</v>
      </c>
      <c r="N31" s="1">
        <v>16800</v>
      </c>
      <c r="O31" s="9"/>
      <c r="P31" s="7">
        <f t="shared" ca="1" si="0"/>
        <v>-0.79699999999999993</v>
      </c>
      <c r="Q31" s="7">
        <f t="shared" ca="1" si="1"/>
        <v>-5.6928571428571426E-2</v>
      </c>
      <c r="R31" s="33">
        <f t="shared" ca="1" si="2"/>
        <v>9962.4999999999982</v>
      </c>
      <c r="S31" s="33">
        <f t="shared" ca="1" si="3"/>
        <v>22462.5</v>
      </c>
      <c r="T31" s="33">
        <f t="shared" ca="1" si="4"/>
        <v>9962.4999999999982</v>
      </c>
      <c r="U31" s="7">
        <f t="shared" ca="1" si="5"/>
        <v>0.44351697273233159</v>
      </c>
      <c r="V31" s="7">
        <f t="shared" ca="1" si="6"/>
        <v>-0.15873789989731096</v>
      </c>
      <c r="W31" s="33">
        <f t="shared" ca="1" si="7"/>
        <v>9962.4999999999982</v>
      </c>
      <c r="X31" s="7">
        <f t="shared" ca="1" si="8"/>
        <v>0.44351697273233159</v>
      </c>
      <c r="Y31" s="7">
        <f t="shared" ca="1" si="9"/>
        <v>0.88703394546466319</v>
      </c>
      <c r="Z31" s="7">
        <f t="shared" ca="1" si="10"/>
        <v>-4.3306560246757587E-2</v>
      </c>
      <c r="AA31" s="33">
        <f t="shared" ca="1" si="11"/>
        <v>9962.4999999999982</v>
      </c>
      <c r="AB31" s="7">
        <f t="shared" ca="1" si="12"/>
        <v>1</v>
      </c>
      <c r="AC31" s="7">
        <f t="shared" ca="1" si="13"/>
        <v>0.7217584863661658</v>
      </c>
      <c r="AD31" s="1"/>
      <c r="AE31" s="1"/>
    </row>
    <row r="32" spans="1:31" x14ac:dyDescent="0.25">
      <c r="A32" s="3"/>
      <c r="B32" s="25">
        <v>43979</v>
      </c>
      <c r="C32" s="10" t="s">
        <v>642</v>
      </c>
      <c r="D32" s="1">
        <v>219.35</v>
      </c>
      <c r="E32" s="30">
        <v>2100</v>
      </c>
      <c r="F32" s="1">
        <v>195</v>
      </c>
      <c r="G32" s="1">
        <v>6.75</v>
      </c>
      <c r="H32" s="1">
        <v>270</v>
      </c>
      <c r="I32" s="1">
        <v>60</v>
      </c>
      <c r="J32" s="1">
        <v>4200</v>
      </c>
      <c r="K32" s="1">
        <v>37800</v>
      </c>
      <c r="L32" s="1">
        <v>58.7</v>
      </c>
      <c r="M32" s="1">
        <v>63.55</v>
      </c>
      <c r="N32" s="1">
        <v>4200</v>
      </c>
      <c r="O32" s="9"/>
      <c r="P32" s="7">
        <f t="shared" ca="1" si="0"/>
        <v>-0.29649999999999993</v>
      </c>
      <c r="Q32" s="7">
        <f t="shared" ca="1" si="1"/>
        <v>-2.1178571428571425E-2</v>
      </c>
      <c r="R32" s="33">
        <f t="shared" ca="1" si="2"/>
        <v>7412.4999999999982</v>
      </c>
      <c r="S32" s="33">
        <f t="shared" ca="1" si="3"/>
        <v>32412.5</v>
      </c>
      <c r="T32" s="33">
        <f t="shared" ca="1" si="4"/>
        <v>7412.4999999999982</v>
      </c>
      <c r="U32" s="7">
        <f t="shared" ca="1" si="5"/>
        <v>0.22869263401465478</v>
      </c>
      <c r="V32" s="7">
        <f t="shared" ca="1" si="6"/>
        <v>-0.15873789989731096</v>
      </c>
      <c r="W32" s="33">
        <f t="shared" ca="1" si="7"/>
        <v>7412.4999999999982</v>
      </c>
      <c r="X32" s="7">
        <f t="shared" ca="1" si="8"/>
        <v>0.22869263401465478</v>
      </c>
      <c r="Y32" s="7">
        <f t="shared" ca="1" si="9"/>
        <v>0.45738526802930957</v>
      </c>
      <c r="Z32" s="7">
        <f t="shared" ca="1" si="10"/>
        <v>-4.3306560246757587E-2</v>
      </c>
      <c r="AA32" s="33">
        <f t="shared" ca="1" si="11"/>
        <v>7412.4999999999982</v>
      </c>
      <c r="AB32" s="7">
        <f t="shared" ca="1" si="12"/>
        <v>1</v>
      </c>
      <c r="AC32" s="7">
        <f t="shared" ca="1" si="13"/>
        <v>0.61434631700732734</v>
      </c>
      <c r="AD32" s="1"/>
      <c r="AE32" s="1"/>
    </row>
    <row r="33" spans="1:31" x14ac:dyDescent="0.25">
      <c r="A33" s="3"/>
      <c r="B33" s="25">
        <v>43979</v>
      </c>
      <c r="C33" s="10" t="s">
        <v>1530</v>
      </c>
      <c r="D33" s="1">
        <v>466</v>
      </c>
      <c r="E33" s="30">
        <v>1250</v>
      </c>
      <c r="F33" s="1">
        <v>420</v>
      </c>
      <c r="G33" s="1">
        <v>11.55</v>
      </c>
      <c r="H33" s="1">
        <v>300</v>
      </c>
      <c r="I33" s="1">
        <v>1.3</v>
      </c>
      <c r="J33" s="1">
        <v>106250</v>
      </c>
      <c r="K33" s="1">
        <v>1250</v>
      </c>
      <c r="L33" s="1">
        <v>1.25</v>
      </c>
      <c r="M33" s="1">
        <v>1.45</v>
      </c>
      <c r="N33" s="1">
        <v>1250</v>
      </c>
      <c r="O33" s="9"/>
      <c r="P33" s="7">
        <f t="shared" ca="1" si="0"/>
        <v>0.12203125000000001</v>
      </c>
      <c r="Q33" s="7">
        <f t="shared" ref="Q33:Q90" ca="1" si="14">P33/($B33-TODAY())</f>
        <v>8.7165178571428584E-3</v>
      </c>
      <c r="R33" s="33">
        <f t="shared" ca="1" si="2"/>
        <v>11715.000000000002</v>
      </c>
      <c r="S33" s="33">
        <f t="shared" ca="1" si="3"/>
        <v>-84285</v>
      </c>
      <c r="T33" s="33">
        <f t="shared" ref="T33:T90" ca="1" si="15">R33</f>
        <v>11715.000000000002</v>
      </c>
      <c r="U33" s="7">
        <f t="shared" ca="1" si="5"/>
        <v>0.13899270332799432</v>
      </c>
      <c r="V33" s="7">
        <f t="shared" ca="1" si="6"/>
        <v>-0.19593676522444173</v>
      </c>
      <c r="W33" s="33">
        <f t="shared" ref="W33:W90" ca="1" si="16">-(MAX(($F33-MAX($D33*(1+V33),$H33)),0)*$E33-$R33)</f>
        <v>-58317.350700530063</v>
      </c>
      <c r="X33" s="7">
        <f t="shared" ref="X33:X90" ca="1" si="17">W33/ABS($S33)</f>
        <v>-0.69190663463878588</v>
      </c>
      <c r="Y33" s="7">
        <f t="shared" ref="Y33:Y90" ca="1" si="18">$U33+X33</f>
        <v>-0.55291393131079158</v>
      </c>
      <c r="Z33" s="7">
        <f t="shared" ca="1" si="10"/>
        <v>-3.9721881206456616E-2</v>
      </c>
      <c r="AA33" s="33">
        <f t="shared" ref="AA33:AA90" ca="1" si="19">-(MAX(($F33-MAX($D33*(1+Z33),$H33)),0)*$E33-$R33)</f>
        <v>11715.000000000002</v>
      </c>
      <c r="AB33" s="7">
        <f t="shared" ref="AB33:AB90" ca="1" si="20">AA33/$R33</f>
        <v>1</v>
      </c>
      <c r="AC33" s="7">
        <f t="shared" ca="1" si="13"/>
        <v>0.56949635166399715</v>
      </c>
      <c r="AD33" s="1"/>
      <c r="AE33" s="1"/>
    </row>
    <row r="34" spans="1:31" x14ac:dyDescent="0.25">
      <c r="A34" s="3"/>
      <c r="B34" s="25">
        <v>43979</v>
      </c>
      <c r="C34" s="10" t="s">
        <v>1530</v>
      </c>
      <c r="D34" s="1">
        <v>466</v>
      </c>
      <c r="E34" s="30">
        <v>1250</v>
      </c>
      <c r="F34" s="1">
        <v>420</v>
      </c>
      <c r="G34" s="1">
        <v>11.55</v>
      </c>
      <c r="H34" s="1">
        <v>350</v>
      </c>
      <c r="I34" s="1">
        <v>3.75</v>
      </c>
      <c r="J34" s="1">
        <v>2106250</v>
      </c>
      <c r="K34" s="1">
        <v>3750</v>
      </c>
      <c r="L34" s="1">
        <v>3.75</v>
      </c>
      <c r="M34" s="1">
        <v>3.8</v>
      </c>
      <c r="N34" s="1">
        <v>7500</v>
      </c>
      <c r="O34" s="9"/>
      <c r="P34" s="7">
        <f t="shared" ca="1" si="0"/>
        <v>0.14211538461538462</v>
      </c>
      <c r="Q34" s="7">
        <f t="shared" ca="1" si="14"/>
        <v>1.0151098901098901E-2</v>
      </c>
      <c r="R34" s="33">
        <f t="shared" ca="1" si="2"/>
        <v>11085</v>
      </c>
      <c r="S34" s="33">
        <f t="shared" ca="1" si="3"/>
        <v>-66915</v>
      </c>
      <c r="T34" s="33">
        <f t="shared" ca="1" si="15"/>
        <v>11085</v>
      </c>
      <c r="U34" s="7">
        <f t="shared" ca="1" si="5"/>
        <v>0.16565792423223494</v>
      </c>
      <c r="V34" s="7">
        <f t="shared" ca="1" si="6"/>
        <v>-0.19593676522444173</v>
      </c>
      <c r="W34" s="33">
        <f t="shared" ca="1" si="16"/>
        <v>-58947.350700530063</v>
      </c>
      <c r="X34" s="7">
        <f t="shared" ca="1" si="17"/>
        <v>-0.88092880072524937</v>
      </c>
      <c r="Y34" s="7">
        <f t="shared" ca="1" si="18"/>
        <v>-0.71527087649301446</v>
      </c>
      <c r="Z34" s="7">
        <f t="shared" ca="1" si="10"/>
        <v>-3.9721881206456616E-2</v>
      </c>
      <c r="AA34" s="33">
        <f t="shared" ca="1" si="19"/>
        <v>11085</v>
      </c>
      <c r="AB34" s="7">
        <f t="shared" ca="1" si="20"/>
        <v>1</v>
      </c>
      <c r="AC34" s="7">
        <f t="shared" ca="1" si="13"/>
        <v>0.58282896211611745</v>
      </c>
      <c r="AD34" s="1"/>
      <c r="AE34" s="1"/>
    </row>
    <row r="35" spans="1:31" x14ac:dyDescent="0.25">
      <c r="A35" s="3"/>
      <c r="B35" s="25">
        <v>43979</v>
      </c>
      <c r="C35" s="10" t="s">
        <v>1530</v>
      </c>
      <c r="D35" s="1">
        <v>466</v>
      </c>
      <c r="E35" s="30">
        <v>1250</v>
      </c>
      <c r="F35" s="1">
        <v>420</v>
      </c>
      <c r="G35" s="1">
        <v>11.55</v>
      </c>
      <c r="H35" s="1">
        <v>360</v>
      </c>
      <c r="I35" s="1">
        <v>3.75</v>
      </c>
      <c r="J35" s="1">
        <v>35000</v>
      </c>
      <c r="K35" s="1">
        <v>1250</v>
      </c>
      <c r="L35" s="1">
        <v>3.8</v>
      </c>
      <c r="M35" s="1">
        <v>4.75</v>
      </c>
      <c r="N35" s="1">
        <v>1250</v>
      </c>
      <c r="O35" s="9"/>
      <c r="P35" s="7">
        <f t="shared" ca="1" si="0"/>
        <v>0.1563636363636364</v>
      </c>
      <c r="Q35" s="7">
        <f t="shared" ca="1" si="14"/>
        <v>1.1168831168831172E-2</v>
      </c>
      <c r="R35" s="33">
        <f t="shared" ca="1" si="2"/>
        <v>10320.000000000002</v>
      </c>
      <c r="S35" s="33">
        <f t="shared" ca="1" si="3"/>
        <v>-55680</v>
      </c>
      <c r="T35" s="33">
        <f t="shared" ca="1" si="15"/>
        <v>10320.000000000002</v>
      </c>
      <c r="U35" s="7">
        <f t="shared" ca="1" si="5"/>
        <v>0.18534482758620693</v>
      </c>
      <c r="V35" s="7">
        <f t="shared" ca="1" si="6"/>
        <v>-0.19593676522444173</v>
      </c>
      <c r="W35" s="33">
        <f t="shared" ca="1" si="16"/>
        <v>-55680</v>
      </c>
      <c r="X35" s="7">
        <f t="shared" ca="1" si="17"/>
        <v>-1</v>
      </c>
      <c r="Y35" s="7">
        <f t="shared" ca="1" si="18"/>
        <v>-0.81465517241379304</v>
      </c>
      <c r="Z35" s="7">
        <f t="shared" ca="1" si="10"/>
        <v>-3.9721881206456616E-2</v>
      </c>
      <c r="AA35" s="33">
        <f t="shared" ca="1" si="19"/>
        <v>10320.000000000002</v>
      </c>
      <c r="AB35" s="7">
        <f t="shared" ca="1" si="20"/>
        <v>1</v>
      </c>
      <c r="AC35" s="7">
        <f t="shared" ca="1" si="13"/>
        <v>0.59267241379310343</v>
      </c>
      <c r="AD35" s="1"/>
      <c r="AE35" s="1"/>
    </row>
    <row r="36" spans="1:31" x14ac:dyDescent="0.25">
      <c r="A36" s="3"/>
      <c r="B36" s="25">
        <v>43979</v>
      </c>
      <c r="C36" s="10" t="s">
        <v>1530</v>
      </c>
      <c r="D36" s="1">
        <v>466</v>
      </c>
      <c r="E36" s="30">
        <v>1250</v>
      </c>
      <c r="F36" s="1">
        <v>420</v>
      </c>
      <c r="G36" s="1">
        <v>11.55</v>
      </c>
      <c r="H36" s="1">
        <v>380</v>
      </c>
      <c r="I36" s="1">
        <v>5.95</v>
      </c>
      <c r="J36" s="1">
        <v>13750</v>
      </c>
      <c r="K36" s="1">
        <v>1250</v>
      </c>
      <c r="L36" s="1">
        <v>5</v>
      </c>
      <c r="M36" s="1">
        <v>5.95</v>
      </c>
      <c r="N36" s="1">
        <v>3750</v>
      </c>
      <c r="O36" s="9"/>
      <c r="P36" s="7">
        <f t="shared" ca="1" si="0"/>
        <v>0.16638888888888889</v>
      </c>
      <c r="Q36" s="7">
        <f t="shared" ca="1" si="14"/>
        <v>1.1884920634920635E-2</v>
      </c>
      <c r="R36" s="33">
        <f t="shared" ca="1" si="2"/>
        <v>8985</v>
      </c>
      <c r="S36" s="33">
        <f t="shared" ca="1" si="3"/>
        <v>-45015</v>
      </c>
      <c r="T36" s="33">
        <f t="shared" ca="1" si="15"/>
        <v>8985</v>
      </c>
      <c r="U36" s="7">
        <f t="shared" ca="1" si="5"/>
        <v>0.19960013328890369</v>
      </c>
      <c r="V36" s="7">
        <f t="shared" ca="1" si="6"/>
        <v>-0.19593676522444173</v>
      </c>
      <c r="W36" s="33">
        <f t="shared" ca="1" si="16"/>
        <v>-45015</v>
      </c>
      <c r="X36" s="7">
        <f t="shared" ca="1" si="17"/>
        <v>-1</v>
      </c>
      <c r="Y36" s="7">
        <f t="shared" ca="1" si="18"/>
        <v>-0.80039986671109631</v>
      </c>
      <c r="Z36" s="7">
        <f t="shared" ca="1" si="10"/>
        <v>-3.9721881206456616E-2</v>
      </c>
      <c r="AA36" s="33">
        <f t="shared" ca="1" si="19"/>
        <v>8985</v>
      </c>
      <c r="AB36" s="7">
        <f t="shared" ca="1" si="20"/>
        <v>1</v>
      </c>
      <c r="AC36" s="7">
        <f t="shared" ca="1" si="13"/>
        <v>0.59980006664445185</v>
      </c>
      <c r="AD36" s="1"/>
      <c r="AE36" s="1"/>
    </row>
    <row r="37" spans="1:31" x14ac:dyDescent="0.25">
      <c r="A37" s="3"/>
      <c r="B37" s="25">
        <v>43979</v>
      </c>
      <c r="C37" s="10" t="s">
        <v>1530</v>
      </c>
      <c r="D37" s="1">
        <v>466</v>
      </c>
      <c r="E37" s="30">
        <v>1250</v>
      </c>
      <c r="F37" s="1">
        <v>420</v>
      </c>
      <c r="G37" s="1">
        <v>11.55</v>
      </c>
      <c r="H37" s="1">
        <v>400</v>
      </c>
      <c r="I37" s="1">
        <v>7.85</v>
      </c>
      <c r="J37" s="1">
        <v>535000</v>
      </c>
      <c r="K37" s="1">
        <v>2500</v>
      </c>
      <c r="L37" s="1">
        <v>7.8</v>
      </c>
      <c r="M37" s="1">
        <v>7.95</v>
      </c>
      <c r="N37" s="1">
        <v>1250</v>
      </c>
      <c r="O37" s="9"/>
      <c r="P37" s="7">
        <f t="shared" ca="1" si="0"/>
        <v>0.22500000000000003</v>
      </c>
      <c r="Q37" s="7">
        <f t="shared" ca="1" si="14"/>
        <v>1.6071428571428573E-2</v>
      </c>
      <c r="R37" s="33">
        <f t="shared" ca="1" si="2"/>
        <v>9450.0000000000018</v>
      </c>
      <c r="S37" s="33">
        <f t="shared" ca="1" si="3"/>
        <v>-32550</v>
      </c>
      <c r="T37" s="33">
        <f t="shared" ca="1" si="15"/>
        <v>9450.0000000000018</v>
      </c>
      <c r="U37" s="7">
        <f t="shared" ca="1" si="5"/>
        <v>0.29032258064516137</v>
      </c>
      <c r="V37" s="7">
        <f t="shared" ca="1" si="6"/>
        <v>-0.19593676522444173</v>
      </c>
      <c r="W37" s="33">
        <f t="shared" ca="1" si="16"/>
        <v>-32550</v>
      </c>
      <c r="X37" s="7">
        <f t="shared" ca="1" si="17"/>
        <v>-1</v>
      </c>
      <c r="Y37" s="7">
        <f t="shared" ca="1" si="18"/>
        <v>-0.70967741935483863</v>
      </c>
      <c r="Z37" s="7">
        <f t="shared" ca="1" si="10"/>
        <v>-3.9721881206456616E-2</v>
      </c>
      <c r="AA37" s="33">
        <f t="shared" ca="1" si="19"/>
        <v>9450.0000000000018</v>
      </c>
      <c r="AB37" s="7">
        <f t="shared" ca="1" si="20"/>
        <v>1</v>
      </c>
      <c r="AC37" s="7">
        <f t="shared" ca="1" si="13"/>
        <v>0.64516129032258074</v>
      </c>
      <c r="AD37" s="1"/>
      <c r="AE37" s="1"/>
    </row>
    <row r="38" spans="1:31" x14ac:dyDescent="0.25">
      <c r="A38" s="3"/>
      <c r="B38" s="25">
        <v>43979</v>
      </c>
      <c r="C38" s="10" t="s">
        <v>1530</v>
      </c>
      <c r="D38" s="1">
        <v>466</v>
      </c>
      <c r="E38" s="30">
        <v>1250</v>
      </c>
      <c r="F38" s="1">
        <v>420</v>
      </c>
      <c r="G38" s="1">
        <v>11.55</v>
      </c>
      <c r="H38" s="1">
        <v>410</v>
      </c>
      <c r="I38" s="1">
        <v>9.8000000000000007</v>
      </c>
      <c r="J38" s="1">
        <v>28750</v>
      </c>
      <c r="K38" s="1">
        <v>1250</v>
      </c>
      <c r="L38" s="1">
        <v>9.65</v>
      </c>
      <c r="M38" s="1">
        <v>9.85</v>
      </c>
      <c r="N38" s="1">
        <v>1250</v>
      </c>
      <c r="O38" s="9"/>
      <c r="P38" s="7">
        <f t="shared" ca="1" si="0"/>
        <v>0.24125000000000002</v>
      </c>
      <c r="Q38" s="7">
        <f t="shared" ca="1" si="14"/>
        <v>1.7232142857142859E-2</v>
      </c>
      <c r="R38" s="33">
        <f t="shared" ca="1" si="2"/>
        <v>8685</v>
      </c>
      <c r="S38" s="33">
        <f t="shared" ca="1" si="3"/>
        <v>-27315</v>
      </c>
      <c r="T38" s="33">
        <f t="shared" ca="1" si="15"/>
        <v>8685</v>
      </c>
      <c r="U38" s="7">
        <f t="shared" ca="1" si="5"/>
        <v>0.31795716639209226</v>
      </c>
      <c r="V38" s="7">
        <f t="shared" ca="1" si="6"/>
        <v>-0.19593676522444173</v>
      </c>
      <c r="W38" s="33">
        <f t="shared" ca="1" si="16"/>
        <v>-27315</v>
      </c>
      <c r="X38" s="7">
        <f t="shared" ca="1" si="17"/>
        <v>-1</v>
      </c>
      <c r="Y38" s="7">
        <f t="shared" ca="1" si="18"/>
        <v>-0.68204283360790774</v>
      </c>
      <c r="Z38" s="7">
        <f t="shared" ca="1" si="10"/>
        <v>-3.9721881206456616E-2</v>
      </c>
      <c r="AA38" s="33">
        <f t="shared" ca="1" si="19"/>
        <v>8685</v>
      </c>
      <c r="AB38" s="7">
        <f t="shared" ca="1" si="20"/>
        <v>1</v>
      </c>
      <c r="AC38" s="7">
        <f t="shared" ca="1" si="13"/>
        <v>0.65897858319604619</v>
      </c>
      <c r="AD38" s="1"/>
      <c r="AE38" s="1"/>
    </row>
    <row r="39" spans="1:31" x14ac:dyDescent="0.25">
      <c r="A39" s="3"/>
      <c r="B39" s="25">
        <v>43979</v>
      </c>
      <c r="C39" s="10" t="s">
        <v>1530</v>
      </c>
      <c r="D39" s="1">
        <v>466</v>
      </c>
      <c r="E39" s="30">
        <v>1250</v>
      </c>
      <c r="F39" s="1">
        <v>420</v>
      </c>
      <c r="G39" s="1">
        <v>11.55</v>
      </c>
      <c r="H39" s="1">
        <v>420</v>
      </c>
      <c r="I39" s="1">
        <v>11.55</v>
      </c>
      <c r="J39" s="1">
        <v>30000</v>
      </c>
      <c r="K39" s="1">
        <v>1250</v>
      </c>
      <c r="L39" s="1">
        <v>11.55</v>
      </c>
      <c r="M39" s="1">
        <v>12.15</v>
      </c>
      <c r="N39" s="1">
        <v>3750</v>
      </c>
      <c r="O39" s="9"/>
      <c r="P39" s="7">
        <f t="shared" ca="1" si="0"/>
        <v>0.15950000000000003</v>
      </c>
      <c r="Q39" s="7">
        <f t="shared" ca="1" si="14"/>
        <v>1.1392857142857146E-2</v>
      </c>
      <c r="R39" s="33">
        <f t="shared" ca="1" si="2"/>
        <v>4785.0000000000009</v>
      </c>
      <c r="S39" s="33">
        <f t="shared" ca="1" si="3"/>
        <v>-25215</v>
      </c>
      <c r="T39" s="33">
        <f t="shared" ca="1" si="15"/>
        <v>4785.0000000000009</v>
      </c>
      <c r="U39" s="7">
        <f t="shared" ca="1" si="5"/>
        <v>0.18976799524092805</v>
      </c>
      <c r="V39" s="7">
        <f t="shared" ca="1" si="6"/>
        <v>-0.19593676522444173</v>
      </c>
      <c r="W39" s="33">
        <f t="shared" ca="1" si="16"/>
        <v>-25215</v>
      </c>
      <c r="X39" s="7">
        <f t="shared" ca="1" si="17"/>
        <v>-1</v>
      </c>
      <c r="Y39" s="7">
        <f t="shared" ca="1" si="18"/>
        <v>-0.81023200475907198</v>
      </c>
      <c r="Z39" s="7">
        <f t="shared" ca="1" si="10"/>
        <v>-3.9721881206456616E-2</v>
      </c>
      <c r="AA39" s="33">
        <f t="shared" ca="1" si="19"/>
        <v>4785.0000000000009</v>
      </c>
      <c r="AB39" s="7">
        <f t="shared" ca="1" si="20"/>
        <v>1</v>
      </c>
      <c r="AC39" s="7">
        <f t="shared" ca="1" si="13"/>
        <v>0.59488399762046407</v>
      </c>
      <c r="AD39" s="1"/>
      <c r="AE39" s="1"/>
    </row>
    <row r="40" spans="1:31" x14ac:dyDescent="0.25">
      <c r="A40" s="3"/>
      <c r="B40" s="25">
        <v>43979</v>
      </c>
      <c r="C40" s="10" t="s">
        <v>1530</v>
      </c>
      <c r="D40" s="1">
        <v>466</v>
      </c>
      <c r="E40" s="30">
        <v>1250</v>
      </c>
      <c r="F40" s="1">
        <v>420</v>
      </c>
      <c r="G40" s="1">
        <v>11.55</v>
      </c>
      <c r="H40" s="1">
        <v>430</v>
      </c>
      <c r="I40" s="1">
        <v>14.4</v>
      </c>
      <c r="J40" s="1">
        <v>62500</v>
      </c>
      <c r="K40" s="1">
        <v>2500</v>
      </c>
      <c r="L40" s="1">
        <v>14.4</v>
      </c>
      <c r="M40" s="1">
        <v>14.65</v>
      </c>
      <c r="N40" s="1">
        <v>1250</v>
      </c>
      <c r="O40" s="9"/>
      <c r="P40" s="7">
        <f t="shared" ca="1" si="0"/>
        <v>0.33687500000000004</v>
      </c>
      <c r="Q40" s="7">
        <f t="shared" ca="1" si="14"/>
        <v>2.4062500000000004E-2</v>
      </c>
      <c r="R40" s="33">
        <f t="shared" ca="1" si="2"/>
        <v>8085.0000000000009</v>
      </c>
      <c r="S40" s="33">
        <f t="shared" ca="1" si="3"/>
        <v>-15915</v>
      </c>
      <c r="T40" s="33">
        <f t="shared" ca="1" si="15"/>
        <v>8085.0000000000009</v>
      </c>
      <c r="U40" s="7">
        <f t="shared" ca="1" si="5"/>
        <v>0.5080113100848257</v>
      </c>
      <c r="V40" s="7">
        <f t="shared" ca="1" si="6"/>
        <v>-0.19593676522444173</v>
      </c>
      <c r="W40" s="33">
        <f t="shared" ca="1" si="16"/>
        <v>-15915</v>
      </c>
      <c r="X40" s="7">
        <f t="shared" ca="1" si="17"/>
        <v>-1</v>
      </c>
      <c r="Y40" s="7">
        <f t="shared" ca="1" si="18"/>
        <v>-0.4919886899151743</v>
      </c>
      <c r="Z40" s="7">
        <f t="shared" ca="1" si="10"/>
        <v>-3.9721881206456616E-2</v>
      </c>
      <c r="AA40" s="33">
        <f t="shared" ca="1" si="19"/>
        <v>8085.0000000000009</v>
      </c>
      <c r="AB40" s="7">
        <f t="shared" ca="1" si="20"/>
        <v>1</v>
      </c>
      <c r="AC40" s="7">
        <f t="shared" ca="1" si="13"/>
        <v>0.75400565504241279</v>
      </c>
      <c r="AD40" s="1"/>
      <c r="AE40" s="1"/>
    </row>
    <row r="41" spans="1:31" x14ac:dyDescent="0.25">
      <c r="A41" s="3"/>
      <c r="B41" s="25">
        <v>43979</v>
      </c>
      <c r="C41" s="10" t="s">
        <v>1530</v>
      </c>
      <c r="D41" s="1">
        <v>466</v>
      </c>
      <c r="E41" s="30">
        <v>1250</v>
      </c>
      <c r="F41" s="1">
        <v>420</v>
      </c>
      <c r="G41" s="1">
        <v>11.55</v>
      </c>
      <c r="H41" s="1">
        <v>440</v>
      </c>
      <c r="I41" s="1">
        <v>17.55</v>
      </c>
      <c r="J41" s="1">
        <v>77500</v>
      </c>
      <c r="K41" s="1">
        <v>2500</v>
      </c>
      <c r="L41" s="1">
        <v>17.600000000000001</v>
      </c>
      <c r="M41" s="1">
        <v>17.8</v>
      </c>
      <c r="N41" s="1">
        <v>1250</v>
      </c>
      <c r="O41" s="9"/>
      <c r="P41" s="7">
        <f t="shared" ca="1" si="0"/>
        <v>0.40000000000000008</v>
      </c>
      <c r="Q41" s="7">
        <f t="shared" ca="1" si="14"/>
        <v>2.8571428571428577E-2</v>
      </c>
      <c r="R41" s="33">
        <f t="shared" ca="1" si="2"/>
        <v>7200.0000000000009</v>
      </c>
      <c r="S41" s="33">
        <f t="shared" ca="1" si="3"/>
        <v>-10800</v>
      </c>
      <c r="T41" s="33">
        <f t="shared" ca="1" si="15"/>
        <v>7200.0000000000009</v>
      </c>
      <c r="U41" s="7">
        <f t="shared" ca="1" si="5"/>
        <v>0.66666666666666674</v>
      </c>
      <c r="V41" s="7">
        <f t="shared" ca="1" si="6"/>
        <v>-0.19593676522444173</v>
      </c>
      <c r="W41" s="33">
        <f t="shared" ca="1" si="16"/>
        <v>-10800</v>
      </c>
      <c r="X41" s="7">
        <f t="shared" ca="1" si="17"/>
        <v>-1</v>
      </c>
      <c r="Y41" s="7">
        <f t="shared" ca="1" si="18"/>
        <v>-0.33333333333333326</v>
      </c>
      <c r="Z41" s="7">
        <f t="shared" ca="1" si="10"/>
        <v>-3.9721881206456616E-2</v>
      </c>
      <c r="AA41" s="33">
        <f t="shared" ca="1" si="19"/>
        <v>7200.0000000000009</v>
      </c>
      <c r="AB41" s="7">
        <f t="shared" ca="1" si="20"/>
        <v>1</v>
      </c>
      <c r="AC41" s="7">
        <f t="shared" ca="1" si="13"/>
        <v>0.83333333333333337</v>
      </c>
      <c r="AD41" s="1"/>
      <c r="AE41" s="1"/>
    </row>
    <row r="42" spans="1:31" x14ac:dyDescent="0.25">
      <c r="A42" s="3"/>
      <c r="B42" s="25">
        <v>43979</v>
      </c>
      <c r="C42" s="10" t="s">
        <v>1530</v>
      </c>
      <c r="D42" s="1">
        <v>466</v>
      </c>
      <c r="E42" s="30">
        <v>1250</v>
      </c>
      <c r="F42" s="1">
        <v>420</v>
      </c>
      <c r="G42" s="1">
        <v>11.55</v>
      </c>
      <c r="H42" s="1">
        <v>450</v>
      </c>
      <c r="I42" s="1">
        <v>21.15</v>
      </c>
      <c r="J42" s="1">
        <v>261250</v>
      </c>
      <c r="K42" s="1">
        <v>2500</v>
      </c>
      <c r="L42" s="1">
        <v>21.05</v>
      </c>
      <c r="M42" s="1">
        <v>21.25</v>
      </c>
      <c r="N42" s="1">
        <v>2500</v>
      </c>
      <c r="O42" s="9"/>
      <c r="P42" s="7">
        <f t="shared" ca="1" si="0"/>
        <v>0.12125000000000004</v>
      </c>
      <c r="Q42" s="7">
        <f t="shared" ca="1" si="14"/>
        <v>8.6607142857142889E-3</v>
      </c>
      <c r="R42" s="33">
        <f t="shared" ca="1" si="2"/>
        <v>1455.0000000000005</v>
      </c>
      <c r="S42" s="33">
        <f t="shared" ca="1" si="3"/>
        <v>-10545</v>
      </c>
      <c r="T42" s="33">
        <f t="shared" ca="1" si="15"/>
        <v>1455.0000000000005</v>
      </c>
      <c r="U42" s="7">
        <f t="shared" ca="1" si="5"/>
        <v>0.13798008534850645</v>
      </c>
      <c r="V42" s="7">
        <f t="shared" ca="1" si="6"/>
        <v>-0.19593676522444173</v>
      </c>
      <c r="W42" s="33">
        <f t="shared" ca="1" si="16"/>
        <v>-10545</v>
      </c>
      <c r="X42" s="7">
        <f t="shared" ca="1" si="17"/>
        <v>-1</v>
      </c>
      <c r="Y42" s="7">
        <f t="shared" ca="1" si="18"/>
        <v>-0.86201991465149352</v>
      </c>
      <c r="Z42" s="7">
        <f t="shared" ca="1" si="10"/>
        <v>-3.9721881206456616E-2</v>
      </c>
      <c r="AA42" s="33">
        <f t="shared" ca="1" si="19"/>
        <v>1455.0000000000005</v>
      </c>
      <c r="AB42" s="7">
        <f t="shared" ca="1" si="20"/>
        <v>1</v>
      </c>
      <c r="AC42" s="7">
        <f t="shared" ca="1" si="13"/>
        <v>0.56899004267425324</v>
      </c>
      <c r="AD42" s="1"/>
      <c r="AE42" s="1"/>
    </row>
    <row r="43" spans="1:31" x14ac:dyDescent="0.25">
      <c r="A43" s="3"/>
      <c r="B43" s="25">
        <v>43979</v>
      </c>
      <c r="C43" s="10" t="s">
        <v>1530</v>
      </c>
      <c r="D43" s="1">
        <v>466</v>
      </c>
      <c r="E43" s="30">
        <v>1250</v>
      </c>
      <c r="F43" s="1">
        <v>420</v>
      </c>
      <c r="G43" s="1">
        <v>11.55</v>
      </c>
      <c r="H43" s="1">
        <v>460</v>
      </c>
      <c r="I43" s="1">
        <v>25.35</v>
      </c>
      <c r="J43" s="1">
        <v>148750</v>
      </c>
      <c r="K43" s="1">
        <v>3750</v>
      </c>
      <c r="L43" s="1">
        <v>25.5</v>
      </c>
      <c r="M43" s="1">
        <v>25.6</v>
      </c>
      <c r="N43" s="1">
        <v>2500</v>
      </c>
      <c r="O43" s="9"/>
      <c r="P43" s="7">
        <f t="shared" ca="1" si="0"/>
        <v>1.0125000000000002</v>
      </c>
      <c r="Q43" s="7">
        <f t="shared" ca="1" si="14"/>
        <v>7.2321428571428578E-2</v>
      </c>
      <c r="R43" s="33">
        <f t="shared" ca="1" si="2"/>
        <v>6075.0000000000009</v>
      </c>
      <c r="S43" s="33">
        <f t="shared" ca="1" si="3"/>
        <v>75.000000000000909</v>
      </c>
      <c r="T43" s="33">
        <f t="shared" ca="1" si="15"/>
        <v>6075.0000000000009</v>
      </c>
      <c r="U43" s="7">
        <f t="shared" ca="1" si="5"/>
        <v>80.999999999999034</v>
      </c>
      <c r="V43" s="7">
        <f t="shared" ca="1" si="6"/>
        <v>-0.19593676522444173</v>
      </c>
      <c r="W43" s="33">
        <f t="shared" ca="1" si="16"/>
        <v>75.000000000000909</v>
      </c>
      <c r="X43" s="7">
        <f t="shared" ca="1" si="17"/>
        <v>1</v>
      </c>
      <c r="Y43" s="7">
        <f t="shared" ca="1" si="18"/>
        <v>81.999999999999034</v>
      </c>
      <c r="Z43" s="7">
        <f t="shared" ca="1" si="10"/>
        <v>-3.9721881206456616E-2</v>
      </c>
      <c r="AA43" s="33">
        <f t="shared" ca="1" si="19"/>
        <v>6075.0000000000009</v>
      </c>
      <c r="AB43" s="7">
        <f t="shared" ca="1" si="20"/>
        <v>1</v>
      </c>
      <c r="AC43" s="7">
        <f t="shared" ca="1" si="13"/>
        <v>40.999999999999517</v>
      </c>
      <c r="AD43" s="1"/>
      <c r="AE43" s="1"/>
    </row>
    <row r="44" spans="1:31" x14ac:dyDescent="0.25">
      <c r="A44" s="3"/>
      <c r="B44" s="25">
        <v>43979</v>
      </c>
      <c r="C44" s="10" t="s">
        <v>1530</v>
      </c>
      <c r="D44" s="1">
        <v>466</v>
      </c>
      <c r="E44" s="30">
        <v>1250</v>
      </c>
      <c r="F44" s="1">
        <v>420</v>
      </c>
      <c r="G44" s="1">
        <v>11.55</v>
      </c>
      <c r="H44" s="1">
        <v>470</v>
      </c>
      <c r="I44" s="1">
        <v>30.45</v>
      </c>
      <c r="J44" s="1">
        <v>403750</v>
      </c>
      <c r="K44" s="1">
        <v>1250</v>
      </c>
      <c r="L44" s="1">
        <v>30.35</v>
      </c>
      <c r="M44" s="1">
        <v>30.5</v>
      </c>
      <c r="N44" s="1">
        <v>1250</v>
      </c>
      <c r="O44" s="9"/>
      <c r="P44" s="7">
        <f t="shared" ca="1" si="0"/>
        <v>-0.64750000000000019</v>
      </c>
      <c r="Q44" s="7">
        <f t="shared" ca="1" si="14"/>
        <v>-4.6250000000000013E-2</v>
      </c>
      <c r="R44" s="33">
        <f t="shared" ca="1" si="2"/>
        <v>3885.0000000000009</v>
      </c>
      <c r="S44" s="33">
        <f t="shared" ca="1" si="3"/>
        <v>9885</v>
      </c>
      <c r="T44" s="33">
        <f t="shared" ca="1" si="15"/>
        <v>3885.0000000000009</v>
      </c>
      <c r="U44" s="7">
        <f t="shared" ca="1" si="5"/>
        <v>0.39301972685887721</v>
      </c>
      <c r="V44" s="7">
        <f t="shared" ca="1" si="6"/>
        <v>-0.19593676522444173</v>
      </c>
      <c r="W44" s="33">
        <f t="shared" ca="1" si="16"/>
        <v>3885.0000000000009</v>
      </c>
      <c r="X44" s="7">
        <f t="shared" ca="1" si="17"/>
        <v>0.39301972685887721</v>
      </c>
      <c r="Y44" s="7">
        <f t="shared" ca="1" si="18"/>
        <v>0.78603945371775441</v>
      </c>
      <c r="Z44" s="7">
        <f t="shared" ca="1" si="10"/>
        <v>-3.9721881206456616E-2</v>
      </c>
      <c r="AA44" s="33">
        <f t="shared" ca="1" si="19"/>
        <v>3885.0000000000009</v>
      </c>
      <c r="AB44" s="7">
        <f t="shared" ca="1" si="20"/>
        <v>1</v>
      </c>
      <c r="AC44" s="7">
        <f t="shared" ca="1" si="13"/>
        <v>0.69650986342943866</v>
      </c>
      <c r="AD44" s="1"/>
      <c r="AE44" s="1"/>
    </row>
    <row r="45" spans="1:31" x14ac:dyDescent="0.25">
      <c r="A45" s="3"/>
      <c r="B45" s="25">
        <v>43979</v>
      </c>
      <c r="C45" s="10" t="s">
        <v>1530</v>
      </c>
      <c r="D45" s="1">
        <v>466</v>
      </c>
      <c r="E45" s="30">
        <v>1250</v>
      </c>
      <c r="F45" s="1">
        <v>420</v>
      </c>
      <c r="G45" s="1">
        <v>11.55</v>
      </c>
      <c r="H45" s="1">
        <v>480</v>
      </c>
      <c r="I45" s="1">
        <v>35.049999999999997</v>
      </c>
      <c r="J45" s="1">
        <v>91250</v>
      </c>
      <c r="K45" s="1">
        <v>2500</v>
      </c>
      <c r="L45" s="1">
        <v>35.450000000000003</v>
      </c>
      <c r="M45" s="1">
        <v>35.75</v>
      </c>
      <c r="N45" s="1">
        <v>1250</v>
      </c>
      <c r="O45" s="9"/>
      <c r="P45" s="7">
        <f t="shared" ca="1" si="0"/>
        <v>-0.26250000000000001</v>
      </c>
      <c r="Q45" s="7">
        <f t="shared" ca="1" si="14"/>
        <v>-1.8749999999999999E-2</v>
      </c>
      <c r="R45" s="33">
        <f t="shared" ca="1" si="2"/>
        <v>3150</v>
      </c>
      <c r="S45" s="33">
        <f t="shared" ca="1" si="3"/>
        <v>15150</v>
      </c>
      <c r="T45" s="33">
        <f t="shared" ca="1" si="15"/>
        <v>3150</v>
      </c>
      <c r="U45" s="7">
        <f t="shared" ca="1" si="5"/>
        <v>0.20792079207920791</v>
      </c>
      <c r="V45" s="7">
        <f t="shared" ca="1" si="6"/>
        <v>-0.19593676522444173</v>
      </c>
      <c r="W45" s="33">
        <f t="shared" ca="1" si="16"/>
        <v>3150</v>
      </c>
      <c r="X45" s="7">
        <f t="shared" ca="1" si="17"/>
        <v>0.20792079207920791</v>
      </c>
      <c r="Y45" s="7">
        <f t="shared" ca="1" si="18"/>
        <v>0.41584158415841582</v>
      </c>
      <c r="Z45" s="7">
        <f t="shared" ca="1" si="10"/>
        <v>-3.9721881206456616E-2</v>
      </c>
      <c r="AA45" s="33">
        <f t="shared" ca="1" si="19"/>
        <v>3150</v>
      </c>
      <c r="AB45" s="7">
        <f t="shared" ca="1" si="20"/>
        <v>1</v>
      </c>
      <c r="AC45" s="7">
        <f t="shared" ca="1" si="13"/>
        <v>0.60396039603960394</v>
      </c>
      <c r="AD45" s="1"/>
      <c r="AE45" s="1"/>
    </row>
    <row r="46" spans="1:31" x14ac:dyDescent="0.25">
      <c r="A46" s="3"/>
      <c r="B46" s="25">
        <v>43979</v>
      </c>
      <c r="C46" s="10" t="s">
        <v>1530</v>
      </c>
      <c r="D46" s="1">
        <v>466</v>
      </c>
      <c r="E46" s="30">
        <v>1250</v>
      </c>
      <c r="F46" s="1">
        <v>420</v>
      </c>
      <c r="G46" s="1">
        <v>11.55</v>
      </c>
      <c r="H46" s="1">
        <v>490</v>
      </c>
      <c r="I46" s="1">
        <v>40.799999999999997</v>
      </c>
      <c r="J46" s="1">
        <v>13750</v>
      </c>
      <c r="K46" s="1">
        <v>2500</v>
      </c>
      <c r="L46" s="1">
        <v>40.799999999999997</v>
      </c>
      <c r="M46" s="1">
        <v>41.25</v>
      </c>
      <c r="N46" s="1">
        <v>1250</v>
      </c>
      <c r="O46" s="9"/>
      <c r="P46" s="7">
        <f t="shared" ca="1" si="0"/>
        <v>0.10269230769230769</v>
      </c>
      <c r="Q46" s="7">
        <f t="shared" ca="1" si="14"/>
        <v>7.3351648351648356E-3</v>
      </c>
      <c r="R46" s="33">
        <f t="shared" ca="1" si="2"/>
        <v>29370</v>
      </c>
      <c r="S46" s="33">
        <f t="shared" ca="1" si="3"/>
        <v>-256630</v>
      </c>
      <c r="T46" s="33">
        <f t="shared" ca="1" si="15"/>
        <v>29370</v>
      </c>
      <c r="U46" s="7">
        <f t="shared" ca="1" si="5"/>
        <v>0.11444492070295756</v>
      </c>
      <c r="V46" s="7">
        <f t="shared" ca="1" si="6"/>
        <v>-0.29749080608810924</v>
      </c>
      <c r="W46" s="33">
        <f t="shared" ca="1" si="16"/>
        <v>-132075.1244499076</v>
      </c>
      <c r="X46" s="7">
        <f t="shared" ca="1" si="17"/>
        <v>-0.51465192865178511</v>
      </c>
      <c r="Y46" s="7">
        <f t="shared" ca="1" si="18"/>
        <v>-0.40020700794882758</v>
      </c>
      <c r="Z46" s="7">
        <f t="shared" ca="1" si="10"/>
        <v>-6.2092879062044866E-2</v>
      </c>
      <c r="AA46" s="33">
        <f t="shared" ca="1" si="19"/>
        <v>29370</v>
      </c>
      <c r="AB46" s="7">
        <f t="shared" ca="1" si="20"/>
        <v>1</v>
      </c>
      <c r="AC46" s="7">
        <f t="shared" ca="1" si="13"/>
        <v>0.55722246035147882</v>
      </c>
      <c r="AD46" s="1"/>
      <c r="AE46" s="1"/>
    </row>
    <row r="47" spans="1:31" x14ac:dyDescent="0.25">
      <c r="A47" s="3"/>
      <c r="B47" s="25">
        <v>43979</v>
      </c>
      <c r="C47" s="10" t="s">
        <v>1530</v>
      </c>
      <c r="D47" s="1">
        <v>466</v>
      </c>
      <c r="E47" s="30">
        <v>1250</v>
      </c>
      <c r="F47" s="1">
        <v>420</v>
      </c>
      <c r="G47" s="1">
        <v>11.55</v>
      </c>
      <c r="H47" s="1">
        <v>500</v>
      </c>
      <c r="I47" s="1">
        <v>46.95</v>
      </c>
      <c r="J47" s="1">
        <v>646250</v>
      </c>
      <c r="K47" s="1">
        <v>1250</v>
      </c>
      <c r="L47" s="1">
        <v>46.9</v>
      </c>
      <c r="M47" s="1">
        <v>47.3</v>
      </c>
      <c r="N47" s="1">
        <v>1250</v>
      </c>
      <c r="O47" s="9"/>
      <c r="P47" s="7">
        <f t="shared" ca="1" si="0"/>
        <v>0.13722222222222222</v>
      </c>
      <c r="Q47" s="7">
        <f t="shared" ca="1" si="14"/>
        <v>9.8015873015873008E-3</v>
      </c>
      <c r="R47" s="33">
        <f t="shared" ca="1" si="2"/>
        <v>27170</v>
      </c>
      <c r="S47" s="33">
        <f t="shared" ca="1" si="3"/>
        <v>-170830</v>
      </c>
      <c r="T47" s="33">
        <f t="shared" ca="1" si="15"/>
        <v>27170</v>
      </c>
      <c r="U47" s="7">
        <f t="shared" ca="1" si="5"/>
        <v>0.15904700579523504</v>
      </c>
      <c r="V47" s="7">
        <f t="shared" ca="1" si="6"/>
        <v>-0.29749080608810924</v>
      </c>
      <c r="W47" s="33">
        <f t="shared" ca="1" si="16"/>
        <v>-134275.1244499076</v>
      </c>
      <c r="X47" s="7">
        <f t="shared" ca="1" si="17"/>
        <v>-0.7860160653861008</v>
      </c>
      <c r="Y47" s="7">
        <f t="shared" ca="1" si="18"/>
        <v>-0.6269690595908658</v>
      </c>
      <c r="Z47" s="7">
        <f t="shared" ca="1" si="10"/>
        <v>-6.2092879062044866E-2</v>
      </c>
      <c r="AA47" s="33">
        <f t="shared" ca="1" si="19"/>
        <v>27170</v>
      </c>
      <c r="AB47" s="7">
        <f t="shared" ca="1" si="20"/>
        <v>1</v>
      </c>
      <c r="AC47" s="7">
        <f t="shared" ca="1" si="13"/>
        <v>0.57952350289761756</v>
      </c>
      <c r="AD47" s="1"/>
      <c r="AE47" s="1"/>
    </row>
    <row r="48" spans="1:31" x14ac:dyDescent="0.25">
      <c r="A48" s="3"/>
      <c r="B48" s="25">
        <v>43979</v>
      </c>
      <c r="C48" s="10" t="s">
        <v>1530</v>
      </c>
      <c r="D48" s="1">
        <v>466</v>
      </c>
      <c r="E48" s="30">
        <v>1250</v>
      </c>
      <c r="F48" s="1">
        <v>420</v>
      </c>
      <c r="G48" s="1">
        <v>11.55</v>
      </c>
      <c r="H48" s="1">
        <v>550</v>
      </c>
      <c r="I48" s="1">
        <v>89.8</v>
      </c>
      <c r="J48" s="1">
        <v>11250</v>
      </c>
      <c r="K48" s="1">
        <v>10000</v>
      </c>
      <c r="L48" s="1">
        <v>80.55</v>
      </c>
      <c r="M48" s="1">
        <v>87.95</v>
      </c>
      <c r="N48" s="1">
        <v>23750</v>
      </c>
      <c r="O48" s="9"/>
      <c r="P48" s="7">
        <f t="shared" ca="1" si="0"/>
        <v>0.16187500000000002</v>
      </c>
      <c r="Q48" s="7">
        <f t="shared" ca="1" si="14"/>
        <v>1.1562500000000002E-2</v>
      </c>
      <c r="R48" s="33">
        <f t="shared" ca="1" si="2"/>
        <v>28490.000000000004</v>
      </c>
      <c r="S48" s="33">
        <f t="shared" ca="1" si="3"/>
        <v>-147510</v>
      </c>
      <c r="T48" s="33">
        <f t="shared" ca="1" si="15"/>
        <v>28490.000000000004</v>
      </c>
      <c r="U48" s="7">
        <f t="shared" ca="1" si="5"/>
        <v>0.19313944817300524</v>
      </c>
      <c r="V48" s="7">
        <f t="shared" ca="1" si="6"/>
        <v>-0.29749080608810924</v>
      </c>
      <c r="W48" s="33">
        <f t="shared" ca="1" si="16"/>
        <v>-132955.1244499076</v>
      </c>
      <c r="X48" s="7">
        <f t="shared" ca="1" si="17"/>
        <v>-0.90132956714736356</v>
      </c>
      <c r="Y48" s="7">
        <f t="shared" ca="1" si="18"/>
        <v>-0.70819011897435835</v>
      </c>
      <c r="Z48" s="7">
        <f t="shared" ca="1" si="10"/>
        <v>-6.2092879062044866E-2</v>
      </c>
      <c r="AA48" s="33">
        <f t="shared" ca="1" si="19"/>
        <v>28490.000000000004</v>
      </c>
      <c r="AB48" s="7">
        <f t="shared" ca="1" si="20"/>
        <v>1</v>
      </c>
      <c r="AC48" s="7">
        <f t="shared" ca="1" si="13"/>
        <v>0.59656972408650266</v>
      </c>
      <c r="AD48" s="1"/>
      <c r="AE48" s="1"/>
    </row>
    <row r="49" spans="1:31" x14ac:dyDescent="0.25">
      <c r="A49" s="3"/>
      <c r="B49" s="25">
        <v>43979</v>
      </c>
      <c r="C49" s="10" t="s">
        <v>1757</v>
      </c>
      <c r="D49" s="1">
        <v>27.85</v>
      </c>
      <c r="E49" s="30">
        <v>8800</v>
      </c>
      <c r="F49" s="1">
        <v>25</v>
      </c>
      <c r="G49" s="1">
        <v>2.2999999999999998</v>
      </c>
      <c r="H49" s="1">
        <v>5</v>
      </c>
      <c r="I49" s="1">
        <v>0.1</v>
      </c>
      <c r="J49" s="1">
        <v>475200</v>
      </c>
      <c r="K49" s="1">
        <v>272800</v>
      </c>
      <c r="L49" s="1">
        <v>0.05</v>
      </c>
      <c r="M49" s="1">
        <v>0.1</v>
      </c>
      <c r="N49" s="1">
        <v>316800</v>
      </c>
      <c r="O49" s="9"/>
      <c r="P49" s="7">
        <f t="shared" ca="1" si="0"/>
        <v>0.17857142857142858</v>
      </c>
      <c r="Q49" s="7">
        <f t="shared" ca="1" si="14"/>
        <v>1.2755102040816327E-2</v>
      </c>
      <c r="R49" s="33">
        <f t="shared" ca="1" si="2"/>
        <v>27500</v>
      </c>
      <c r="S49" s="33">
        <f t="shared" ca="1" si="3"/>
        <v>-126500</v>
      </c>
      <c r="T49" s="33">
        <f t="shared" ca="1" si="15"/>
        <v>27500</v>
      </c>
      <c r="U49" s="7">
        <f t="shared" ca="1" si="5"/>
        <v>0.21739130434782608</v>
      </c>
      <c r="V49" s="7">
        <f t="shared" ca="1" si="6"/>
        <v>-0.29749080608810924</v>
      </c>
      <c r="W49" s="33">
        <f t="shared" ca="1" si="16"/>
        <v>-126500</v>
      </c>
      <c r="X49" s="7">
        <f t="shared" ca="1" si="17"/>
        <v>-1</v>
      </c>
      <c r="Y49" s="7">
        <f t="shared" ca="1" si="18"/>
        <v>-0.78260869565217395</v>
      </c>
      <c r="Z49" s="7">
        <f t="shared" ca="1" si="10"/>
        <v>-6.2092879062044866E-2</v>
      </c>
      <c r="AA49" s="33">
        <f t="shared" ca="1" si="19"/>
        <v>27500</v>
      </c>
      <c r="AB49" s="7">
        <f t="shared" ca="1" si="20"/>
        <v>1</v>
      </c>
      <c r="AC49" s="7">
        <f t="shared" ca="1" si="13"/>
        <v>0.60869565217391308</v>
      </c>
      <c r="AD49" s="1"/>
      <c r="AE49" s="1"/>
    </row>
    <row r="50" spans="1:31" x14ac:dyDescent="0.25">
      <c r="A50" s="3"/>
      <c r="B50" s="25">
        <v>43979</v>
      </c>
      <c r="C50" s="10" t="s">
        <v>1757</v>
      </c>
      <c r="D50" s="1">
        <v>27.85</v>
      </c>
      <c r="E50" s="30">
        <v>8800</v>
      </c>
      <c r="F50" s="1">
        <v>25</v>
      </c>
      <c r="G50" s="1">
        <v>2.2999999999999998</v>
      </c>
      <c r="H50" s="1">
        <v>10</v>
      </c>
      <c r="I50" s="1">
        <v>0.15</v>
      </c>
      <c r="J50" s="1">
        <v>457600</v>
      </c>
      <c r="K50" s="1">
        <v>105600</v>
      </c>
      <c r="L50" s="1">
        <v>0.1</v>
      </c>
      <c r="M50" s="1">
        <v>0.15</v>
      </c>
      <c r="N50" s="1">
        <v>114400</v>
      </c>
      <c r="O50" s="9"/>
      <c r="P50" s="7">
        <f t="shared" ca="1" si="0"/>
        <v>0.16083333333333333</v>
      </c>
      <c r="Q50" s="7">
        <f t="shared" ca="1" si="14"/>
        <v>1.1488095238095238E-2</v>
      </c>
      <c r="R50" s="33">
        <f t="shared" ca="1" si="2"/>
        <v>21230</v>
      </c>
      <c r="S50" s="33">
        <f t="shared" ca="1" si="3"/>
        <v>-110770</v>
      </c>
      <c r="T50" s="33">
        <f t="shared" ca="1" si="15"/>
        <v>21230</v>
      </c>
      <c r="U50" s="7">
        <f t="shared" ca="1" si="5"/>
        <v>0.19165839126117179</v>
      </c>
      <c r="V50" s="7">
        <f t="shared" ca="1" si="6"/>
        <v>-0.29749080608810924</v>
      </c>
      <c r="W50" s="33">
        <f t="shared" ca="1" si="16"/>
        <v>-110770</v>
      </c>
      <c r="X50" s="7">
        <f t="shared" ca="1" si="17"/>
        <v>-1</v>
      </c>
      <c r="Y50" s="7">
        <f t="shared" ca="1" si="18"/>
        <v>-0.80834160873882821</v>
      </c>
      <c r="Z50" s="7">
        <f t="shared" ca="1" si="10"/>
        <v>-6.2092879062044866E-2</v>
      </c>
      <c r="AA50" s="33">
        <f t="shared" ca="1" si="19"/>
        <v>21230</v>
      </c>
      <c r="AB50" s="7">
        <f t="shared" ca="1" si="20"/>
        <v>1</v>
      </c>
      <c r="AC50" s="7">
        <f t="shared" ca="1" si="13"/>
        <v>0.59582919563058589</v>
      </c>
      <c r="AD50" s="1"/>
      <c r="AE50" s="1"/>
    </row>
    <row r="51" spans="1:31" x14ac:dyDescent="0.25">
      <c r="A51" s="3"/>
      <c r="B51" s="25">
        <v>43979</v>
      </c>
      <c r="C51" s="10" t="s">
        <v>1757</v>
      </c>
      <c r="D51" s="1">
        <v>27.85</v>
      </c>
      <c r="E51" s="30">
        <v>8800</v>
      </c>
      <c r="F51" s="1">
        <v>25</v>
      </c>
      <c r="G51" s="1">
        <v>2.2999999999999998</v>
      </c>
      <c r="H51" s="1">
        <v>15</v>
      </c>
      <c r="I51" s="1">
        <v>0.3</v>
      </c>
      <c r="J51" s="1">
        <v>589600</v>
      </c>
      <c r="K51" s="1">
        <v>52800</v>
      </c>
      <c r="L51" s="1">
        <v>0.25</v>
      </c>
      <c r="M51" s="1">
        <v>0.3</v>
      </c>
      <c r="N51" s="1">
        <v>44000</v>
      </c>
      <c r="O51" s="9"/>
      <c r="P51" s="7">
        <f t="shared" ca="1" si="0"/>
        <v>0.16636363636363638</v>
      </c>
      <c r="Q51" s="7">
        <f t="shared" ca="1" si="14"/>
        <v>1.1883116883116884E-2</v>
      </c>
      <c r="R51" s="33">
        <f t="shared" ca="1" si="2"/>
        <v>20130</v>
      </c>
      <c r="S51" s="33">
        <f t="shared" ca="1" si="3"/>
        <v>-100870</v>
      </c>
      <c r="T51" s="33">
        <f t="shared" ca="1" si="15"/>
        <v>20130</v>
      </c>
      <c r="U51" s="7">
        <f t="shared" ca="1" si="5"/>
        <v>0.19956379498364232</v>
      </c>
      <c r="V51" s="7">
        <f t="shared" ca="1" si="6"/>
        <v>-0.29749080608810924</v>
      </c>
      <c r="W51" s="33">
        <f t="shared" ca="1" si="16"/>
        <v>-100870</v>
      </c>
      <c r="X51" s="7">
        <f t="shared" ca="1" si="17"/>
        <v>-1</v>
      </c>
      <c r="Y51" s="7">
        <f t="shared" ca="1" si="18"/>
        <v>-0.8004362050163577</v>
      </c>
      <c r="Z51" s="7">
        <f t="shared" ca="1" si="10"/>
        <v>-6.2092879062044866E-2</v>
      </c>
      <c r="AA51" s="33">
        <f t="shared" ca="1" si="19"/>
        <v>20130</v>
      </c>
      <c r="AB51" s="7">
        <f t="shared" ca="1" si="20"/>
        <v>1</v>
      </c>
      <c r="AC51" s="7">
        <f t="shared" ca="1" si="13"/>
        <v>0.5997818974918212</v>
      </c>
      <c r="AD51" s="1"/>
      <c r="AE51" s="1"/>
    </row>
    <row r="52" spans="1:31" x14ac:dyDescent="0.25">
      <c r="A52" s="3"/>
      <c r="B52" s="25">
        <v>43979</v>
      </c>
      <c r="C52" s="10" t="s">
        <v>1757</v>
      </c>
      <c r="D52" s="1">
        <v>27.85</v>
      </c>
      <c r="E52" s="30">
        <v>8800</v>
      </c>
      <c r="F52" s="1">
        <v>25</v>
      </c>
      <c r="G52" s="1">
        <v>2.2999999999999998</v>
      </c>
      <c r="H52" s="1">
        <v>20</v>
      </c>
      <c r="I52" s="1">
        <v>0.85</v>
      </c>
      <c r="J52" s="1">
        <v>941600</v>
      </c>
      <c r="K52" s="1">
        <v>8800</v>
      </c>
      <c r="L52" s="1">
        <v>0.85</v>
      </c>
      <c r="M52" s="1">
        <v>0.9</v>
      </c>
      <c r="N52" s="1">
        <v>8800</v>
      </c>
      <c r="O52" s="9"/>
      <c r="P52" s="7">
        <f t="shared" ca="1" si="0"/>
        <v>0.193</v>
      </c>
      <c r="Q52" s="7">
        <f t="shared" ca="1" si="14"/>
        <v>1.3785714285714287E-2</v>
      </c>
      <c r="R52" s="33">
        <f t="shared" ca="1" si="2"/>
        <v>21230</v>
      </c>
      <c r="S52" s="33">
        <f t="shared" ca="1" si="3"/>
        <v>-88770</v>
      </c>
      <c r="T52" s="33">
        <f t="shared" ca="1" si="15"/>
        <v>21230</v>
      </c>
      <c r="U52" s="7">
        <f t="shared" ca="1" si="5"/>
        <v>0.23915737298636927</v>
      </c>
      <c r="V52" s="7">
        <f t="shared" ca="1" si="6"/>
        <v>-0.29749080608810924</v>
      </c>
      <c r="W52" s="33">
        <f t="shared" ca="1" si="16"/>
        <v>-88770</v>
      </c>
      <c r="X52" s="7">
        <f t="shared" ca="1" si="17"/>
        <v>-1</v>
      </c>
      <c r="Y52" s="7">
        <f t="shared" ca="1" si="18"/>
        <v>-0.7608426270136307</v>
      </c>
      <c r="Z52" s="7">
        <f t="shared" ca="1" si="10"/>
        <v>-6.2092879062044866E-2</v>
      </c>
      <c r="AA52" s="33">
        <f t="shared" ca="1" si="19"/>
        <v>21230</v>
      </c>
      <c r="AB52" s="7">
        <f t="shared" ca="1" si="20"/>
        <v>1</v>
      </c>
      <c r="AC52" s="7">
        <f t="shared" ca="1" si="13"/>
        <v>0.61957868649318459</v>
      </c>
      <c r="AD52" s="1"/>
      <c r="AE52" s="1"/>
    </row>
    <row r="53" spans="1:31" x14ac:dyDescent="0.25">
      <c r="A53" s="3"/>
      <c r="B53" s="25">
        <v>43979</v>
      </c>
      <c r="C53" s="10" t="s">
        <v>1757</v>
      </c>
      <c r="D53" s="1">
        <v>27.85</v>
      </c>
      <c r="E53" s="30">
        <v>8800</v>
      </c>
      <c r="F53" s="1">
        <v>25</v>
      </c>
      <c r="G53" s="1">
        <v>2.2999999999999998</v>
      </c>
      <c r="H53" s="1">
        <v>25</v>
      </c>
      <c r="I53" s="1">
        <v>2.2999999999999998</v>
      </c>
      <c r="J53" s="1">
        <v>809600</v>
      </c>
      <c r="K53" s="1">
        <v>26400</v>
      </c>
      <c r="L53" s="1">
        <v>2.2000000000000002</v>
      </c>
      <c r="M53" s="1">
        <v>2.2999999999999998</v>
      </c>
      <c r="N53" s="1">
        <v>8800</v>
      </c>
      <c r="O53" s="9"/>
      <c r="P53" s="7">
        <f t="shared" ca="1" si="0"/>
        <v>0.23500000000000001</v>
      </c>
      <c r="Q53" s="7">
        <f t="shared" ca="1" si="14"/>
        <v>1.6785714285714286E-2</v>
      </c>
      <c r="R53" s="33">
        <f t="shared" ca="1" si="2"/>
        <v>20680</v>
      </c>
      <c r="S53" s="33">
        <f t="shared" ca="1" si="3"/>
        <v>-67320</v>
      </c>
      <c r="T53" s="33">
        <f t="shared" ca="1" si="15"/>
        <v>20680</v>
      </c>
      <c r="U53" s="7">
        <f t="shared" ca="1" si="5"/>
        <v>0.30718954248366015</v>
      </c>
      <c r="V53" s="7">
        <f t="shared" ca="1" si="6"/>
        <v>-0.29749080608810924</v>
      </c>
      <c r="W53" s="33">
        <f t="shared" ca="1" si="16"/>
        <v>-67320</v>
      </c>
      <c r="X53" s="7">
        <f t="shared" ca="1" si="17"/>
        <v>-1</v>
      </c>
      <c r="Y53" s="7">
        <f t="shared" ca="1" si="18"/>
        <v>-0.69281045751633985</v>
      </c>
      <c r="Z53" s="7">
        <f t="shared" ca="1" si="10"/>
        <v>-6.2092879062044866E-2</v>
      </c>
      <c r="AA53" s="33">
        <f t="shared" ca="1" si="19"/>
        <v>20680</v>
      </c>
      <c r="AB53" s="7">
        <f t="shared" ca="1" si="20"/>
        <v>1</v>
      </c>
      <c r="AC53" s="7">
        <f t="shared" ca="1" si="13"/>
        <v>0.65359477124183007</v>
      </c>
      <c r="AD53" s="1"/>
      <c r="AE53" s="1"/>
    </row>
    <row r="54" spans="1:31" x14ac:dyDescent="0.25">
      <c r="A54" s="3"/>
      <c r="B54" s="25">
        <v>43979</v>
      </c>
      <c r="C54" s="10" t="s">
        <v>1757</v>
      </c>
      <c r="D54" s="1">
        <v>27.85</v>
      </c>
      <c r="E54" s="30">
        <v>8800</v>
      </c>
      <c r="F54" s="1">
        <v>25</v>
      </c>
      <c r="G54" s="1">
        <v>2.2999999999999998</v>
      </c>
      <c r="H54" s="1">
        <v>30</v>
      </c>
      <c r="I54" s="1">
        <v>5</v>
      </c>
      <c r="J54" s="1">
        <v>1672000</v>
      </c>
      <c r="K54" s="1">
        <v>8800</v>
      </c>
      <c r="L54" s="1">
        <v>4.8</v>
      </c>
      <c r="M54" s="1">
        <v>4.95</v>
      </c>
      <c r="N54" s="1">
        <v>26400</v>
      </c>
      <c r="O54" s="9"/>
      <c r="P54" s="7">
        <f t="shared" ca="1" si="0"/>
        <v>0.28250000000000003</v>
      </c>
      <c r="Q54" s="7">
        <f t="shared" ca="1" si="14"/>
        <v>2.0178571428571431E-2</v>
      </c>
      <c r="R54" s="33">
        <f t="shared" ca="1" si="2"/>
        <v>12430</v>
      </c>
      <c r="S54" s="33">
        <f t="shared" ca="1" si="3"/>
        <v>-31570</v>
      </c>
      <c r="T54" s="33">
        <f t="shared" ca="1" si="15"/>
        <v>12430</v>
      </c>
      <c r="U54" s="7">
        <f t="shared" ca="1" si="5"/>
        <v>0.39372822299651566</v>
      </c>
      <c r="V54" s="7">
        <f t="shared" ca="1" si="6"/>
        <v>-0.29749080608810924</v>
      </c>
      <c r="W54" s="33">
        <f t="shared" ca="1" si="16"/>
        <v>-31570</v>
      </c>
      <c r="X54" s="7">
        <f t="shared" ca="1" si="17"/>
        <v>-1</v>
      </c>
      <c r="Y54" s="7">
        <f t="shared" ca="1" si="18"/>
        <v>-0.60627177700348434</v>
      </c>
      <c r="Z54" s="7">
        <f t="shared" ca="1" si="10"/>
        <v>-6.2092879062044866E-2</v>
      </c>
      <c r="AA54" s="33">
        <f t="shared" ca="1" si="19"/>
        <v>12430</v>
      </c>
      <c r="AB54" s="7">
        <f t="shared" ca="1" si="20"/>
        <v>1</v>
      </c>
      <c r="AC54" s="7">
        <f t="shared" ca="1" si="13"/>
        <v>0.69686411149825789</v>
      </c>
      <c r="AD54" s="1"/>
      <c r="AE54" s="1"/>
    </row>
    <row r="55" spans="1:31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>
        <f t="shared" ca="1" si="0"/>
        <v>0.26500000000000001</v>
      </c>
      <c r="Q55" s="7">
        <f t="shared" ca="1" si="14"/>
        <v>1.892857142857143E-2</v>
      </c>
      <c r="R55" s="33">
        <f t="shared" ca="1" si="2"/>
        <v>5830.0000000000009</v>
      </c>
      <c r="S55" s="33">
        <f t="shared" ca="1" si="3"/>
        <v>-16170</v>
      </c>
      <c r="T55" s="33">
        <f t="shared" ca="1" si="15"/>
        <v>5830.0000000000009</v>
      </c>
      <c r="U55" s="7">
        <f t="shared" ca="1" si="5"/>
        <v>0.3605442176870749</v>
      </c>
      <c r="V55" s="7">
        <f t="shared" ca="1" si="6"/>
        <v>-0.29749080608810924</v>
      </c>
      <c r="W55" s="33">
        <f t="shared" ca="1" si="16"/>
        <v>-16170</v>
      </c>
      <c r="X55" s="7">
        <f t="shared" ca="1" si="17"/>
        <v>-1</v>
      </c>
      <c r="Y55" s="7">
        <f t="shared" ca="1" si="18"/>
        <v>-0.6394557823129251</v>
      </c>
      <c r="Z55" s="7">
        <f t="shared" ca="1" si="10"/>
        <v>-6.2092879062044866E-2</v>
      </c>
      <c r="AA55" s="33">
        <f t="shared" ca="1" si="19"/>
        <v>5830.0000000000009</v>
      </c>
      <c r="AB55" s="7">
        <f t="shared" ca="1" si="20"/>
        <v>1</v>
      </c>
      <c r="AC55" s="7">
        <f t="shared" ca="1" si="13"/>
        <v>0.6802721088435375</v>
      </c>
      <c r="AD55" s="1"/>
      <c r="AE55" s="1"/>
    </row>
    <row r="56" spans="1:31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>
        <f t="shared" ca="1" si="0"/>
        <v>0.11705882352941176</v>
      </c>
      <c r="Q56" s="7">
        <f t="shared" ca="1" si="14"/>
        <v>8.3613445378151255E-3</v>
      </c>
      <c r="R56" s="33">
        <f t="shared" ca="1" si="2"/>
        <v>22885</v>
      </c>
      <c r="S56" s="33">
        <f t="shared" ca="1" si="3"/>
        <v>-172615</v>
      </c>
      <c r="T56" s="33">
        <f t="shared" ca="1" si="15"/>
        <v>22885</v>
      </c>
      <c r="U56" s="7">
        <f t="shared" ca="1" si="5"/>
        <v>0.13257828114590273</v>
      </c>
      <c r="V56" s="7">
        <f t="shared" ca="1" si="6"/>
        <v>-0.19510024720689637</v>
      </c>
      <c r="W56" s="33">
        <f t="shared" ca="1" si="16"/>
        <v>-65056.006004809984</v>
      </c>
      <c r="X56" s="7">
        <f t="shared" ca="1" si="17"/>
        <v>-0.37688501002120317</v>
      </c>
      <c r="Y56" s="7">
        <f t="shared" ca="1" si="18"/>
        <v>-0.24430672887530044</v>
      </c>
      <c r="Z56" s="7">
        <f t="shared" ca="1" si="10"/>
        <v>-6.5087475671695955E-2</v>
      </c>
      <c r="AA56" s="33">
        <f t="shared" ca="1" si="19"/>
        <v>22885</v>
      </c>
      <c r="AB56" s="7">
        <f t="shared" ca="1" si="20"/>
        <v>1</v>
      </c>
      <c r="AC56" s="7">
        <f t="shared" ca="1" si="13"/>
        <v>0.56628914057295132</v>
      </c>
      <c r="AD56" s="1"/>
      <c r="AE56" s="1"/>
    </row>
    <row r="57" spans="1:31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41"/>
      <c r="P57" s="7">
        <f t="shared" ca="1" si="0"/>
        <v>0.13666666666666666</v>
      </c>
      <c r="Q57" s="7">
        <f t="shared" ca="1" si="14"/>
        <v>9.7619047619047616E-3</v>
      </c>
      <c r="R57" s="33">
        <f t="shared" ca="1" si="2"/>
        <v>23575</v>
      </c>
      <c r="S57" s="33">
        <f t="shared" ca="1" si="3"/>
        <v>-148925</v>
      </c>
      <c r="T57" s="33">
        <f t="shared" ca="1" si="15"/>
        <v>23575</v>
      </c>
      <c r="U57" s="7">
        <f t="shared" ca="1" si="5"/>
        <v>0.15830115830115829</v>
      </c>
      <c r="V57" s="7">
        <f t="shared" ca="1" si="6"/>
        <v>-0.19510024720689637</v>
      </c>
      <c r="W57" s="33">
        <f t="shared" ca="1" si="16"/>
        <v>-64366.006004809984</v>
      </c>
      <c r="X57" s="7">
        <f t="shared" ca="1" si="17"/>
        <v>-0.43220416991646793</v>
      </c>
      <c r="Y57" s="7">
        <f t="shared" ca="1" si="18"/>
        <v>-0.27390301161530961</v>
      </c>
      <c r="Z57" s="7">
        <f t="shared" ca="1" si="10"/>
        <v>-6.5087475671695955E-2</v>
      </c>
      <c r="AA57" s="33">
        <f t="shared" ca="1" si="19"/>
        <v>23575</v>
      </c>
      <c r="AB57" s="7">
        <f t="shared" ca="1" si="20"/>
        <v>1</v>
      </c>
      <c r="AC57" s="7">
        <f t="shared" ca="1" si="13"/>
        <v>0.5791505791505791</v>
      </c>
      <c r="AD57" s="1"/>
      <c r="AE57" s="1"/>
    </row>
    <row r="58" spans="1:31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>
        <f t="shared" ca="1" si="0"/>
        <v>0.15923076923076923</v>
      </c>
      <c r="Q58" s="7">
        <f t="shared" ca="1" si="14"/>
        <v>1.1373626373626374E-2</v>
      </c>
      <c r="R58" s="33">
        <f t="shared" ca="1" si="2"/>
        <v>23805</v>
      </c>
      <c r="S58" s="33">
        <f t="shared" ca="1" si="3"/>
        <v>-125695</v>
      </c>
      <c r="T58" s="33">
        <f t="shared" ca="1" si="15"/>
        <v>23805</v>
      </c>
      <c r="U58" s="7">
        <f t="shared" ca="1" si="5"/>
        <v>0.18938700823421775</v>
      </c>
      <c r="V58" s="7">
        <f t="shared" ca="1" si="6"/>
        <v>-0.19510024720689637</v>
      </c>
      <c r="W58" s="33">
        <f t="shared" ca="1" si="16"/>
        <v>-64136.006004809984</v>
      </c>
      <c r="X58" s="7">
        <f t="shared" ca="1" si="17"/>
        <v>-0.5102510521883129</v>
      </c>
      <c r="Y58" s="7">
        <f t="shared" ca="1" si="18"/>
        <v>-0.32086404395409518</v>
      </c>
      <c r="Z58" s="7">
        <f t="shared" ca="1" si="10"/>
        <v>-6.5087475671695955E-2</v>
      </c>
      <c r="AA58" s="33">
        <f t="shared" ca="1" si="19"/>
        <v>23805</v>
      </c>
      <c r="AB58" s="7">
        <f t="shared" ca="1" si="20"/>
        <v>1</v>
      </c>
      <c r="AC58" s="7">
        <f t="shared" ca="1" si="13"/>
        <v>0.59469350411710886</v>
      </c>
      <c r="AD58" s="1"/>
      <c r="AE58" s="1"/>
    </row>
    <row r="59" spans="1:31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>
        <f t="shared" ca="1" si="0"/>
        <v>0.17636363636363636</v>
      </c>
      <c r="Q59" s="7">
        <f t="shared" ca="1" si="14"/>
        <v>1.2597402597402597E-2</v>
      </c>
      <c r="R59" s="33">
        <f t="shared" ca="1" si="2"/>
        <v>22310</v>
      </c>
      <c r="S59" s="33">
        <f t="shared" ca="1" si="3"/>
        <v>-104190</v>
      </c>
      <c r="T59" s="33">
        <f t="shared" ca="1" si="15"/>
        <v>22310</v>
      </c>
      <c r="U59" s="7">
        <f t="shared" ca="1" si="5"/>
        <v>0.21412803532008831</v>
      </c>
      <c r="V59" s="7">
        <f t="shared" ca="1" si="6"/>
        <v>-0.19510024720689637</v>
      </c>
      <c r="W59" s="33">
        <f t="shared" ca="1" si="16"/>
        <v>-65631.006004809984</v>
      </c>
      <c r="X59" s="7">
        <f t="shared" ca="1" si="17"/>
        <v>-0.62991655633755628</v>
      </c>
      <c r="Y59" s="7">
        <f t="shared" ca="1" si="18"/>
        <v>-0.41578852101746799</v>
      </c>
      <c r="Z59" s="7">
        <f t="shared" ca="1" si="10"/>
        <v>-6.5087475671695955E-2</v>
      </c>
      <c r="AA59" s="33">
        <f t="shared" ca="1" si="19"/>
        <v>22310</v>
      </c>
      <c r="AB59" s="7">
        <f t="shared" ca="1" si="20"/>
        <v>1</v>
      </c>
      <c r="AC59" s="7">
        <f t="shared" ca="1" si="13"/>
        <v>0.60706401766004414</v>
      </c>
      <c r="AD59" s="1"/>
      <c r="AE59" s="1"/>
    </row>
    <row r="60" spans="1:31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>
        <f t="shared" ca="1" si="0"/>
        <v>0.22555555555555554</v>
      </c>
      <c r="Q60" s="7">
        <f t="shared" ca="1" si="14"/>
        <v>1.6111111111111111E-2</v>
      </c>
      <c r="R60" s="33">
        <f t="shared" ca="1" si="2"/>
        <v>23344.999999999996</v>
      </c>
      <c r="S60" s="33">
        <f t="shared" ca="1" si="3"/>
        <v>-80155</v>
      </c>
      <c r="T60" s="33">
        <f t="shared" ca="1" si="15"/>
        <v>23344.999999999996</v>
      </c>
      <c r="U60" s="7">
        <f t="shared" ca="1" si="5"/>
        <v>0.29124820659971301</v>
      </c>
      <c r="V60" s="7">
        <f t="shared" ca="1" si="6"/>
        <v>-0.19510024720689637</v>
      </c>
      <c r="W60" s="33">
        <f t="shared" ca="1" si="16"/>
        <v>-64596.006004809984</v>
      </c>
      <c r="X60" s="7">
        <f t="shared" ca="1" si="17"/>
        <v>-0.80588866577019502</v>
      </c>
      <c r="Y60" s="7">
        <f t="shared" ca="1" si="18"/>
        <v>-0.51464045917048207</v>
      </c>
      <c r="Z60" s="7">
        <f t="shared" ca="1" si="10"/>
        <v>-6.5087475671695955E-2</v>
      </c>
      <c r="AA60" s="33">
        <f t="shared" ca="1" si="19"/>
        <v>23344.999999999996</v>
      </c>
      <c r="AB60" s="7">
        <f t="shared" ca="1" si="20"/>
        <v>1</v>
      </c>
      <c r="AC60" s="7">
        <f t="shared" ca="1" si="13"/>
        <v>0.64562410329985653</v>
      </c>
      <c r="AD60" s="1"/>
      <c r="AE60" s="1"/>
    </row>
    <row r="61" spans="1:31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>
        <f t="shared" ca="1" si="0"/>
        <v>0.2614285714285714</v>
      </c>
      <c r="Q61" s="7">
        <f t="shared" ca="1" si="14"/>
        <v>1.86734693877551E-2</v>
      </c>
      <c r="R61" s="33">
        <f t="shared" ca="1" si="2"/>
        <v>21044.999999999996</v>
      </c>
      <c r="S61" s="33">
        <f t="shared" ca="1" si="3"/>
        <v>-59455</v>
      </c>
      <c r="T61" s="33">
        <f t="shared" ca="1" si="15"/>
        <v>21044.999999999996</v>
      </c>
      <c r="U61" s="7">
        <f t="shared" ca="1" si="5"/>
        <v>0.35396518375241776</v>
      </c>
      <c r="V61" s="7">
        <f t="shared" ca="1" si="6"/>
        <v>-0.19510024720689637</v>
      </c>
      <c r="W61" s="33">
        <f t="shared" ca="1" si="16"/>
        <v>-59455</v>
      </c>
      <c r="X61" s="7">
        <f t="shared" ca="1" si="17"/>
        <v>-1</v>
      </c>
      <c r="Y61" s="7">
        <f t="shared" ca="1" si="18"/>
        <v>-0.64603481624758219</v>
      </c>
      <c r="Z61" s="7">
        <f t="shared" ca="1" si="10"/>
        <v>-6.5087475671695955E-2</v>
      </c>
      <c r="AA61" s="33">
        <f t="shared" ca="1" si="19"/>
        <v>21044.999999999996</v>
      </c>
      <c r="AB61" s="7">
        <f t="shared" ca="1" si="20"/>
        <v>1</v>
      </c>
      <c r="AC61" s="7">
        <f t="shared" ca="1" si="13"/>
        <v>0.67698259187620891</v>
      </c>
      <c r="AD61" s="1"/>
      <c r="AE61" s="1"/>
    </row>
    <row r="62" spans="1:31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>
        <f t="shared" ca="1" si="0"/>
        <v>0.30199999999999994</v>
      </c>
      <c r="Q62" s="7">
        <f t="shared" ca="1" si="14"/>
        <v>2.1571428571428568E-2</v>
      </c>
      <c r="R62" s="33">
        <f t="shared" ca="1" si="2"/>
        <v>17364.999999999996</v>
      </c>
      <c r="S62" s="33">
        <f t="shared" ca="1" si="3"/>
        <v>-40135</v>
      </c>
      <c r="T62" s="33">
        <f t="shared" ca="1" si="15"/>
        <v>17364.999999999996</v>
      </c>
      <c r="U62" s="7">
        <f t="shared" ca="1" si="5"/>
        <v>0.43266475644699132</v>
      </c>
      <c r="V62" s="7">
        <f t="shared" ca="1" si="6"/>
        <v>-0.19510024720689637</v>
      </c>
      <c r="W62" s="33">
        <f t="shared" ca="1" si="16"/>
        <v>-40135</v>
      </c>
      <c r="X62" s="7">
        <f t="shared" ca="1" si="17"/>
        <v>-1</v>
      </c>
      <c r="Y62" s="7">
        <f t="shared" ca="1" si="18"/>
        <v>-0.56733524355300868</v>
      </c>
      <c r="Z62" s="7">
        <f t="shared" ca="1" si="10"/>
        <v>-6.5087475671695955E-2</v>
      </c>
      <c r="AA62" s="33">
        <f t="shared" ca="1" si="19"/>
        <v>17364.999999999996</v>
      </c>
      <c r="AB62" s="7">
        <f t="shared" ca="1" si="20"/>
        <v>1</v>
      </c>
      <c r="AC62" s="7">
        <f t="shared" ca="1" si="13"/>
        <v>0.7163323782234956</v>
      </c>
      <c r="AD62" s="1"/>
      <c r="AE62" s="1"/>
    </row>
    <row r="63" spans="1:31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>
        <f t="shared" ca="1" si="0"/>
        <v>0.42999999999999994</v>
      </c>
      <c r="Q63" s="7">
        <f t="shared" ca="1" si="14"/>
        <v>3.0714285714285711E-2</v>
      </c>
      <c r="R63" s="33">
        <f t="shared" ca="1" si="2"/>
        <v>14834.999999999998</v>
      </c>
      <c r="S63" s="33">
        <f t="shared" ca="1" si="3"/>
        <v>-19665</v>
      </c>
      <c r="T63" s="33">
        <f t="shared" ca="1" si="15"/>
        <v>14834.999999999998</v>
      </c>
      <c r="U63" s="7">
        <f t="shared" ca="1" si="5"/>
        <v>0.7543859649122806</v>
      </c>
      <c r="V63" s="7">
        <f t="shared" ca="1" si="6"/>
        <v>-0.19510024720689637</v>
      </c>
      <c r="W63" s="33">
        <f t="shared" ca="1" si="16"/>
        <v>-19665</v>
      </c>
      <c r="X63" s="7">
        <f t="shared" ca="1" si="17"/>
        <v>-1</v>
      </c>
      <c r="Y63" s="7">
        <f t="shared" ca="1" si="18"/>
        <v>-0.2456140350877194</v>
      </c>
      <c r="Z63" s="7">
        <f t="shared" ca="1" si="10"/>
        <v>-6.5087475671695955E-2</v>
      </c>
      <c r="AA63" s="33">
        <f t="shared" ca="1" si="19"/>
        <v>14834.999999999998</v>
      </c>
      <c r="AB63" s="7">
        <f t="shared" ca="1" si="20"/>
        <v>1</v>
      </c>
      <c r="AC63" s="7">
        <f t="shared" ca="1" si="13"/>
        <v>0.8771929824561403</v>
      </c>
      <c r="AD63" s="1"/>
      <c r="AE63" s="1"/>
    </row>
    <row r="64" spans="1:31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>
        <f t="shared" ca="1" si="0"/>
        <v>0.80999999999999983</v>
      </c>
      <c r="Q64" s="7">
        <f t="shared" ca="1" si="14"/>
        <v>5.7857142857142843E-2</v>
      </c>
      <c r="R64" s="33">
        <f t="shared" ca="1" si="2"/>
        <v>9314.9999999999982</v>
      </c>
      <c r="S64" s="33">
        <f t="shared" ca="1" si="3"/>
        <v>-2185.0000000000018</v>
      </c>
      <c r="T64" s="33">
        <f t="shared" ca="1" si="15"/>
        <v>9314.9999999999982</v>
      </c>
      <c r="U64" s="7">
        <f t="shared" ca="1" si="5"/>
        <v>4.263157894736838</v>
      </c>
      <c r="V64" s="7">
        <f t="shared" ca="1" si="6"/>
        <v>-0.19510024720689637</v>
      </c>
      <c r="W64" s="33">
        <f t="shared" ca="1" si="16"/>
        <v>-2185.0000000000018</v>
      </c>
      <c r="X64" s="7">
        <f t="shared" ca="1" si="17"/>
        <v>-1</v>
      </c>
      <c r="Y64" s="7">
        <f t="shared" ca="1" si="18"/>
        <v>3.263157894736838</v>
      </c>
      <c r="Z64" s="7">
        <f t="shared" ca="1" si="10"/>
        <v>-6.5087475671695955E-2</v>
      </c>
      <c r="AA64" s="33">
        <f t="shared" ca="1" si="19"/>
        <v>9314.9999999999982</v>
      </c>
      <c r="AB64" s="7">
        <f t="shared" ca="1" si="20"/>
        <v>1</v>
      </c>
      <c r="AC64" s="7">
        <f t="shared" ca="1" si="13"/>
        <v>2.631578947368419</v>
      </c>
      <c r="AD64" s="1"/>
      <c r="AE64" s="1"/>
    </row>
    <row r="65" spans="1:31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>
        <f t="shared" ca="1" si="0"/>
        <v>-0.28999999999999987</v>
      </c>
      <c r="Q65" s="7">
        <f t="shared" ca="1" si="14"/>
        <v>-2.0714285714285706E-2</v>
      </c>
      <c r="R65" s="33">
        <f t="shared" ca="1" si="2"/>
        <v>3334.9999999999982</v>
      </c>
      <c r="S65" s="33">
        <f t="shared" ca="1" si="3"/>
        <v>14834.999999999998</v>
      </c>
      <c r="T65" s="33">
        <f t="shared" ca="1" si="15"/>
        <v>3334.9999999999982</v>
      </c>
      <c r="U65" s="7">
        <f t="shared" ca="1" si="5"/>
        <v>0.2248062015503875</v>
      </c>
      <c r="V65" s="7">
        <f t="shared" ca="1" si="6"/>
        <v>-0.19510024720689637</v>
      </c>
      <c r="W65" s="33">
        <f t="shared" ca="1" si="16"/>
        <v>3334.9999999999982</v>
      </c>
      <c r="X65" s="7">
        <f t="shared" ca="1" si="17"/>
        <v>0.2248062015503875</v>
      </c>
      <c r="Y65" s="7">
        <f t="shared" ca="1" si="18"/>
        <v>0.44961240310077499</v>
      </c>
      <c r="Z65" s="7">
        <f t="shared" ca="1" si="10"/>
        <v>-6.5087475671695955E-2</v>
      </c>
      <c r="AA65" s="33">
        <f t="shared" ca="1" si="19"/>
        <v>3334.9999999999982</v>
      </c>
      <c r="AB65" s="7">
        <f t="shared" ca="1" si="20"/>
        <v>1</v>
      </c>
      <c r="AC65" s="7">
        <f t="shared" ca="1" si="13"/>
        <v>0.61240310077519378</v>
      </c>
      <c r="AD65" s="1"/>
      <c r="AE65" s="1"/>
    </row>
    <row r="66" spans="1:31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>
        <f t="shared" ca="1" si="0"/>
        <v>0.10545454545454545</v>
      </c>
      <c r="Q66" s="7">
        <f t="shared" ca="1" si="14"/>
        <v>7.532467532467532E-3</v>
      </c>
      <c r="R66" s="33">
        <f t="shared" ca="1" si="2"/>
        <v>13340</v>
      </c>
      <c r="S66" s="33">
        <f t="shared" ca="1" si="3"/>
        <v>-113160</v>
      </c>
      <c r="T66" s="33">
        <f t="shared" ca="1" si="15"/>
        <v>13340</v>
      </c>
      <c r="U66" s="7">
        <f t="shared" ca="1" si="5"/>
        <v>0.11788617886178862</v>
      </c>
      <c r="V66" s="7">
        <f t="shared" ca="1" si="6"/>
        <v>-0.14778578206489221</v>
      </c>
      <c r="W66" s="33">
        <f t="shared" ca="1" si="16"/>
        <v>-22507.781739272417</v>
      </c>
      <c r="X66" s="7">
        <f t="shared" ca="1" si="17"/>
        <v>-0.19890227765352084</v>
      </c>
      <c r="Y66" s="7">
        <f t="shared" ca="1" si="18"/>
        <v>-8.1016098791732216E-2</v>
      </c>
      <c r="Z66" s="7">
        <f t="shared" ca="1" si="10"/>
        <v>-4.7597961276022317E-2</v>
      </c>
      <c r="AA66" s="33">
        <f t="shared" ca="1" si="19"/>
        <v>13340</v>
      </c>
      <c r="AB66" s="7">
        <f t="shared" ca="1" si="20"/>
        <v>1</v>
      </c>
      <c r="AC66" s="7">
        <f t="shared" ca="1" si="13"/>
        <v>0.55894308943089432</v>
      </c>
      <c r="AD66" s="1"/>
      <c r="AE66" s="1"/>
    </row>
    <row r="67" spans="1:31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>
        <f t="shared" ca="1" si="0"/>
        <v>0.114</v>
      </c>
      <c r="Q67" s="7">
        <f t="shared" ca="1" si="14"/>
        <v>8.1428571428571427E-3</v>
      </c>
      <c r="R67" s="33">
        <f t="shared" ca="1" si="2"/>
        <v>13110</v>
      </c>
      <c r="S67" s="33">
        <f t="shared" ca="1" si="3"/>
        <v>-101890</v>
      </c>
      <c r="T67" s="33">
        <f t="shared" ca="1" si="15"/>
        <v>13110</v>
      </c>
      <c r="U67" s="7">
        <f t="shared" ca="1" si="5"/>
        <v>0.12866817155756208</v>
      </c>
      <c r="V67" s="7">
        <f t="shared" ca="1" si="6"/>
        <v>-0.14778578206489221</v>
      </c>
      <c r="W67" s="33">
        <f t="shared" ca="1" si="16"/>
        <v>-22737.781739272417</v>
      </c>
      <c r="X67" s="7">
        <f t="shared" ca="1" si="17"/>
        <v>-0.22316009166034367</v>
      </c>
      <c r="Y67" s="7">
        <f t="shared" ca="1" si="18"/>
        <v>-9.4491920102781596E-2</v>
      </c>
      <c r="Z67" s="7">
        <f t="shared" ca="1" si="10"/>
        <v>-4.7597961276022317E-2</v>
      </c>
      <c r="AA67" s="33">
        <f t="shared" ca="1" si="19"/>
        <v>13110</v>
      </c>
      <c r="AB67" s="7">
        <f t="shared" ca="1" si="20"/>
        <v>1</v>
      </c>
      <c r="AC67" s="7">
        <f t="shared" ca="1" si="13"/>
        <v>0.56433408577878108</v>
      </c>
      <c r="AD67" s="1"/>
      <c r="AE67" s="1"/>
    </row>
    <row r="68" spans="1:31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>
        <f t="shared" ref="P68:P90" ca="1" si="21">($G68-$I68)/($F68-$H68)</f>
        <v>0.12444444444444444</v>
      </c>
      <c r="Q68" s="7">
        <f t="shared" ca="1" si="14"/>
        <v>8.8888888888888889E-3</v>
      </c>
      <c r="R68" s="33">
        <f t="shared" ref="R68:R90" ca="1" si="22">$E68*($G68-$I68)</f>
        <v>12880</v>
      </c>
      <c r="S68" s="33">
        <f t="shared" ref="S68:S90" ca="1" si="23">-(($F68-$H68)*$E68-$R68)</f>
        <v>-90620</v>
      </c>
      <c r="T68" s="33">
        <f t="shared" ca="1" si="15"/>
        <v>12880</v>
      </c>
      <c r="U68" s="7">
        <f t="shared" ref="U68:U90" ca="1" si="24">ABS($T68/$S68)</f>
        <v>0.14213197969543148</v>
      </c>
      <c r="V68" s="7">
        <f t="shared" ref="V68:V90" ca="1" si="25">mrigxl_max_drawdown($C68,INT($B68-TODAY()))</f>
        <v>-0.14778578206489221</v>
      </c>
      <c r="W68" s="33">
        <f t="shared" ca="1" si="16"/>
        <v>-22967.781739272417</v>
      </c>
      <c r="X68" s="7">
        <f t="shared" ca="1" si="17"/>
        <v>-0.2534515751409448</v>
      </c>
      <c r="Y68" s="7">
        <f t="shared" ca="1" si="18"/>
        <v>-0.11131959544551331</v>
      </c>
      <c r="Z68" s="7">
        <f t="shared" ref="Z68:Z90" ca="1" si="26">mrigxl_avg_drawdown($C68,INT($B68-TODAY()))</f>
        <v>-4.7597961276022317E-2</v>
      </c>
      <c r="AA68" s="33">
        <f t="shared" ca="1" si="19"/>
        <v>12880</v>
      </c>
      <c r="AB68" s="7">
        <f t="shared" ca="1" si="20"/>
        <v>1</v>
      </c>
      <c r="AC68" s="7">
        <f t="shared" ca="1" si="13"/>
        <v>0.57106598984771573</v>
      </c>
      <c r="AD68" s="1"/>
      <c r="AE68" s="1"/>
    </row>
    <row r="69" spans="1:31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>
        <f t="shared" ca="1" si="21"/>
        <v>0.13437499999999999</v>
      </c>
      <c r="Q69" s="7">
        <f t="shared" ca="1" si="14"/>
        <v>9.5982142857142846E-3</v>
      </c>
      <c r="R69" s="33">
        <f t="shared" ca="1" si="22"/>
        <v>12362.5</v>
      </c>
      <c r="S69" s="33">
        <f t="shared" ca="1" si="23"/>
        <v>-79637.5</v>
      </c>
      <c r="T69" s="33">
        <f t="shared" ca="1" si="15"/>
        <v>12362.5</v>
      </c>
      <c r="U69" s="7">
        <f t="shared" ca="1" si="24"/>
        <v>0.1552346570397112</v>
      </c>
      <c r="V69" s="7">
        <f t="shared" ca="1" si="25"/>
        <v>-0.14778578206489221</v>
      </c>
      <c r="W69" s="33">
        <f t="shared" ca="1" si="16"/>
        <v>-23485.281739272417</v>
      </c>
      <c r="X69" s="7">
        <f t="shared" ca="1" si="17"/>
        <v>-0.29490229777771049</v>
      </c>
      <c r="Y69" s="7">
        <f t="shared" ca="1" si="18"/>
        <v>-0.13966764073799928</v>
      </c>
      <c r="Z69" s="7">
        <f t="shared" ca="1" si="26"/>
        <v>-4.7597961276022317E-2</v>
      </c>
      <c r="AA69" s="33">
        <f t="shared" ca="1" si="19"/>
        <v>12362.5</v>
      </c>
      <c r="AB69" s="7">
        <f t="shared" ca="1" si="20"/>
        <v>1</v>
      </c>
      <c r="AC69" s="7">
        <f t="shared" ref="AC69:AC90" ca="1" si="27">AVERAGE($U69,AB69)</f>
        <v>0.57761732851985559</v>
      </c>
      <c r="AD69" s="1"/>
      <c r="AE69" s="1"/>
    </row>
    <row r="70" spans="1:31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>
        <f t="shared" ca="1" si="21"/>
        <v>0.14285714285714285</v>
      </c>
      <c r="Q70" s="7">
        <f t="shared" ca="1" si="14"/>
        <v>1.020408163265306E-2</v>
      </c>
      <c r="R70" s="33">
        <f t="shared" ca="1" si="22"/>
        <v>11500</v>
      </c>
      <c r="S70" s="33">
        <f t="shared" ca="1" si="23"/>
        <v>-69000</v>
      </c>
      <c r="T70" s="33">
        <f t="shared" ca="1" si="15"/>
        <v>11500</v>
      </c>
      <c r="U70" s="7">
        <f t="shared" ca="1" si="24"/>
        <v>0.16666666666666666</v>
      </c>
      <c r="V70" s="7">
        <f t="shared" ca="1" si="25"/>
        <v>-0.14778578206489221</v>
      </c>
      <c r="W70" s="33">
        <f t="shared" ca="1" si="16"/>
        <v>-24347.781739272417</v>
      </c>
      <c r="X70" s="7">
        <f t="shared" ca="1" si="17"/>
        <v>-0.35286640201844083</v>
      </c>
      <c r="Y70" s="7">
        <f t="shared" ca="1" si="18"/>
        <v>-0.18619973535177417</v>
      </c>
      <c r="Z70" s="7">
        <f t="shared" ca="1" si="26"/>
        <v>-4.7597961276022317E-2</v>
      </c>
      <c r="AA70" s="33">
        <f t="shared" ca="1" si="19"/>
        <v>11500</v>
      </c>
      <c r="AB70" s="7">
        <f t="shared" ca="1" si="20"/>
        <v>1</v>
      </c>
      <c r="AC70" s="7">
        <f t="shared" ca="1" si="27"/>
        <v>0.58333333333333337</v>
      </c>
      <c r="AD70" s="1"/>
      <c r="AE70" s="1"/>
    </row>
    <row r="71" spans="1:31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9"/>
      <c r="P71" s="7">
        <f t="shared" ca="1" si="21"/>
        <v>0.15</v>
      </c>
      <c r="Q71" s="7">
        <f t="shared" ca="1" si="14"/>
        <v>1.0714285714285714E-2</v>
      </c>
      <c r="R71" s="33">
        <f t="shared" ca="1" si="22"/>
        <v>10350</v>
      </c>
      <c r="S71" s="33">
        <f t="shared" ca="1" si="23"/>
        <v>-58650</v>
      </c>
      <c r="T71" s="33">
        <f t="shared" ca="1" si="15"/>
        <v>10350</v>
      </c>
      <c r="U71" s="7">
        <f t="shared" ca="1" si="24"/>
        <v>0.17647058823529413</v>
      </c>
      <c r="V71" s="7">
        <f t="shared" ca="1" si="25"/>
        <v>-0.14778578206489221</v>
      </c>
      <c r="W71" s="33">
        <f t="shared" ca="1" si="16"/>
        <v>-25497.781739272417</v>
      </c>
      <c r="X71" s="7">
        <f t="shared" ca="1" si="17"/>
        <v>-0.43474478668836175</v>
      </c>
      <c r="Y71" s="7">
        <f t="shared" ca="1" si="18"/>
        <v>-0.25827419845306765</v>
      </c>
      <c r="Z71" s="7">
        <f t="shared" ca="1" si="26"/>
        <v>-4.7597961276022317E-2</v>
      </c>
      <c r="AA71" s="33">
        <f t="shared" ca="1" si="19"/>
        <v>10350</v>
      </c>
      <c r="AB71" s="7">
        <f t="shared" ca="1" si="20"/>
        <v>1</v>
      </c>
      <c r="AC71" s="7">
        <f t="shared" ca="1" si="27"/>
        <v>0.58823529411764708</v>
      </c>
      <c r="AD71" s="1"/>
      <c r="AE71" s="1"/>
    </row>
    <row r="72" spans="1:31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>
        <f t="shared" ca="1" si="21"/>
        <v>0.17100000000000001</v>
      </c>
      <c r="Q72" s="7">
        <f t="shared" ca="1" si="14"/>
        <v>1.2214285714285716E-2</v>
      </c>
      <c r="R72" s="33">
        <f t="shared" ca="1" si="22"/>
        <v>9832.5</v>
      </c>
      <c r="S72" s="33">
        <f t="shared" ca="1" si="23"/>
        <v>-47667.5</v>
      </c>
      <c r="T72" s="33">
        <f t="shared" ca="1" si="15"/>
        <v>9832.5</v>
      </c>
      <c r="U72" s="7">
        <f t="shared" ca="1" si="24"/>
        <v>0.20627261761158022</v>
      </c>
      <c r="V72" s="7">
        <f t="shared" ca="1" si="25"/>
        <v>-0.14778578206489221</v>
      </c>
      <c r="W72" s="33">
        <f t="shared" ca="1" si="16"/>
        <v>-26015.281739272417</v>
      </c>
      <c r="X72" s="7">
        <f t="shared" ca="1" si="17"/>
        <v>-0.54576560002669361</v>
      </c>
      <c r="Y72" s="7">
        <f t="shared" ca="1" si="18"/>
        <v>-0.33949298241511339</v>
      </c>
      <c r="Z72" s="7">
        <f t="shared" ca="1" si="26"/>
        <v>-4.7597961276022317E-2</v>
      </c>
      <c r="AA72" s="33">
        <f t="shared" ca="1" si="19"/>
        <v>9832.5</v>
      </c>
      <c r="AB72" s="7">
        <f t="shared" ca="1" si="20"/>
        <v>1</v>
      </c>
      <c r="AC72" s="7">
        <f t="shared" ca="1" si="27"/>
        <v>0.60313630880579017</v>
      </c>
      <c r="AD72" s="1"/>
      <c r="AE72" s="1"/>
    </row>
    <row r="73" spans="1:31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>
        <f t="shared" ca="1" si="21"/>
        <v>0.1875</v>
      </c>
      <c r="Q73" s="7">
        <f t="shared" ca="1" si="14"/>
        <v>1.3392857142857142E-2</v>
      </c>
      <c r="R73" s="33">
        <f t="shared" ca="1" si="22"/>
        <v>8625</v>
      </c>
      <c r="S73" s="33">
        <f t="shared" ca="1" si="23"/>
        <v>-37375</v>
      </c>
      <c r="T73" s="33">
        <f t="shared" ca="1" si="15"/>
        <v>8625</v>
      </c>
      <c r="U73" s="7">
        <f t="shared" ca="1" si="24"/>
        <v>0.23076923076923078</v>
      </c>
      <c r="V73" s="7">
        <f t="shared" ca="1" si="25"/>
        <v>-0.14778578206489221</v>
      </c>
      <c r="W73" s="33">
        <f t="shared" ca="1" si="16"/>
        <v>-27222.781739272417</v>
      </c>
      <c r="X73" s="7">
        <f t="shared" ca="1" si="17"/>
        <v>-0.72836874218789072</v>
      </c>
      <c r="Y73" s="7">
        <f t="shared" ca="1" si="18"/>
        <v>-0.49759951141865993</v>
      </c>
      <c r="Z73" s="7">
        <f t="shared" ca="1" si="26"/>
        <v>-4.7597961276022317E-2</v>
      </c>
      <c r="AA73" s="33">
        <f t="shared" ca="1" si="19"/>
        <v>8625</v>
      </c>
      <c r="AB73" s="7">
        <f t="shared" ca="1" si="20"/>
        <v>1</v>
      </c>
      <c r="AC73" s="7">
        <f t="shared" ca="1" si="27"/>
        <v>0.61538461538461542</v>
      </c>
      <c r="AD73" s="1"/>
      <c r="AE73" s="1"/>
    </row>
    <row r="74" spans="1:31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>
        <f t="shared" ca="1" si="21"/>
        <v>0.24000000000000002</v>
      </c>
      <c r="Q74" s="7">
        <f t="shared" ca="1" si="14"/>
        <v>1.7142857142857144E-2</v>
      </c>
      <c r="R74" s="33">
        <f t="shared" ca="1" si="22"/>
        <v>8280</v>
      </c>
      <c r="S74" s="33">
        <f t="shared" ca="1" si="23"/>
        <v>-26220</v>
      </c>
      <c r="T74" s="33">
        <f t="shared" ca="1" si="15"/>
        <v>8280</v>
      </c>
      <c r="U74" s="7">
        <f t="shared" ca="1" si="24"/>
        <v>0.31578947368421051</v>
      </c>
      <c r="V74" s="7">
        <f t="shared" ca="1" si="25"/>
        <v>-0.14778578206489221</v>
      </c>
      <c r="W74" s="33">
        <f t="shared" ca="1" si="16"/>
        <v>-26220</v>
      </c>
      <c r="X74" s="7">
        <f t="shared" ca="1" si="17"/>
        <v>-1</v>
      </c>
      <c r="Y74" s="7">
        <f t="shared" ca="1" si="18"/>
        <v>-0.68421052631578949</v>
      </c>
      <c r="Z74" s="7">
        <f t="shared" ca="1" si="26"/>
        <v>-4.7597961276022317E-2</v>
      </c>
      <c r="AA74" s="33">
        <f t="shared" ca="1" si="19"/>
        <v>8280</v>
      </c>
      <c r="AB74" s="7">
        <f t="shared" ca="1" si="20"/>
        <v>1</v>
      </c>
      <c r="AC74" s="7">
        <f t="shared" ca="1" si="27"/>
        <v>0.65789473684210531</v>
      </c>
      <c r="AD74" s="1"/>
      <c r="AE74" s="1"/>
    </row>
    <row r="75" spans="1:31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>
        <f t="shared" ca="1" si="21"/>
        <v>0.27500000000000002</v>
      </c>
      <c r="Q75" s="7">
        <f t="shared" ca="1" si="14"/>
        <v>1.9642857142857146E-2</v>
      </c>
      <c r="R75" s="33">
        <f t="shared" ca="1" si="22"/>
        <v>6325</v>
      </c>
      <c r="S75" s="33">
        <f t="shared" ca="1" si="23"/>
        <v>-16675</v>
      </c>
      <c r="T75" s="33">
        <f t="shared" ca="1" si="15"/>
        <v>6325</v>
      </c>
      <c r="U75" s="7">
        <f t="shared" ca="1" si="24"/>
        <v>0.37931034482758619</v>
      </c>
      <c r="V75" s="7">
        <f t="shared" ca="1" si="25"/>
        <v>-0.14778578206489221</v>
      </c>
      <c r="W75" s="33">
        <f t="shared" ca="1" si="16"/>
        <v>-16675</v>
      </c>
      <c r="X75" s="7">
        <f t="shared" ca="1" si="17"/>
        <v>-1</v>
      </c>
      <c r="Y75" s="7">
        <f t="shared" ca="1" si="18"/>
        <v>-0.62068965517241381</v>
      </c>
      <c r="Z75" s="7">
        <f t="shared" ca="1" si="26"/>
        <v>-4.7597961276022317E-2</v>
      </c>
      <c r="AA75" s="33">
        <f t="shared" ca="1" si="19"/>
        <v>6325</v>
      </c>
      <c r="AB75" s="7">
        <f t="shared" ca="1" si="20"/>
        <v>1</v>
      </c>
      <c r="AC75" s="7">
        <f t="shared" ca="1" si="27"/>
        <v>0.68965517241379315</v>
      </c>
      <c r="AD75" s="1"/>
      <c r="AE75" s="1"/>
    </row>
    <row r="76" spans="1:31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>
        <f t="shared" ca="1" si="21"/>
        <v>0.24000000000000005</v>
      </c>
      <c r="Q76" s="7">
        <f t="shared" ca="1" si="14"/>
        <v>1.7142857142857147E-2</v>
      </c>
      <c r="R76" s="33">
        <f t="shared" ca="1" si="22"/>
        <v>2760.0000000000005</v>
      </c>
      <c r="S76" s="33">
        <f t="shared" ca="1" si="23"/>
        <v>-8740</v>
      </c>
      <c r="T76" s="33">
        <f t="shared" ca="1" si="15"/>
        <v>2760.0000000000005</v>
      </c>
      <c r="U76" s="7">
        <f t="shared" ca="1" si="24"/>
        <v>0.31578947368421056</v>
      </c>
      <c r="V76" s="7">
        <f t="shared" ca="1" si="25"/>
        <v>-0.14778578206489221</v>
      </c>
      <c r="W76" s="33">
        <f t="shared" ca="1" si="16"/>
        <v>-8740</v>
      </c>
      <c r="X76" s="7">
        <f t="shared" ca="1" si="17"/>
        <v>-1</v>
      </c>
      <c r="Y76" s="7">
        <f t="shared" ca="1" si="18"/>
        <v>-0.68421052631578938</v>
      </c>
      <c r="Z76" s="7">
        <f t="shared" ca="1" si="26"/>
        <v>-4.7597961276022317E-2</v>
      </c>
      <c r="AA76" s="33">
        <f t="shared" ca="1" si="19"/>
        <v>2760.0000000000005</v>
      </c>
      <c r="AB76" s="7">
        <f t="shared" ca="1" si="20"/>
        <v>1</v>
      </c>
      <c r="AC76" s="7">
        <f t="shared" ca="1" si="27"/>
        <v>0.65789473684210531</v>
      </c>
      <c r="AD76" s="1"/>
      <c r="AE76" s="1"/>
    </row>
    <row r="77" spans="1:31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>
        <f t="shared" ca="1" si="21"/>
        <v>0.12333333333333334</v>
      </c>
      <c r="Q77" s="7">
        <f t="shared" ca="1" si="14"/>
        <v>8.8095238095238105E-3</v>
      </c>
      <c r="R77" s="33">
        <f t="shared" ca="1" si="22"/>
        <v>5180</v>
      </c>
      <c r="S77" s="33">
        <f t="shared" ca="1" si="23"/>
        <v>-36820</v>
      </c>
      <c r="T77" s="33">
        <f t="shared" ca="1" si="15"/>
        <v>5180</v>
      </c>
      <c r="U77" s="7">
        <f t="shared" ca="1" si="24"/>
        <v>0.14068441064638784</v>
      </c>
      <c r="V77" s="7">
        <f t="shared" ca="1" si="25"/>
        <v>-0.17536137295661439</v>
      </c>
      <c r="W77" s="33">
        <f t="shared" ca="1" si="16"/>
        <v>-36820</v>
      </c>
      <c r="X77" s="7">
        <f t="shared" ca="1" si="17"/>
        <v>-1</v>
      </c>
      <c r="Y77" s="7">
        <f t="shared" ca="1" si="18"/>
        <v>-0.85931558935361219</v>
      </c>
      <c r="Z77" s="7">
        <f t="shared" ca="1" si="26"/>
        <v>-5.2854725241912419E-2</v>
      </c>
      <c r="AA77" s="33">
        <f t="shared" ca="1" si="19"/>
        <v>5180</v>
      </c>
      <c r="AB77" s="7">
        <f t="shared" ca="1" si="20"/>
        <v>1</v>
      </c>
      <c r="AC77" s="7">
        <f t="shared" ca="1" si="27"/>
        <v>0.57034220532319391</v>
      </c>
      <c r="AD77" s="1"/>
      <c r="AE77" s="1"/>
    </row>
    <row r="78" spans="1:31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7"/>
      <c r="P78" s="7">
        <f t="shared" ca="1" si="21"/>
        <v>0.10375000000000001</v>
      </c>
      <c r="Q78" s="7">
        <f t="shared" ca="1" si="14"/>
        <v>7.4107142857142861E-3</v>
      </c>
      <c r="R78" s="33">
        <f t="shared" ca="1" si="22"/>
        <v>11620.000000000002</v>
      </c>
      <c r="S78" s="33">
        <f t="shared" ca="1" si="23"/>
        <v>-100380</v>
      </c>
      <c r="T78" s="33">
        <f t="shared" ca="1" si="15"/>
        <v>11620.000000000002</v>
      </c>
      <c r="U78" s="7">
        <f t="shared" ca="1" si="24"/>
        <v>0.11576011157601118</v>
      </c>
      <c r="V78" s="7">
        <f t="shared" ca="1" si="25"/>
        <v>-0.21054860265758243</v>
      </c>
      <c r="W78" s="33">
        <f t="shared" ca="1" si="16"/>
        <v>-52783.990097099413</v>
      </c>
      <c r="X78" s="7">
        <f t="shared" ca="1" si="17"/>
        <v>-0.52584170250148843</v>
      </c>
      <c r="Y78" s="7">
        <f t="shared" ca="1" si="18"/>
        <v>-0.41008159092547725</v>
      </c>
      <c r="Z78" s="7">
        <f t="shared" ca="1" si="26"/>
        <v>-5.832413648398059E-2</v>
      </c>
      <c r="AA78" s="33">
        <f t="shared" ca="1" si="19"/>
        <v>11620.000000000002</v>
      </c>
      <c r="AB78" s="7">
        <f t="shared" ca="1" si="20"/>
        <v>1</v>
      </c>
      <c r="AC78" s="7">
        <f t="shared" ca="1" si="27"/>
        <v>0.55788005578800559</v>
      </c>
      <c r="AD78" s="1"/>
      <c r="AE78" s="1"/>
    </row>
    <row r="79" spans="1:31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>
        <f t="shared" ca="1" si="21"/>
        <v>0.11714285714285716</v>
      </c>
      <c r="Q79" s="7">
        <f t="shared" ca="1" si="14"/>
        <v>8.3673469387755117E-3</v>
      </c>
      <c r="R79" s="33">
        <f t="shared" ca="1" si="22"/>
        <v>11480.000000000002</v>
      </c>
      <c r="S79" s="33">
        <f t="shared" ca="1" si="23"/>
        <v>-86520</v>
      </c>
      <c r="T79" s="33">
        <f t="shared" ca="1" si="15"/>
        <v>11480.000000000002</v>
      </c>
      <c r="U79" s="7">
        <f t="shared" ca="1" si="24"/>
        <v>0.13268608414239486</v>
      </c>
      <c r="V79" s="7">
        <f t="shared" ca="1" si="25"/>
        <v>-0.21054860265758243</v>
      </c>
      <c r="W79" s="33">
        <f t="shared" ca="1" si="16"/>
        <v>-52923.990097099413</v>
      </c>
      <c r="X79" s="7">
        <f t="shared" ca="1" si="17"/>
        <v>-0.61169660306402462</v>
      </c>
      <c r="Y79" s="7">
        <f t="shared" ca="1" si="18"/>
        <v>-0.47901051892162977</v>
      </c>
      <c r="Z79" s="7">
        <f t="shared" ca="1" si="26"/>
        <v>-5.832413648398059E-2</v>
      </c>
      <c r="AA79" s="33">
        <f t="shared" ca="1" si="19"/>
        <v>11480.000000000002</v>
      </c>
      <c r="AB79" s="7">
        <f t="shared" ca="1" si="20"/>
        <v>1</v>
      </c>
      <c r="AC79" s="7">
        <f t="shared" ca="1" si="27"/>
        <v>0.56634304207119746</v>
      </c>
      <c r="AD79" s="1"/>
      <c r="AE79" s="1"/>
    </row>
    <row r="80" spans="1:31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>
        <f t="shared" ca="1" si="21"/>
        <v>0.11692307692307694</v>
      </c>
      <c r="Q80" s="7">
        <f t="shared" ca="1" si="14"/>
        <v>8.3516483516483525E-3</v>
      </c>
      <c r="R80" s="33">
        <f t="shared" ca="1" si="22"/>
        <v>10640</v>
      </c>
      <c r="S80" s="33">
        <f t="shared" ca="1" si="23"/>
        <v>-80360</v>
      </c>
      <c r="T80" s="33">
        <f t="shared" ca="1" si="15"/>
        <v>10640</v>
      </c>
      <c r="U80" s="7">
        <f t="shared" ca="1" si="24"/>
        <v>0.13240418118466898</v>
      </c>
      <c r="V80" s="7">
        <f t="shared" ca="1" si="25"/>
        <v>-0.21054860265758243</v>
      </c>
      <c r="W80" s="33">
        <f t="shared" ca="1" si="16"/>
        <v>-53763.990097099413</v>
      </c>
      <c r="X80" s="7">
        <f t="shared" ca="1" si="17"/>
        <v>-0.66903919981457705</v>
      </c>
      <c r="Y80" s="7">
        <f t="shared" ca="1" si="18"/>
        <v>-0.53663501862990803</v>
      </c>
      <c r="Z80" s="7">
        <f t="shared" ca="1" si="26"/>
        <v>-5.832413648398059E-2</v>
      </c>
      <c r="AA80" s="33">
        <f t="shared" ca="1" si="19"/>
        <v>10640</v>
      </c>
      <c r="AB80" s="7">
        <f t="shared" ca="1" si="20"/>
        <v>1</v>
      </c>
      <c r="AC80" s="7">
        <f t="shared" ca="1" si="27"/>
        <v>0.56620209059233451</v>
      </c>
      <c r="AD80" s="1"/>
      <c r="AE80" s="1"/>
    </row>
    <row r="81" spans="1:31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>
        <f t="shared" ca="1" si="21"/>
        <v>0.13416666666666668</v>
      </c>
      <c r="Q81" s="7">
        <f t="shared" ca="1" si="14"/>
        <v>9.5833333333333343E-3</v>
      </c>
      <c r="R81" s="33">
        <f t="shared" ca="1" si="22"/>
        <v>11270.000000000002</v>
      </c>
      <c r="S81" s="33">
        <f t="shared" ca="1" si="23"/>
        <v>-72730</v>
      </c>
      <c r="T81" s="33">
        <f t="shared" ca="1" si="15"/>
        <v>11270.000000000002</v>
      </c>
      <c r="U81" s="7">
        <f t="shared" ca="1" si="24"/>
        <v>0.15495668912415786</v>
      </c>
      <c r="V81" s="7">
        <f t="shared" ca="1" si="25"/>
        <v>-0.21054860265758243</v>
      </c>
      <c r="W81" s="33">
        <f t="shared" ca="1" si="16"/>
        <v>-53133.990097099413</v>
      </c>
      <c r="X81" s="7">
        <f t="shared" ca="1" si="17"/>
        <v>-0.73056496764883005</v>
      </c>
      <c r="Y81" s="7">
        <f t="shared" ca="1" si="18"/>
        <v>-0.57560827852467222</v>
      </c>
      <c r="Z81" s="7">
        <f t="shared" ca="1" si="26"/>
        <v>-5.832413648398059E-2</v>
      </c>
      <c r="AA81" s="33">
        <f t="shared" ca="1" si="19"/>
        <v>11270.000000000002</v>
      </c>
      <c r="AB81" s="7">
        <f t="shared" ca="1" si="20"/>
        <v>1</v>
      </c>
      <c r="AC81" s="7">
        <f t="shared" ca="1" si="27"/>
        <v>0.57747834456207892</v>
      </c>
      <c r="AD81" s="1"/>
      <c r="AE81" s="1"/>
    </row>
    <row r="82" spans="1:31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>
        <f t="shared" ca="1" si="21"/>
        <v>0.14636363636363639</v>
      </c>
      <c r="Q82" s="7">
        <f t="shared" ca="1" si="14"/>
        <v>1.0454545454545456E-2</v>
      </c>
      <c r="R82" s="33">
        <f t="shared" ca="1" si="22"/>
        <v>11270.000000000002</v>
      </c>
      <c r="S82" s="33">
        <f t="shared" ca="1" si="23"/>
        <v>-65730</v>
      </c>
      <c r="T82" s="33">
        <f t="shared" ca="1" si="15"/>
        <v>11270.000000000002</v>
      </c>
      <c r="U82" s="7">
        <f t="shared" ca="1" si="24"/>
        <v>0.1714589989350373</v>
      </c>
      <c r="V82" s="7">
        <f t="shared" ca="1" si="25"/>
        <v>-0.21054860265758243</v>
      </c>
      <c r="W82" s="33">
        <f t="shared" ca="1" si="16"/>
        <v>-53133.990097099413</v>
      </c>
      <c r="X82" s="7">
        <f t="shared" ca="1" si="17"/>
        <v>-0.80836741361782161</v>
      </c>
      <c r="Y82" s="7">
        <f t="shared" ca="1" si="18"/>
        <v>-0.63690841468278436</v>
      </c>
      <c r="Z82" s="7">
        <f t="shared" ca="1" si="26"/>
        <v>-5.832413648398059E-2</v>
      </c>
      <c r="AA82" s="33">
        <f t="shared" ca="1" si="19"/>
        <v>11270.000000000002</v>
      </c>
      <c r="AB82" s="7">
        <f t="shared" ca="1" si="20"/>
        <v>1</v>
      </c>
      <c r="AC82" s="7">
        <f t="shared" ca="1" si="27"/>
        <v>0.58572949946751862</v>
      </c>
      <c r="AD82" s="1"/>
      <c r="AE82" s="1"/>
    </row>
    <row r="83" spans="1:31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>
        <f t="shared" ca="1" si="21"/>
        <v>0.14600000000000002</v>
      </c>
      <c r="Q83" s="7">
        <f t="shared" ca="1" si="14"/>
        <v>1.0428571428571429E-2</v>
      </c>
      <c r="R83" s="33">
        <f t="shared" ca="1" si="22"/>
        <v>10220.000000000002</v>
      </c>
      <c r="S83" s="33">
        <f t="shared" ca="1" si="23"/>
        <v>-59780</v>
      </c>
      <c r="T83" s="33">
        <f t="shared" ca="1" si="15"/>
        <v>10220.000000000002</v>
      </c>
      <c r="U83" s="7">
        <f t="shared" ca="1" si="24"/>
        <v>0.17096018735363</v>
      </c>
      <c r="V83" s="7">
        <f t="shared" ca="1" si="25"/>
        <v>-0.21054860265758243</v>
      </c>
      <c r="W83" s="33">
        <f t="shared" ca="1" si="16"/>
        <v>-54183.990097099413</v>
      </c>
      <c r="X83" s="7">
        <f t="shared" ca="1" si="17"/>
        <v>-0.90638993136666801</v>
      </c>
      <c r="Y83" s="7">
        <f t="shared" ca="1" si="18"/>
        <v>-0.73542974401303796</v>
      </c>
      <c r="Z83" s="7">
        <f t="shared" ca="1" si="26"/>
        <v>-5.832413648398059E-2</v>
      </c>
      <c r="AA83" s="33">
        <f t="shared" ca="1" si="19"/>
        <v>10220.000000000002</v>
      </c>
      <c r="AB83" s="7">
        <f t="shared" ca="1" si="20"/>
        <v>1</v>
      </c>
      <c r="AC83" s="7">
        <f t="shared" ca="1" si="27"/>
        <v>0.58548009367681497</v>
      </c>
      <c r="AD83" s="1"/>
      <c r="AE83" s="1"/>
    </row>
    <row r="84" spans="1:31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>
        <f t="shared" ca="1" si="21"/>
        <v>0.11222222222222224</v>
      </c>
      <c r="Q84" s="7">
        <f t="shared" ca="1" si="14"/>
        <v>8.0158730158730162E-3</v>
      </c>
      <c r="R84" s="33">
        <f t="shared" ca="1" si="22"/>
        <v>7070.0000000000009</v>
      </c>
      <c r="S84" s="33">
        <f t="shared" ca="1" si="23"/>
        <v>-55930</v>
      </c>
      <c r="T84" s="33">
        <f t="shared" ca="1" si="15"/>
        <v>7070.0000000000009</v>
      </c>
      <c r="U84" s="7">
        <f t="shared" ca="1" si="24"/>
        <v>0.12640801001251567</v>
      </c>
      <c r="V84" s="7">
        <f t="shared" ca="1" si="25"/>
        <v>-0.21054860265758243</v>
      </c>
      <c r="W84" s="33">
        <f t="shared" ca="1" si="16"/>
        <v>-55930</v>
      </c>
      <c r="X84" s="7">
        <f t="shared" ca="1" si="17"/>
        <v>-1</v>
      </c>
      <c r="Y84" s="7">
        <f t="shared" ca="1" si="18"/>
        <v>-0.87359198998748433</v>
      </c>
      <c r="Z84" s="7">
        <f t="shared" ca="1" si="26"/>
        <v>-5.832413648398059E-2</v>
      </c>
      <c r="AA84" s="33">
        <f t="shared" ca="1" si="19"/>
        <v>7070.0000000000009</v>
      </c>
      <c r="AB84" s="7">
        <f t="shared" ca="1" si="20"/>
        <v>1</v>
      </c>
      <c r="AC84" s="7">
        <f t="shared" ca="1" si="27"/>
        <v>0.56320400500625789</v>
      </c>
      <c r="AD84" s="1"/>
      <c r="AE84" s="1"/>
    </row>
    <row r="85" spans="1:31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>
        <f t="shared" ca="1" si="21"/>
        <v>0.15125000000000002</v>
      </c>
      <c r="Q85" s="7">
        <f t="shared" ca="1" si="14"/>
        <v>1.080357142857143E-2</v>
      </c>
      <c r="R85" s="33">
        <f t="shared" ca="1" si="22"/>
        <v>8470.0000000000018</v>
      </c>
      <c r="S85" s="33">
        <f t="shared" ca="1" si="23"/>
        <v>-47530</v>
      </c>
      <c r="T85" s="33">
        <f t="shared" ca="1" si="15"/>
        <v>8470.0000000000018</v>
      </c>
      <c r="U85" s="7">
        <f t="shared" ca="1" si="24"/>
        <v>0.1782032400589102</v>
      </c>
      <c r="V85" s="7">
        <f t="shared" ca="1" si="25"/>
        <v>-0.21054860265758243</v>
      </c>
      <c r="W85" s="33">
        <f t="shared" ca="1" si="16"/>
        <v>-47530</v>
      </c>
      <c r="X85" s="7">
        <f t="shared" ca="1" si="17"/>
        <v>-1</v>
      </c>
      <c r="Y85" s="7">
        <f t="shared" ca="1" si="18"/>
        <v>-0.8217967599410898</v>
      </c>
      <c r="Z85" s="7">
        <f t="shared" ca="1" si="26"/>
        <v>-5.832413648398059E-2</v>
      </c>
      <c r="AA85" s="33">
        <f t="shared" ca="1" si="19"/>
        <v>8470.0000000000018</v>
      </c>
      <c r="AB85" s="7">
        <f t="shared" ca="1" si="20"/>
        <v>1</v>
      </c>
      <c r="AC85" s="7">
        <f t="shared" ca="1" si="27"/>
        <v>0.5891016200294551</v>
      </c>
      <c r="AD85" s="1"/>
      <c r="AE85" s="1"/>
    </row>
    <row r="86" spans="1:31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>
        <f t="shared" ca="1" si="21"/>
        <v>0.14571428571428574</v>
      </c>
      <c r="Q86" s="7">
        <f t="shared" ca="1" si="14"/>
        <v>1.0408163265306124E-2</v>
      </c>
      <c r="R86" s="33">
        <f t="shared" ca="1" si="22"/>
        <v>7140.0000000000009</v>
      </c>
      <c r="S86" s="33">
        <f t="shared" ca="1" si="23"/>
        <v>-41860</v>
      </c>
      <c r="T86" s="33">
        <f t="shared" ca="1" si="15"/>
        <v>7140.0000000000009</v>
      </c>
      <c r="U86" s="7">
        <f t="shared" ca="1" si="24"/>
        <v>0.17056856187290972</v>
      </c>
      <c r="V86" s="7">
        <f t="shared" ca="1" si="25"/>
        <v>-0.21054860265758243</v>
      </c>
      <c r="W86" s="33">
        <f t="shared" ca="1" si="16"/>
        <v>-41860</v>
      </c>
      <c r="X86" s="7">
        <f t="shared" ca="1" si="17"/>
        <v>-1</v>
      </c>
      <c r="Y86" s="7">
        <f t="shared" ca="1" si="18"/>
        <v>-0.8294314381270903</v>
      </c>
      <c r="Z86" s="7">
        <f t="shared" ca="1" si="26"/>
        <v>-5.832413648398059E-2</v>
      </c>
      <c r="AA86" s="33">
        <f t="shared" ca="1" si="19"/>
        <v>7140.0000000000009</v>
      </c>
      <c r="AB86" s="7">
        <f t="shared" ca="1" si="20"/>
        <v>1</v>
      </c>
      <c r="AC86" s="7">
        <f t="shared" ca="1" si="27"/>
        <v>0.5852842809364549</v>
      </c>
      <c r="AD86" s="1"/>
      <c r="AE86" s="1"/>
    </row>
    <row r="87" spans="1:31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>
        <f t="shared" ca="1" si="21"/>
        <v>0.18500000000000003</v>
      </c>
      <c r="Q87" s="7">
        <f t="shared" ca="1" si="14"/>
        <v>1.3214285714285717E-2</v>
      </c>
      <c r="R87" s="33">
        <f t="shared" ca="1" si="22"/>
        <v>7770.0000000000009</v>
      </c>
      <c r="S87" s="33">
        <f t="shared" ca="1" si="23"/>
        <v>-34230</v>
      </c>
      <c r="T87" s="33">
        <f t="shared" ca="1" si="15"/>
        <v>7770.0000000000009</v>
      </c>
      <c r="U87" s="7">
        <f t="shared" ca="1" si="24"/>
        <v>0.22699386503067487</v>
      </c>
      <c r="V87" s="7">
        <f t="shared" ca="1" si="25"/>
        <v>-0.21054860265758243</v>
      </c>
      <c r="W87" s="33">
        <f t="shared" ca="1" si="16"/>
        <v>-34230</v>
      </c>
      <c r="X87" s="7">
        <f t="shared" ca="1" si="17"/>
        <v>-1</v>
      </c>
      <c r="Y87" s="7">
        <f t="shared" ca="1" si="18"/>
        <v>-0.77300613496932513</v>
      </c>
      <c r="Z87" s="7">
        <f t="shared" ca="1" si="26"/>
        <v>-5.832413648398059E-2</v>
      </c>
      <c r="AA87" s="33">
        <f t="shared" ca="1" si="19"/>
        <v>7770.0000000000009</v>
      </c>
      <c r="AB87" s="7">
        <f t="shared" ca="1" si="20"/>
        <v>1</v>
      </c>
      <c r="AC87" s="7">
        <f t="shared" ca="1" si="27"/>
        <v>0.61349693251533743</v>
      </c>
      <c r="AD87" s="1"/>
      <c r="AE87" s="1"/>
    </row>
    <row r="88" spans="1:31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>
        <f t="shared" ca="1" si="21"/>
        <v>0.20200000000000004</v>
      </c>
      <c r="Q88" s="7">
        <f t="shared" ca="1" si="14"/>
        <v>1.4428571428571431E-2</v>
      </c>
      <c r="R88" s="33">
        <f t="shared" ca="1" si="22"/>
        <v>7070.0000000000009</v>
      </c>
      <c r="S88" s="33">
        <f t="shared" ca="1" si="23"/>
        <v>-27930</v>
      </c>
      <c r="T88" s="33">
        <f t="shared" ca="1" si="15"/>
        <v>7070.0000000000009</v>
      </c>
      <c r="U88" s="7">
        <f t="shared" ca="1" si="24"/>
        <v>0.25313283208020054</v>
      </c>
      <c r="V88" s="7">
        <f t="shared" ca="1" si="25"/>
        <v>-0.21054860265758243</v>
      </c>
      <c r="W88" s="33">
        <f t="shared" ca="1" si="16"/>
        <v>-27930</v>
      </c>
      <c r="X88" s="7">
        <f t="shared" ca="1" si="17"/>
        <v>-1</v>
      </c>
      <c r="Y88" s="7">
        <f t="shared" ca="1" si="18"/>
        <v>-0.74686716791979946</v>
      </c>
      <c r="Z88" s="7">
        <f t="shared" ca="1" si="26"/>
        <v>-5.832413648398059E-2</v>
      </c>
      <c r="AA88" s="33">
        <f t="shared" ca="1" si="19"/>
        <v>7070.0000000000009</v>
      </c>
      <c r="AB88" s="7">
        <f t="shared" ca="1" si="20"/>
        <v>1</v>
      </c>
      <c r="AC88" s="7">
        <f t="shared" ca="1" si="27"/>
        <v>0.62656641604010033</v>
      </c>
      <c r="AD88" s="1"/>
      <c r="AE88" s="1"/>
    </row>
    <row r="89" spans="1:31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>
        <f t="shared" ca="1" si="21"/>
        <v>0.25500000000000006</v>
      </c>
      <c r="Q89" s="7">
        <f t="shared" ca="1" si="14"/>
        <v>1.8214285714285718E-2</v>
      </c>
      <c r="R89" s="33">
        <f t="shared" ca="1" si="22"/>
        <v>3570.0000000000009</v>
      </c>
      <c r="S89" s="33">
        <f t="shared" ca="1" si="23"/>
        <v>-10430</v>
      </c>
      <c r="T89" s="33">
        <f t="shared" ca="1" si="15"/>
        <v>3570.0000000000009</v>
      </c>
      <c r="U89" s="7">
        <f t="shared" ca="1" si="24"/>
        <v>0.34228187919463093</v>
      </c>
      <c r="V89" s="7">
        <f t="shared" ca="1" si="25"/>
        <v>-0.21054860265758243</v>
      </c>
      <c r="W89" s="33">
        <f t="shared" ca="1" si="16"/>
        <v>-10430</v>
      </c>
      <c r="X89" s="7">
        <f t="shared" ca="1" si="17"/>
        <v>-1</v>
      </c>
      <c r="Y89" s="7">
        <f t="shared" ca="1" si="18"/>
        <v>-0.65771812080536907</v>
      </c>
      <c r="Z89" s="7">
        <f t="shared" ca="1" si="26"/>
        <v>-5.832413648398059E-2</v>
      </c>
      <c r="AA89" s="33">
        <f t="shared" ca="1" si="19"/>
        <v>3570.0000000000009</v>
      </c>
      <c r="AB89" s="7">
        <f t="shared" ca="1" si="20"/>
        <v>1</v>
      </c>
      <c r="AC89" s="7">
        <f t="shared" ca="1" si="27"/>
        <v>0.67114093959731547</v>
      </c>
      <c r="AD89" s="1"/>
      <c r="AE89" s="1"/>
    </row>
    <row r="90" spans="1:31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9"/>
      <c r="P90" s="7">
        <f t="shared" ca="1" si="21"/>
        <v>0.31000000000000016</v>
      </c>
      <c r="Q90" s="7">
        <f t="shared" ca="1" si="14"/>
        <v>2.2142857142857155E-2</v>
      </c>
      <c r="R90" s="33">
        <f t="shared" ca="1" si="22"/>
        <v>2170.0000000000009</v>
      </c>
      <c r="S90" s="33">
        <f t="shared" ca="1" si="23"/>
        <v>-4829.9999999999991</v>
      </c>
      <c r="T90" s="33">
        <f t="shared" ca="1" si="15"/>
        <v>2170.0000000000009</v>
      </c>
      <c r="U90" s="7">
        <f t="shared" ca="1" si="24"/>
        <v>0.44927536231884085</v>
      </c>
      <c r="V90" s="7">
        <f t="shared" ca="1" si="25"/>
        <v>-0.21054860265758243</v>
      </c>
      <c r="W90" s="33">
        <f t="shared" ca="1" si="16"/>
        <v>-4829.9999999999991</v>
      </c>
      <c r="X90" s="7">
        <f t="shared" ca="1" si="17"/>
        <v>-1</v>
      </c>
      <c r="Y90" s="7">
        <f t="shared" ca="1" si="18"/>
        <v>-0.5507246376811592</v>
      </c>
      <c r="Z90" s="7">
        <f t="shared" ca="1" si="26"/>
        <v>-5.832413648398059E-2</v>
      </c>
      <c r="AA90" s="33">
        <f t="shared" ca="1" si="19"/>
        <v>2170.0000000000009</v>
      </c>
      <c r="AB90" s="7">
        <f t="shared" ca="1" si="20"/>
        <v>1</v>
      </c>
      <c r="AC90" s="7">
        <f t="shared" ca="1" si="27"/>
        <v>0.7246376811594204</v>
      </c>
      <c r="AD90" s="1"/>
      <c r="AE90" s="1"/>
    </row>
    <row r="91" spans="1:31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</row>
    <row r="92" spans="1:31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</row>
    <row r="93" spans="1:31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</row>
    <row r="94" spans="1:31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</row>
    <row r="95" spans="1:31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</row>
    <row r="96" spans="1:31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</row>
    <row r="97" spans="1:31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</row>
    <row r="98" spans="1:31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</row>
    <row r="99" spans="1:31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</row>
    <row r="100" spans="1:31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</row>
    <row r="101" spans="1:31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</row>
    <row r="102" spans="1:31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</row>
    <row r="103" spans="1:31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</row>
    <row r="104" spans="1:31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</row>
    <row r="105" spans="1:31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</row>
    <row r="106" spans="1:31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</row>
    <row r="107" spans="1:31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</row>
    <row r="108" spans="1:31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</row>
    <row r="109" spans="1:31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</row>
    <row r="110" spans="1:31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</row>
    <row r="111" spans="1:31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</row>
    <row r="112" spans="1:31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</row>
    <row r="113" spans="1:31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</row>
    <row r="114" spans="1:31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</row>
    <row r="115" spans="1:31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</row>
    <row r="116" spans="1:31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</row>
    <row r="117" spans="1:31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</row>
    <row r="118" spans="1:31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</row>
    <row r="119" spans="1:31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</row>
    <row r="120" spans="1:31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</row>
    <row r="121" spans="1:31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</row>
    <row r="122" spans="1:31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</row>
    <row r="123" spans="1:31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</row>
    <row r="124" spans="1:31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</row>
    <row r="125" spans="1:31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</row>
    <row r="126" spans="1:31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</row>
    <row r="127" spans="1:31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</row>
    <row r="128" spans="1:31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</row>
    <row r="129" spans="1:31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</row>
    <row r="130" spans="1:31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</row>
    <row r="131" spans="1:31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</row>
    <row r="132" spans="1:31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</row>
    <row r="133" spans="1:31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</row>
    <row r="134" spans="1:31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</row>
    <row r="135" spans="1:31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</row>
    <row r="136" spans="1:31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</row>
    <row r="137" spans="1:31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</row>
    <row r="138" spans="1:31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</row>
    <row r="139" spans="1:31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</row>
    <row r="140" spans="1:31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</row>
    <row r="141" spans="1:31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</row>
    <row r="142" spans="1:31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</row>
    <row r="143" spans="1:31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</row>
    <row r="144" spans="1:31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</row>
    <row r="145" spans="1:31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</row>
    <row r="146" spans="1:31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B201" s="39"/>
    </row>
    <row r="202" spans="1:31" x14ac:dyDescent="0.25">
      <c r="B202" s="39"/>
    </row>
    <row r="203" spans="1:31" x14ac:dyDescent="0.25">
      <c r="B203" s="39"/>
    </row>
    <row r="204" spans="1:31" x14ac:dyDescent="0.25">
      <c r="B204" s="39"/>
    </row>
    <row r="205" spans="1:31" x14ac:dyDescent="0.25">
      <c r="B205" s="39"/>
    </row>
    <row r="206" spans="1:31" x14ac:dyDescent="0.25">
      <c r="B206" s="39"/>
    </row>
    <row r="207" spans="1:31" x14ac:dyDescent="0.25">
      <c r="B207" s="39"/>
    </row>
    <row r="208" spans="1:31" x14ac:dyDescent="0.25">
      <c r="B208" s="39"/>
    </row>
    <row r="209" spans="2:2" x14ac:dyDescent="0.25">
      <c r="B209" s="39"/>
    </row>
    <row r="210" spans="2:2" x14ac:dyDescent="0.25">
      <c r="B210" s="39"/>
    </row>
    <row r="211" spans="2:2" x14ac:dyDescent="0.25">
      <c r="B211" s="39"/>
    </row>
    <row r="212" spans="2:2" x14ac:dyDescent="0.25">
      <c r="B212" s="39"/>
    </row>
    <row r="213" spans="2:2" x14ac:dyDescent="0.25">
      <c r="B213" s="39"/>
    </row>
    <row r="214" spans="2:2" x14ac:dyDescent="0.25">
      <c r="B214" s="39"/>
    </row>
    <row r="215" spans="2:2" x14ac:dyDescent="0.25">
      <c r="B215" s="39"/>
    </row>
    <row r="216" spans="2:2" x14ac:dyDescent="0.25">
      <c r="B216" s="39"/>
    </row>
    <row r="217" spans="2:2" x14ac:dyDescent="0.25">
      <c r="B217" s="39"/>
    </row>
    <row r="218" spans="2:2" x14ac:dyDescent="0.25">
      <c r="B218" s="39"/>
    </row>
    <row r="219" spans="2:2" x14ac:dyDescent="0.25">
      <c r="B219" s="39"/>
    </row>
    <row r="220" spans="2:2" x14ac:dyDescent="0.25">
      <c r="B220" s="39"/>
    </row>
    <row r="221" spans="2:2" x14ac:dyDescent="0.25">
      <c r="B221" s="39"/>
    </row>
    <row r="222" spans="2:2" x14ac:dyDescent="0.25">
      <c r="B222" s="39"/>
    </row>
    <row r="223" spans="2:2" x14ac:dyDescent="0.25">
      <c r="B223" s="39"/>
    </row>
    <row r="224" spans="2:2" x14ac:dyDescent="0.25">
      <c r="B224" s="39"/>
    </row>
    <row r="225" spans="2:2" x14ac:dyDescent="0.25">
      <c r="B225" s="39"/>
    </row>
    <row r="226" spans="2:2" x14ac:dyDescent="0.25">
      <c r="B226" s="39"/>
    </row>
    <row r="227" spans="2:2" x14ac:dyDescent="0.25">
      <c r="B227" s="39"/>
    </row>
    <row r="228" spans="2:2" x14ac:dyDescent="0.25">
      <c r="B228" s="39"/>
    </row>
    <row r="229" spans="2:2" x14ac:dyDescent="0.25">
      <c r="B229" s="39"/>
    </row>
    <row r="230" spans="2:2" x14ac:dyDescent="0.25">
      <c r="B230" s="39"/>
    </row>
    <row r="231" spans="2:2" x14ac:dyDescent="0.25">
      <c r="B231" s="39"/>
    </row>
    <row r="232" spans="2:2" x14ac:dyDescent="0.25">
      <c r="B232" s="39"/>
    </row>
    <row r="233" spans="2:2" x14ac:dyDescent="0.25">
      <c r="B233" s="39"/>
    </row>
    <row r="234" spans="2:2" x14ac:dyDescent="0.25">
      <c r="B234" s="39"/>
    </row>
    <row r="235" spans="2:2" x14ac:dyDescent="0.25">
      <c r="B235" s="39"/>
    </row>
    <row r="236" spans="2:2" x14ac:dyDescent="0.25">
      <c r="B236" s="39"/>
    </row>
    <row r="237" spans="2:2" x14ac:dyDescent="0.25">
      <c r="B237" s="39"/>
    </row>
    <row r="238" spans="2:2" x14ac:dyDescent="0.25">
      <c r="B238" s="39"/>
    </row>
    <row r="239" spans="2:2" x14ac:dyDescent="0.25">
      <c r="B239" s="39"/>
    </row>
    <row r="240" spans="2:2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topLeftCell="G1" zoomScale="80" zoomScaleNormal="80" workbookViewId="0">
      <selection activeCell="O20" sqref="O20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4"/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si="2">R4/D4-1</f>
        <v>-0.22550335570469804</v>
      </c>
      <c r="R4" s="33">
        <f t="shared" ref="R4:R67" si="3">mrigxl_stockquote(C4)</f>
        <v>1154</v>
      </c>
      <c r="S4" s="33">
        <f t="shared" ref="S4:S67" si="4">(MIN(F4,R4)-D4+G4)*E4</f>
        <v>-132440</v>
      </c>
      <c r="T4" s="7">
        <f t="shared" ref="T4:T67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si="2"/>
        <v>7.303974221267473E-2</v>
      </c>
      <c r="R5" s="33">
        <f t="shared" si="3"/>
        <v>49.95</v>
      </c>
      <c r="S5" s="33">
        <f t="shared" si="4"/>
        <v>-76999.999999999971</v>
      </c>
      <c r="T5" s="7">
        <f t="shared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si="2"/>
        <v>7.303974221267473E-2</v>
      </c>
      <c r="R6" s="33">
        <f t="shared" si="3"/>
        <v>49.95</v>
      </c>
      <c r="S6" s="33">
        <f t="shared" si="4"/>
        <v>-64349.999999999964</v>
      </c>
      <c r="T6" s="7">
        <f t="shared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si="2"/>
        <v>-0.21488540957567503</v>
      </c>
      <c r="R7" s="33">
        <f t="shared" si="3"/>
        <v>173</v>
      </c>
      <c r="S7" s="33">
        <f t="shared" si="4"/>
        <v>-112124.99999999999</v>
      </c>
      <c r="T7" s="7">
        <f t="shared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si="2"/>
        <v>-0.21488540957567503</v>
      </c>
      <c r="R8" s="33">
        <f t="shared" si="3"/>
        <v>173</v>
      </c>
      <c r="S8" s="33">
        <f t="shared" si="4"/>
        <v>-111375</v>
      </c>
      <c r="T8" s="7">
        <f t="shared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si="2"/>
        <v>0.24267827588688196</v>
      </c>
      <c r="R9" s="33">
        <f t="shared" si="3"/>
        <v>1726.95</v>
      </c>
      <c r="S9" s="33">
        <f t="shared" si="4"/>
        <v>-74820.000000000029</v>
      </c>
      <c r="T9" s="7">
        <f t="shared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si="2"/>
        <v>0.24267827588688196</v>
      </c>
      <c r="R10" s="33">
        <f t="shared" si="3"/>
        <v>1726.95</v>
      </c>
      <c r="S10" s="33">
        <f t="shared" si="4"/>
        <v>-61620.000000000029</v>
      </c>
      <c r="T10" s="7">
        <f t="shared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si="2"/>
        <v>-0.26147426981919331</v>
      </c>
      <c r="R11" s="33">
        <f t="shared" si="3"/>
        <v>531</v>
      </c>
      <c r="S11" s="33">
        <f t="shared" si="4"/>
        <v>-182950</v>
      </c>
      <c r="T11" s="7">
        <f t="shared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si="2"/>
        <v>-0.26147426981919331</v>
      </c>
      <c r="R12" s="33">
        <f t="shared" si="3"/>
        <v>531</v>
      </c>
      <c r="S12" s="33">
        <f t="shared" si="4"/>
        <v>-182000</v>
      </c>
      <c r="T12" s="7">
        <f t="shared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si="2"/>
        <v>-0.26147426981919331</v>
      </c>
      <c r="R13" s="33">
        <f t="shared" si="3"/>
        <v>531</v>
      </c>
      <c r="S13" s="33">
        <f t="shared" si="4"/>
        <v>-178750</v>
      </c>
      <c r="T13" s="7">
        <f t="shared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si="2"/>
        <v>-0.28536958095391296</v>
      </c>
      <c r="R14" s="33">
        <f t="shared" si="3"/>
        <v>444.25</v>
      </c>
      <c r="S14" s="33">
        <f t="shared" si="4"/>
        <v>-208079.99999999997</v>
      </c>
      <c r="T14" s="7">
        <f t="shared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si="2"/>
        <v>-0.28536958095391296</v>
      </c>
      <c r="R15" s="33">
        <f t="shared" si="3"/>
        <v>444.25</v>
      </c>
      <c r="S15" s="33">
        <f t="shared" si="4"/>
        <v>-206879.99999999997</v>
      </c>
      <c r="T15" s="7">
        <f t="shared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si="2"/>
        <v>-0.28536958095391296</v>
      </c>
      <c r="R16" s="33">
        <f t="shared" si="3"/>
        <v>444.25</v>
      </c>
      <c r="S16" s="33">
        <f t="shared" si="4"/>
        <v>-205079.99999999997</v>
      </c>
      <c r="T16" s="7">
        <f t="shared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si="2"/>
        <v>-0.55932203389830504</v>
      </c>
      <c r="R17" s="33">
        <f t="shared" si="3"/>
        <v>50.7</v>
      </c>
      <c r="S17" s="33">
        <f t="shared" si="4"/>
        <v>-246999.99999999997</v>
      </c>
      <c r="T17" s="7">
        <f t="shared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si="2"/>
        <v>-0.55932203389830504</v>
      </c>
      <c r="R18" s="33">
        <f t="shared" si="3"/>
        <v>50.7</v>
      </c>
      <c r="S18" s="33">
        <f t="shared" si="4"/>
        <v>-251799.99999999997</v>
      </c>
      <c r="T18" s="7">
        <f t="shared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si="2"/>
        <v>-0.55932203389830504</v>
      </c>
      <c r="R19" s="33">
        <f t="shared" si="3"/>
        <v>50.7</v>
      </c>
      <c r="S19" s="33">
        <f t="shared" si="4"/>
        <v>-247599.99999999997</v>
      </c>
      <c r="T19" s="7">
        <f t="shared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si="2"/>
        <v>-0.6505840528186897</v>
      </c>
      <c r="R20" s="33">
        <f t="shared" si="3"/>
        <v>34.4</v>
      </c>
      <c r="S20" s="33">
        <f t="shared" si="4"/>
        <v>-373200.00000000006</v>
      </c>
      <c r="T20" s="7">
        <f t="shared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si="2"/>
        <v>-0.6505840528186897</v>
      </c>
      <c r="R21" s="33">
        <f t="shared" si="3"/>
        <v>34.4</v>
      </c>
      <c r="S21" s="33">
        <f t="shared" si="4"/>
        <v>-369300.00000000006</v>
      </c>
      <c r="T21" s="7">
        <f t="shared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si="2"/>
        <v>-0.6505840528186897</v>
      </c>
      <c r="R22" s="33">
        <f t="shared" si="3"/>
        <v>34.4</v>
      </c>
      <c r="S22" s="33">
        <f t="shared" si="4"/>
        <v>-374100.00000000006</v>
      </c>
      <c r="T22" s="7">
        <f t="shared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si="2"/>
        <v>-0.6505840528186897</v>
      </c>
      <c r="R23" s="33">
        <f t="shared" si="3"/>
        <v>34.4</v>
      </c>
      <c r="S23" s="33">
        <f t="shared" si="4"/>
        <v>-371100.00000000006</v>
      </c>
      <c r="T23" s="7">
        <f t="shared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si="2"/>
        <v>-0.6505840528186897</v>
      </c>
      <c r="R24" s="33">
        <f t="shared" si="3"/>
        <v>34.4</v>
      </c>
      <c r="S24" s="33">
        <f t="shared" si="4"/>
        <v>-367800.00000000006</v>
      </c>
      <c r="T24" s="7">
        <f t="shared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si="2"/>
        <v>0.11185098533249338</v>
      </c>
      <c r="R25" s="33">
        <f t="shared" si="3"/>
        <v>1235.5999999999999</v>
      </c>
      <c r="S25" s="33">
        <f t="shared" si="4"/>
        <v>-77879.999999999985</v>
      </c>
      <c r="T25" s="7">
        <f t="shared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si="2"/>
        <v>0.11185098533249338</v>
      </c>
      <c r="R26" s="33">
        <f t="shared" si="3"/>
        <v>1235.5999999999999</v>
      </c>
      <c r="S26" s="33">
        <f t="shared" si="4"/>
        <v>-54614.999999999978</v>
      </c>
      <c r="T26" s="7">
        <f t="shared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si="2"/>
        <v>-0.18047673098751416</v>
      </c>
      <c r="R27" s="33">
        <f t="shared" si="3"/>
        <v>72.2</v>
      </c>
      <c r="S27" s="33">
        <f t="shared" si="4"/>
        <v>-89999.999999999942</v>
      </c>
      <c r="T27" s="7">
        <f t="shared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si="2"/>
        <v>-0.18047673098751416</v>
      </c>
      <c r="R28" s="33">
        <f t="shared" si="3"/>
        <v>72.2</v>
      </c>
      <c r="S28" s="33">
        <f t="shared" si="4"/>
        <v>-85199.999999999956</v>
      </c>
      <c r="T28" s="7">
        <f t="shared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si="2"/>
        <v>-0.1847905744404984</v>
      </c>
      <c r="R29" s="33">
        <f t="shared" si="3"/>
        <v>723.05</v>
      </c>
      <c r="S29" s="33">
        <f t="shared" si="4"/>
        <v>-109130.00000000006</v>
      </c>
      <c r="T29" s="7">
        <f t="shared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si="2"/>
        <v>-0.1847905744404984</v>
      </c>
      <c r="R30" s="33">
        <f t="shared" si="3"/>
        <v>723.05</v>
      </c>
      <c r="S30" s="33">
        <f t="shared" si="4"/>
        <v>-99330.000000000058</v>
      </c>
      <c r="T30" s="7">
        <f t="shared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si="2"/>
        <v>0.56796628029504737</v>
      </c>
      <c r="R31" s="33">
        <f t="shared" si="3"/>
        <v>520.79999999999995</v>
      </c>
      <c r="S31" s="33">
        <f t="shared" si="4"/>
        <v>-88549.999999999956</v>
      </c>
      <c r="T31" s="7">
        <f t="shared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si="2"/>
        <v>0.56796628029504737</v>
      </c>
      <c r="R32" s="33">
        <f t="shared" si="3"/>
        <v>520.79999999999995</v>
      </c>
      <c r="S32" s="33">
        <f t="shared" si="4"/>
        <v>-64349.999999999956</v>
      </c>
      <c r="T32" s="7">
        <f t="shared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si="2"/>
        <v>0.72130081300812998</v>
      </c>
      <c r="R33" s="33">
        <f t="shared" si="3"/>
        <v>529.29999999999995</v>
      </c>
      <c r="S33" s="33">
        <f t="shared" si="4"/>
        <v>-70550</v>
      </c>
      <c r="T33" s="7">
        <f t="shared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si="2"/>
        <v>0.72130081300812998</v>
      </c>
      <c r="R34" s="33">
        <f t="shared" si="3"/>
        <v>529.29999999999995</v>
      </c>
      <c r="S34" s="33">
        <f t="shared" si="4"/>
        <v>-57800</v>
      </c>
      <c r="T34" s="7">
        <f t="shared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si="2"/>
        <v>-0.6752688172043011</v>
      </c>
      <c r="R35" s="33">
        <f t="shared" si="3"/>
        <v>22.65</v>
      </c>
      <c r="S35" s="33">
        <f t="shared" si="4"/>
        <v>-349500</v>
      </c>
      <c r="T35" s="7">
        <f t="shared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si="2"/>
        <v>-0.6752688172043011</v>
      </c>
      <c r="R36" s="33">
        <f t="shared" si="3"/>
        <v>22.65</v>
      </c>
      <c r="S36" s="33">
        <f t="shared" si="4"/>
        <v>-346875</v>
      </c>
      <c r="T36" s="7">
        <f t="shared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si="2"/>
        <v>-0.6752688172043011</v>
      </c>
      <c r="R37" s="33">
        <f t="shared" si="3"/>
        <v>22.65</v>
      </c>
      <c r="S37" s="33">
        <f t="shared" si="4"/>
        <v>-343125</v>
      </c>
      <c r="T37" s="7">
        <f t="shared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si="2"/>
        <v>-2.6178709763590269E-2</v>
      </c>
      <c r="R38" s="33">
        <f t="shared" si="3"/>
        <v>364.55</v>
      </c>
      <c r="S38" s="33">
        <f t="shared" si="4"/>
        <v>-92250.000000000044</v>
      </c>
      <c r="T38" s="7">
        <f t="shared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si="2"/>
        <v>-2.6178709763590269E-2</v>
      </c>
      <c r="R39" s="33">
        <f t="shared" si="3"/>
        <v>364.55</v>
      </c>
      <c r="S39" s="33">
        <f t="shared" si="4"/>
        <v>-70110.000000000044</v>
      </c>
      <c r="T39" s="7">
        <f t="shared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si="2"/>
        <v>-2.6178709763590269E-2</v>
      </c>
      <c r="R40" s="33">
        <f t="shared" si="3"/>
        <v>364.55</v>
      </c>
      <c r="S40" s="33">
        <f t="shared" si="4"/>
        <v>-47250.000000000036</v>
      </c>
      <c r="T40" s="7">
        <f t="shared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si="2"/>
        <v>-2.6178709763590269E-2</v>
      </c>
      <c r="R41" s="33">
        <f t="shared" si="3"/>
        <v>364.55</v>
      </c>
      <c r="S41" s="33">
        <f t="shared" si="4"/>
        <v>-25830.00000000004</v>
      </c>
      <c r="T41" s="7">
        <f t="shared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si="2"/>
        <v>2.8265963678969053E-2</v>
      </c>
      <c r="R42" s="33">
        <f t="shared" si="3"/>
        <v>351.05</v>
      </c>
      <c r="S42" s="33">
        <f t="shared" si="4"/>
        <v>-43999.999999999964</v>
      </c>
      <c r="T42" s="7">
        <f t="shared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si="2"/>
        <v>2.8265963678969053E-2</v>
      </c>
      <c r="R43" s="33">
        <f t="shared" si="3"/>
        <v>351.05</v>
      </c>
      <c r="S43" s="33">
        <f t="shared" si="4"/>
        <v>-25999.999999999967</v>
      </c>
      <c r="T43" s="7">
        <f t="shared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si="2"/>
        <v>-0.65971830985915503</v>
      </c>
      <c r="R44" s="33">
        <f t="shared" si="3"/>
        <v>90.6</v>
      </c>
      <c r="S44" s="33">
        <f t="shared" si="4"/>
        <v>-336200</v>
      </c>
      <c r="T44" s="7">
        <f t="shared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si="2"/>
        <v>-0.65971830985915503</v>
      </c>
      <c r="R45" s="33">
        <f t="shared" si="3"/>
        <v>90.6</v>
      </c>
      <c r="S45" s="33">
        <f t="shared" si="4"/>
        <v>-333500</v>
      </c>
      <c r="T45" s="7">
        <f t="shared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si="2"/>
        <v>-0.65971830985915503</v>
      </c>
      <c r="R46" s="33">
        <f t="shared" si="3"/>
        <v>90.6</v>
      </c>
      <c r="S46" s="33">
        <f t="shared" si="4"/>
        <v>-330500</v>
      </c>
      <c r="T46" s="7">
        <f t="shared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si="2"/>
        <v>-0.65971830985915503</v>
      </c>
      <c r="R47" s="33">
        <f t="shared" si="3"/>
        <v>90.6</v>
      </c>
      <c r="S47" s="33">
        <f t="shared" si="4"/>
        <v>-346800</v>
      </c>
      <c r="T47" s="7">
        <f t="shared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si="2"/>
        <v>-0.65971830985915503</v>
      </c>
      <c r="R48" s="33">
        <f t="shared" si="3"/>
        <v>90.6</v>
      </c>
      <c r="S48" s="33">
        <f t="shared" si="4"/>
        <v>-345300</v>
      </c>
      <c r="T48" s="7">
        <f t="shared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si="2"/>
        <v>-0.65971830985915503</v>
      </c>
      <c r="R49" s="33">
        <f t="shared" si="3"/>
        <v>90.6</v>
      </c>
      <c r="S49" s="33">
        <f t="shared" si="4"/>
        <v>-318700</v>
      </c>
      <c r="T49" s="7">
        <f t="shared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si="2"/>
        <v>-0.65971830985915503</v>
      </c>
      <c r="R50" s="33">
        <f t="shared" si="3"/>
        <v>90.6</v>
      </c>
      <c r="S50" s="33">
        <f t="shared" si="4"/>
        <v>-341100</v>
      </c>
      <c r="T50" s="7">
        <f t="shared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si="2"/>
        <v>-0.65971830985915503</v>
      </c>
      <c r="R51" s="33">
        <f t="shared" si="3"/>
        <v>90.6</v>
      </c>
      <c r="S51" s="33">
        <f t="shared" si="4"/>
        <v>-309700</v>
      </c>
      <c r="T51" s="7">
        <f t="shared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si="2"/>
        <v>-2.010676156583624E-2</v>
      </c>
      <c r="R52" s="33">
        <f t="shared" si="3"/>
        <v>275.35000000000002</v>
      </c>
      <c r="S52" s="33">
        <f t="shared" si="4"/>
        <v>-34375</v>
      </c>
      <c r="T52" s="7">
        <f t="shared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si="2"/>
        <v>-0.63319638455217753</v>
      </c>
      <c r="R53" s="33">
        <f t="shared" si="3"/>
        <v>334.8</v>
      </c>
      <c r="S53" s="33">
        <f t="shared" si="4"/>
        <v>-339270</v>
      </c>
      <c r="T53" s="7">
        <f t="shared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si="2"/>
        <v>5.6518462697814575E-2</v>
      </c>
      <c r="R54" s="33">
        <f t="shared" si="3"/>
        <v>1402</v>
      </c>
      <c r="S54" s="33">
        <f t="shared" si="4"/>
        <v>-62300</v>
      </c>
      <c r="T54" s="7">
        <f t="shared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si="2"/>
        <v>0.12887420237010039</v>
      </c>
      <c r="R55" s="33">
        <f t="shared" si="3"/>
        <v>495.35</v>
      </c>
      <c r="S55" s="33">
        <f t="shared" si="4"/>
        <v>-43625.000000000015</v>
      </c>
      <c r="T55" s="7">
        <f t="shared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si="2"/>
        <v>-0.47333333333333327</v>
      </c>
      <c r="R56" s="33">
        <f t="shared" si="3"/>
        <v>86.9</v>
      </c>
      <c r="S56" s="33">
        <f t="shared" si="4"/>
        <v>-339299.99999999994</v>
      </c>
      <c r="T56" s="7">
        <f t="shared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si="2"/>
        <v>0.61659238249594805</v>
      </c>
      <c r="R57" s="33">
        <f t="shared" si="3"/>
        <v>2393.85</v>
      </c>
      <c r="S57" s="33">
        <f t="shared" si="4"/>
        <v>-42319.999999999985</v>
      </c>
      <c r="T57" s="7">
        <f t="shared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si="2"/>
        <v>-0.24345269909139489</v>
      </c>
      <c r="R58" s="33">
        <f t="shared" si="3"/>
        <v>141.55000000000001</v>
      </c>
      <c r="S58" s="33">
        <f t="shared" si="4"/>
        <v>-113879.99999999996</v>
      </c>
      <c r="T58" s="7">
        <f t="shared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si="2"/>
        <v>-0.24345269909139489</v>
      </c>
      <c r="R59" s="33">
        <f t="shared" si="3"/>
        <v>141.55000000000001</v>
      </c>
      <c r="S59" s="33">
        <f t="shared" si="4"/>
        <v>-111539.99999999996</v>
      </c>
      <c r="T59" s="7">
        <f t="shared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si="2"/>
        <v>-0.24345269909139489</v>
      </c>
      <c r="R60" s="33">
        <f t="shared" si="3"/>
        <v>141.55000000000001</v>
      </c>
      <c r="S60" s="33">
        <f t="shared" si="4"/>
        <v>-107379.99999999996</v>
      </c>
      <c r="T60" s="7">
        <f t="shared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si="2"/>
        <v>0.47868764286674748</v>
      </c>
      <c r="R61" s="33">
        <f t="shared" si="3"/>
        <v>3848.95</v>
      </c>
      <c r="S61" s="33">
        <f t="shared" si="4"/>
        <v>-78424.999999999956</v>
      </c>
      <c r="T61" s="7">
        <f t="shared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si="2"/>
        <v>0.47868764286674748</v>
      </c>
      <c r="R62" s="33">
        <f t="shared" si="3"/>
        <v>3848.95</v>
      </c>
      <c r="S62" s="33">
        <f t="shared" si="4"/>
        <v>-71149.999999999942</v>
      </c>
      <c r="T62" s="7">
        <f t="shared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si="2"/>
        <v>0.47868764286674748</v>
      </c>
      <c r="R63" s="33">
        <f t="shared" si="3"/>
        <v>3848.95</v>
      </c>
      <c r="S63" s="33">
        <f t="shared" si="4"/>
        <v>-50737.499999999956</v>
      </c>
      <c r="T63" s="7">
        <f t="shared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si="2"/>
        <v>0.47868764286674748</v>
      </c>
      <c r="R64" s="33">
        <f t="shared" si="3"/>
        <v>3848.95</v>
      </c>
      <c r="S64" s="33">
        <f t="shared" si="4"/>
        <v>-41237.499999999956</v>
      </c>
      <c r="T64" s="7">
        <f t="shared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si="2"/>
        <v>-0.45203252032520325</v>
      </c>
      <c r="R65" s="33">
        <f t="shared" si="3"/>
        <v>67.400000000000006</v>
      </c>
      <c r="S65" s="33">
        <f t="shared" si="4"/>
        <v>-222219.99999999997</v>
      </c>
      <c r="T65" s="7">
        <f t="shared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si="2"/>
        <v>9.7698209718670048E-2</v>
      </c>
      <c r="R66" s="33">
        <f t="shared" si="3"/>
        <v>751.1</v>
      </c>
      <c r="S66" s="33">
        <f t="shared" si="4"/>
        <v>-111595</v>
      </c>
      <c r="T66" s="7">
        <f t="shared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si="2"/>
        <v>9.7698209718670048E-2</v>
      </c>
      <c r="R67" s="33">
        <f t="shared" si="3"/>
        <v>751.1</v>
      </c>
      <c r="S67" s="33">
        <f t="shared" si="4"/>
        <v>-82225</v>
      </c>
      <c r="T67" s="7">
        <f t="shared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si="9">R68/D68-1</f>
        <v>9.7698209718670048E-2</v>
      </c>
      <c r="R68" s="33">
        <f t="shared" ref="R68:R121" si="10">mrigxl_stockquote(C68)</f>
        <v>751.1</v>
      </c>
      <c r="S68" s="33">
        <f t="shared" ref="S68:S121" si="11">(MIN(F68,R68)-D68+G68)*E68</f>
        <v>-83985</v>
      </c>
      <c r="T68" s="7">
        <f t="shared" ref="T68:T12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si="9"/>
        <v>9.7698209718670048E-2</v>
      </c>
      <c r="R69" s="33">
        <f t="shared" si="10"/>
        <v>751.1</v>
      </c>
      <c r="S69" s="33">
        <f t="shared" si="11"/>
        <v>-59675</v>
      </c>
      <c r="T69" s="7">
        <f t="shared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si="9"/>
        <v>9.7698209718670048E-2</v>
      </c>
      <c r="R70" s="33">
        <f t="shared" si="10"/>
        <v>751.1</v>
      </c>
      <c r="S70" s="33">
        <f t="shared" si="11"/>
        <v>17654.999999999996</v>
      </c>
      <c r="T70" s="7">
        <f t="shared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si="9"/>
        <v>-0.53684776761699848</v>
      </c>
      <c r="R71" s="33">
        <f t="shared" si="10"/>
        <v>43.05</v>
      </c>
      <c r="S71" s="33">
        <f t="shared" si="11"/>
        <v>-344050.00000000006</v>
      </c>
      <c r="T71" s="7">
        <f t="shared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si="9"/>
        <v>-0.53684776761699848</v>
      </c>
      <c r="R72" s="33">
        <f t="shared" si="10"/>
        <v>43.05</v>
      </c>
      <c r="S72" s="33">
        <f t="shared" si="11"/>
        <v>-334600.00000000006</v>
      </c>
      <c r="T72" s="7">
        <f t="shared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si="9"/>
        <v>-0.74413892908827783</v>
      </c>
      <c r="R73" s="33">
        <f t="shared" si="10"/>
        <v>88.4</v>
      </c>
      <c r="S73" s="33">
        <f t="shared" si="11"/>
        <v>-680351.70000000007</v>
      </c>
      <c r="T73" s="7">
        <f t="shared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si="9"/>
        <v>-0.49988816819503468</v>
      </c>
      <c r="R74" s="33">
        <f t="shared" si="10"/>
        <v>335.4</v>
      </c>
      <c r="S74" s="33">
        <f t="shared" si="11"/>
        <v>-330000</v>
      </c>
      <c r="T74" s="7">
        <f t="shared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si="9"/>
        <v>-0.49988816819503468</v>
      </c>
      <c r="R75" s="33">
        <f t="shared" si="10"/>
        <v>335.4</v>
      </c>
      <c r="S75" s="33">
        <f t="shared" si="11"/>
        <v>-323500</v>
      </c>
      <c r="T75" s="7">
        <f t="shared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si="9"/>
        <v>0.10094637223974767</v>
      </c>
      <c r="R76" s="33">
        <f t="shared" si="10"/>
        <v>17.45</v>
      </c>
      <c r="S76" s="33">
        <f t="shared" si="11"/>
        <v>-74249.999999999985</v>
      </c>
      <c r="T76" s="7">
        <f t="shared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si="9"/>
        <v>-0.31188725490196079</v>
      </c>
      <c r="R77" s="33">
        <f t="shared" si="10"/>
        <v>561.5</v>
      </c>
      <c r="S77" s="33">
        <f t="shared" si="11"/>
        <v>-188250</v>
      </c>
      <c r="T77" s="7">
        <f t="shared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si="9"/>
        <v>-0.18249601853192421</v>
      </c>
      <c r="R78" s="33">
        <f t="shared" si="10"/>
        <v>564.65</v>
      </c>
      <c r="S78" s="33">
        <f t="shared" si="11"/>
        <v>-117050.00000000007</v>
      </c>
      <c r="T78" s="7">
        <f t="shared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si="9"/>
        <v>-0.46368715083798884</v>
      </c>
      <c r="R79" s="33">
        <f t="shared" si="10"/>
        <v>120</v>
      </c>
      <c r="S79" s="33">
        <f t="shared" si="11"/>
        <v>-358925</v>
      </c>
      <c r="T79" s="7">
        <f t="shared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si="9"/>
        <v>-0.46368715083798884</v>
      </c>
      <c r="R80" s="33">
        <f t="shared" si="10"/>
        <v>120</v>
      </c>
      <c r="S80" s="33">
        <f t="shared" si="11"/>
        <v>-356825</v>
      </c>
      <c r="T80" s="7">
        <f t="shared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si="9"/>
        <v>-0.46368715083798884</v>
      </c>
      <c r="R81" s="33">
        <f t="shared" si="10"/>
        <v>120</v>
      </c>
      <c r="S81" s="33">
        <f t="shared" si="11"/>
        <v>-354375</v>
      </c>
      <c r="T81" s="7">
        <f t="shared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si="9"/>
        <v>-0.13114754098360648</v>
      </c>
      <c r="R82" s="33">
        <f t="shared" si="10"/>
        <v>217.3</v>
      </c>
      <c r="S82" s="33">
        <f t="shared" si="11"/>
        <v>-116969.99999999999</v>
      </c>
      <c r="T82" s="7">
        <f t="shared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si="9"/>
        <v>-0.13114754098360648</v>
      </c>
      <c r="R83" s="33">
        <f t="shared" si="10"/>
        <v>217.3</v>
      </c>
      <c r="S83" s="33">
        <f t="shared" si="11"/>
        <v>-79694.999999999985</v>
      </c>
      <c r="T83" s="7">
        <f t="shared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si="9"/>
        <v>-0.13114754098360648</v>
      </c>
      <c r="R84" s="33">
        <f t="shared" si="10"/>
        <v>217.3</v>
      </c>
      <c r="S84" s="33">
        <f t="shared" si="11"/>
        <v>-46724.999999999985</v>
      </c>
      <c r="T84" s="7">
        <f t="shared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si="9"/>
        <v>-0.13114754098360648</v>
      </c>
      <c r="R85" s="33">
        <f t="shared" si="10"/>
        <v>217.3</v>
      </c>
      <c r="S85" s="33">
        <f t="shared" si="11"/>
        <v>-61004.999999999964</v>
      </c>
      <c r="T85" s="7">
        <f t="shared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si="9"/>
        <v>-0.13114754098360648</v>
      </c>
      <c r="R86" s="33">
        <f t="shared" si="10"/>
        <v>217.3</v>
      </c>
      <c r="S86" s="33">
        <f t="shared" si="11"/>
        <v>-57854.999999999964</v>
      </c>
      <c r="T86" s="7">
        <f t="shared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si="9"/>
        <v>-2.1264610618222823E-2</v>
      </c>
      <c r="R87" s="33">
        <f t="shared" si="10"/>
        <v>347.5</v>
      </c>
      <c r="S87" s="33">
        <f t="shared" si="11"/>
        <v>-104637.50000000003</v>
      </c>
      <c r="T87" s="7">
        <f t="shared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si="9"/>
        <v>-2.1264610618222823E-2</v>
      </c>
      <c r="R88" s="33">
        <f t="shared" si="10"/>
        <v>347.5</v>
      </c>
      <c r="S88" s="33">
        <f t="shared" si="11"/>
        <v>-88825.000000000029</v>
      </c>
      <c r="T88" s="7">
        <f t="shared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si="9"/>
        <v>-0.6585563665855636</v>
      </c>
      <c r="R89" s="33">
        <f t="shared" si="10"/>
        <v>21.05</v>
      </c>
      <c r="S89" s="33">
        <f t="shared" si="11"/>
        <v>-401999.99999999994</v>
      </c>
      <c r="T89" s="7">
        <f t="shared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si="9"/>
        <v>-0.6585563665855636</v>
      </c>
      <c r="R90" s="33">
        <f t="shared" si="10"/>
        <v>21.05</v>
      </c>
      <c r="S90" s="33">
        <f t="shared" si="11"/>
        <v>-401999.99999999994</v>
      </c>
      <c r="T90" s="7">
        <f t="shared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si="9"/>
        <v>-0.88466579292267367</v>
      </c>
      <c r="R91" s="33">
        <f t="shared" si="10"/>
        <v>4.4000000000000004</v>
      </c>
      <c r="S91" s="33">
        <f t="shared" si="11"/>
        <v>-399599.99999999994</v>
      </c>
      <c r="T91" s="7">
        <f t="shared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si="9"/>
        <v>-0.88466579292267367</v>
      </c>
      <c r="R92" s="33">
        <f t="shared" si="10"/>
        <v>4.4000000000000004</v>
      </c>
      <c r="S92" s="33">
        <f t="shared" si="11"/>
        <v>-398400.00000000006</v>
      </c>
      <c r="T92" s="7">
        <f t="shared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si="9"/>
        <v>-0.88466579292267367</v>
      </c>
      <c r="R93" s="33">
        <f t="shared" si="10"/>
        <v>4.4000000000000004</v>
      </c>
      <c r="S93" s="33">
        <f t="shared" si="11"/>
        <v>-397200</v>
      </c>
      <c r="T93" s="7">
        <f t="shared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si="9"/>
        <v>-0.88466579292267367</v>
      </c>
      <c r="R94" s="33">
        <f t="shared" si="10"/>
        <v>4.4000000000000004</v>
      </c>
      <c r="S94" s="33">
        <f t="shared" si="11"/>
        <v>-394200</v>
      </c>
      <c r="T94" s="7">
        <f t="shared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si="9"/>
        <v>-0.88466579292267367</v>
      </c>
      <c r="R95" s="33">
        <f t="shared" si="10"/>
        <v>4.4000000000000004</v>
      </c>
      <c r="S95" s="33">
        <f t="shared" si="11"/>
        <v>-390000</v>
      </c>
      <c r="T95" s="7">
        <f t="shared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si="9"/>
        <v>-0.63360560093348894</v>
      </c>
      <c r="R96" s="33">
        <f t="shared" si="10"/>
        <v>15.7</v>
      </c>
      <c r="S96" s="33">
        <f t="shared" si="11"/>
        <v>-350460</v>
      </c>
      <c r="T96" s="7">
        <f t="shared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si="9"/>
        <v>-0.63360560093348894</v>
      </c>
      <c r="R97" s="33">
        <f t="shared" si="10"/>
        <v>15.7</v>
      </c>
      <c r="S97" s="33">
        <f t="shared" si="11"/>
        <v>-349800.00000000006</v>
      </c>
      <c r="T97" s="7">
        <f t="shared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si="9"/>
        <v>-0.71134020618556704</v>
      </c>
      <c r="R98" s="33">
        <f t="shared" si="10"/>
        <v>4.2</v>
      </c>
      <c r="S98" s="33">
        <f t="shared" si="11"/>
        <v>-351750</v>
      </c>
      <c r="T98" s="7">
        <f t="shared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si="9"/>
        <v>0.73032629558541262</v>
      </c>
      <c r="R99" s="33">
        <f t="shared" si="10"/>
        <v>450.75</v>
      </c>
      <c r="S99" s="33">
        <f t="shared" si="11"/>
        <v>-48812.5</v>
      </c>
      <c r="T99" s="7">
        <f t="shared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si="9"/>
        <v>0.14942528735632177</v>
      </c>
      <c r="R100" s="33">
        <f t="shared" si="10"/>
        <v>110</v>
      </c>
      <c r="S100" s="33">
        <f t="shared" si="11"/>
        <v>-65700.000000000015</v>
      </c>
      <c r="T100" s="7">
        <f t="shared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si="9"/>
        <v>0.14942528735632177</v>
      </c>
      <c r="R101" s="33">
        <f t="shared" si="10"/>
        <v>110</v>
      </c>
      <c r="S101" s="33">
        <f t="shared" si="11"/>
        <v>-39600.000000000015</v>
      </c>
      <c r="T101" s="7">
        <f t="shared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si="9"/>
        <v>0.14942528735632177</v>
      </c>
      <c r="R102" s="33">
        <f t="shared" si="10"/>
        <v>110</v>
      </c>
      <c r="S102" s="33">
        <f t="shared" si="11"/>
        <v>-11250.000000000013</v>
      </c>
      <c r="T102" s="7">
        <f t="shared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si="9"/>
        <v>-0.80364626990779553</v>
      </c>
      <c r="R103" s="33">
        <f t="shared" si="10"/>
        <v>46.85</v>
      </c>
      <c r="S103" s="33">
        <f t="shared" si="11"/>
        <v>-379500</v>
      </c>
      <c r="T103" s="7">
        <f t="shared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si="9"/>
        <v>-0.80364626990779553</v>
      </c>
      <c r="R104" s="33">
        <f t="shared" si="10"/>
        <v>46.85</v>
      </c>
      <c r="S104" s="33">
        <f t="shared" si="11"/>
        <v>-375900</v>
      </c>
      <c r="T104" s="7">
        <f t="shared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si="9"/>
        <v>-0.38841201716738205</v>
      </c>
      <c r="R105" s="33">
        <f t="shared" si="10"/>
        <v>85.5</v>
      </c>
      <c r="S105" s="33">
        <f t="shared" si="11"/>
        <v>-186900.00000000006</v>
      </c>
      <c r="T105" s="7">
        <f t="shared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si="9"/>
        <v>-0.55134328358208951</v>
      </c>
      <c r="R106" s="33">
        <f t="shared" si="10"/>
        <v>75.150000000000006</v>
      </c>
      <c r="S106" s="33">
        <f t="shared" si="11"/>
        <v>-288960</v>
      </c>
      <c r="T106" s="7">
        <f t="shared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si="9"/>
        <v>-0.55134328358208951</v>
      </c>
      <c r="R107" s="33">
        <f t="shared" si="10"/>
        <v>75.150000000000006</v>
      </c>
      <c r="S107" s="33">
        <f t="shared" si="11"/>
        <v>-285920</v>
      </c>
      <c r="T107" s="7">
        <f t="shared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si="9"/>
        <v>-0.55134328358208951</v>
      </c>
      <c r="R108" s="33">
        <f t="shared" si="10"/>
        <v>75.150000000000006</v>
      </c>
      <c r="S108" s="33">
        <f t="shared" si="11"/>
        <v>-282560</v>
      </c>
      <c r="T108" s="7">
        <f t="shared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si="9"/>
        <v>-0.9241035856573705</v>
      </c>
      <c r="R109" s="33">
        <f t="shared" si="10"/>
        <v>19.05</v>
      </c>
      <c r="S109" s="33">
        <f t="shared" si="11"/>
        <v>-494890</v>
      </c>
      <c r="T109" s="7">
        <f t="shared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si="9"/>
        <v>-0.42835365853658536</v>
      </c>
      <c r="R110" s="33">
        <f t="shared" si="10"/>
        <v>93.75</v>
      </c>
      <c r="S110" s="33">
        <f t="shared" si="11"/>
        <v>-152437.5</v>
      </c>
      <c r="T110" s="7">
        <f t="shared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si="9"/>
        <v>-0.42835365853658536</v>
      </c>
      <c r="R111" s="33">
        <f t="shared" si="10"/>
        <v>93.75</v>
      </c>
      <c r="S111" s="33">
        <f t="shared" si="11"/>
        <v>-147825</v>
      </c>
      <c r="T111" s="7">
        <f t="shared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si="9"/>
        <v>-0.9376359680928209</v>
      </c>
      <c r="R112" s="33">
        <f t="shared" si="10"/>
        <v>4.3</v>
      </c>
      <c r="S112" s="33">
        <f t="shared" si="11"/>
        <v>-570600</v>
      </c>
      <c r="T112" s="7">
        <f t="shared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si="9"/>
        <v>-0.9376359680928209</v>
      </c>
      <c r="R113" s="33">
        <f t="shared" si="10"/>
        <v>4.3</v>
      </c>
      <c r="S113" s="33">
        <f t="shared" si="11"/>
        <v>-566100</v>
      </c>
      <c r="T113" s="7">
        <f t="shared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si="9"/>
        <v>-0.9376359680928209</v>
      </c>
      <c r="R114" s="33">
        <f t="shared" si="10"/>
        <v>4.3</v>
      </c>
      <c r="S114" s="33">
        <f t="shared" si="11"/>
        <v>-566100</v>
      </c>
      <c r="T114" s="7">
        <f t="shared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si="9"/>
        <v>-0.9376359680928209</v>
      </c>
      <c r="R115" s="33">
        <f t="shared" si="10"/>
        <v>4.3</v>
      </c>
      <c r="S115" s="33">
        <f t="shared" si="11"/>
        <v>-554850</v>
      </c>
      <c r="T115" s="7">
        <f t="shared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si="9"/>
        <v>1.624592833876215E-2</v>
      </c>
      <c r="R116" s="33">
        <f t="shared" si="10"/>
        <v>1247.95</v>
      </c>
      <c r="S116" s="33">
        <f t="shared" si="11"/>
        <v>-124800</v>
      </c>
      <c r="T116" s="7">
        <f t="shared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si="9"/>
        <v>1.624592833876215E-2</v>
      </c>
      <c r="R117" s="33">
        <f t="shared" si="10"/>
        <v>1247.95</v>
      </c>
      <c r="S117" s="33">
        <f t="shared" si="11"/>
        <v>-112040.00000000001</v>
      </c>
      <c r="T117" s="7">
        <f t="shared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si="9"/>
        <v>1.624592833876215E-2</v>
      </c>
      <c r="R118" s="33">
        <f t="shared" si="10"/>
        <v>1247.95</v>
      </c>
      <c r="S118" s="33">
        <f t="shared" si="11"/>
        <v>-94720</v>
      </c>
      <c r="T118" s="7">
        <f t="shared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si="9"/>
        <v>#VALUE!</v>
      </c>
      <c r="R119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si="11"/>
        <v>-47700.000000000022</v>
      </c>
      <c r="T119" s="7">
        <f t="shared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si="9"/>
        <v>-0.59002770083102496</v>
      </c>
      <c r="R120" s="33">
        <f t="shared" si="10"/>
        <v>44.4</v>
      </c>
      <c r="S120" s="33">
        <f t="shared" si="11"/>
        <v>-289755</v>
      </c>
      <c r="T120" s="7">
        <f t="shared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si="9"/>
        <v>-1.5761312085611379E-2</v>
      </c>
      <c r="R121" s="33">
        <f t="shared" si="10"/>
        <v>846.15</v>
      </c>
      <c r="S121" s="33">
        <f t="shared" si="11"/>
        <v>-80360.000000000029</v>
      </c>
      <c r="T121" s="7">
        <f t="shared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zoomScale="80" zoomScaleNormal="80" workbookViewId="0">
      <pane ySplit="3" topLeftCell="A4" activePane="bottomLeft" state="frozen"/>
      <selection pane="bottomLeft" activeCell="B4" sqref="B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59" t="s">
        <v>1891</v>
      </c>
      <c r="B1" s="64" t="s">
        <v>1853</v>
      </c>
      <c r="C1" s="6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40" t="b">
        <v>0</v>
      </c>
      <c r="B2" s="65"/>
      <c r="C2" s="6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66" t="s">
        <v>1851</v>
      </c>
      <c r="U2" s="68"/>
      <c r="V2" s="66" t="s">
        <v>1849</v>
      </c>
      <c r="W2" s="67"/>
      <c r="X2" s="67"/>
      <c r="Y2" s="68"/>
      <c r="Z2" s="66" t="s">
        <v>1850</v>
      </c>
      <c r="AA2" s="67"/>
      <c r="AB2" s="67"/>
      <c r="AC2" s="68"/>
      <c r="AD2" s="1"/>
      <c r="AE2" s="1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1858</v>
      </c>
      <c r="G3" s="19" t="s">
        <v>1859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1856</v>
      </c>
      <c r="S3" s="19" t="s">
        <v>1857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28" t="str">
        <f ca="1">B3</f>
        <v>Expiry</v>
      </c>
    </row>
    <row r="4" spans="1:39" x14ac:dyDescent="0.25">
      <c r="A4" s="1"/>
      <c r="B4" s="25">
        <v>43979</v>
      </c>
      <c r="C4" s="10" t="s">
        <v>48</v>
      </c>
      <c r="D4" s="1">
        <v>141.4</v>
      </c>
      <c r="E4" s="30">
        <v>4000</v>
      </c>
      <c r="F4" s="1">
        <v>150</v>
      </c>
      <c r="G4" s="1">
        <v>9.75</v>
      </c>
      <c r="H4" s="1">
        <v>155</v>
      </c>
      <c r="I4" s="1">
        <v>8.3000000000000007</v>
      </c>
      <c r="J4" s="1">
        <v>8000</v>
      </c>
      <c r="K4" s="1">
        <v>4000</v>
      </c>
      <c r="L4" s="1">
        <v>7.4</v>
      </c>
      <c r="M4" s="1">
        <v>8.25</v>
      </c>
      <c r="N4" s="1">
        <v>28000</v>
      </c>
      <c r="O4" s="9"/>
      <c r="P4" s="7">
        <f ca="1">($G4-$I4)/($F4-$H4)</f>
        <v>-0.28999999999999987</v>
      </c>
      <c r="Q4" s="7">
        <f t="shared" ref="Q4" ca="1" si="0">P4/($B4-TODAY())</f>
        <v>-1.1599999999999994E-2</v>
      </c>
      <c r="R4" s="33">
        <f t="shared" ref="R4:R67" ca="1" si="1">$E4*($G4-$I4)</f>
        <v>5799.9999999999973</v>
      </c>
      <c r="S4" s="33">
        <f t="shared" ref="S4:S67" ca="1" si="2">-(($H4-$F4)*$E4-$R4)</f>
        <v>-14200.000000000004</v>
      </c>
      <c r="T4" s="33">
        <f t="shared" ref="T4" ca="1" si="3">R4</f>
        <v>5799.9999999999973</v>
      </c>
      <c r="U4" s="7">
        <f t="shared" ref="U4:U67" ca="1" si="4">ABS($T4/$S4)</f>
        <v>0.40845070422535179</v>
      </c>
      <c r="V4" s="7">
        <f t="shared" ref="V4:V67" ca="1" si="5">mrigxl_max_drawdown($C4,INT($B4-TODAY()))</f>
        <v>-0.72529643966498059</v>
      </c>
      <c r="W4" s="33">
        <f t="shared" ref="W4" ca="1" si="6">-(MAX(($F4-MAX($D4*(1+V4),$H4)),0)*$E4-$R4)</f>
        <v>5799.9999999999973</v>
      </c>
      <c r="X4" s="7">
        <f t="shared" ref="X4" ca="1" si="7">W4/$R4</f>
        <v>1</v>
      </c>
      <c r="Y4" s="7">
        <f t="shared" ref="Y4" ca="1" si="8">$U4+X4</f>
        <v>1.4084507042253518</v>
      </c>
      <c r="Z4" s="7">
        <f t="shared" ref="Z4:Z67" ca="1" si="9">mrigxl_avg_drawdown($C4,INT($B4-TODAY()))</f>
        <v>-0.19265990767888833</v>
      </c>
      <c r="AA4" s="33">
        <f t="shared" ref="AA4" ca="1" si="10">-(MAX(($F4-MAX($D4*(1+Z4),$H4)),0)*$E4-$R4)</f>
        <v>5799.9999999999973</v>
      </c>
      <c r="AB4" s="7">
        <f t="shared" ref="AB4" ca="1" si="11">AA4/$R4</f>
        <v>1</v>
      </c>
      <c r="AC4" s="7">
        <f t="shared" ref="AC4" ca="1" si="12">$U4+AB4</f>
        <v>1.4084507042253518</v>
      </c>
      <c r="AD4" s="40"/>
      <c r="AE4" s="42"/>
      <c r="AF4" s="34"/>
      <c r="AH4" s="34"/>
    </row>
    <row r="5" spans="1:39" x14ac:dyDescent="0.25">
      <c r="A5" s="1"/>
      <c r="B5" s="25">
        <v>43979</v>
      </c>
      <c r="C5" s="10" t="s">
        <v>48</v>
      </c>
      <c r="D5" s="1">
        <v>141.4</v>
      </c>
      <c r="E5" s="30">
        <v>4000</v>
      </c>
      <c r="F5" s="1">
        <v>150</v>
      </c>
      <c r="G5" s="1">
        <v>9.75</v>
      </c>
      <c r="H5" s="1">
        <v>160</v>
      </c>
      <c r="I5" s="1">
        <v>7.9</v>
      </c>
      <c r="J5" s="1">
        <v>4000</v>
      </c>
      <c r="K5" s="1">
        <v>4000</v>
      </c>
      <c r="L5" s="1">
        <v>5.75</v>
      </c>
      <c r="M5" s="1">
        <v>7.1</v>
      </c>
      <c r="N5" s="1">
        <v>60000</v>
      </c>
      <c r="O5" s="9"/>
      <c r="P5" s="7">
        <f t="shared" ref="P5:P68" ca="1" si="13">($G5-$I5)/($F5-$H5)</f>
        <v>-0.18499999999999997</v>
      </c>
      <c r="Q5" s="7">
        <f t="shared" ref="Q5:Q39" ca="1" si="14">P5/($B5-TODAY())</f>
        <v>-7.3999999999999986E-3</v>
      </c>
      <c r="R5" s="33">
        <f t="shared" ca="1" si="1"/>
        <v>7399.9999999999982</v>
      </c>
      <c r="S5" s="33">
        <f t="shared" ca="1" si="2"/>
        <v>-32600</v>
      </c>
      <c r="T5" s="33">
        <f t="shared" ref="T5:T39" ca="1" si="15">R5</f>
        <v>7399.9999999999982</v>
      </c>
      <c r="U5" s="7">
        <f t="shared" ca="1" si="4"/>
        <v>0.22699386503067479</v>
      </c>
      <c r="V5" s="7">
        <f t="shared" ca="1" si="5"/>
        <v>-0.72529643966498059</v>
      </c>
      <c r="W5" s="33">
        <f t="shared" ref="W5:W39" ca="1" si="16">-(MAX(($F5-MAX($D5*(1+V5),$H5)),0)*$E5-$R5)</f>
        <v>7399.9999999999982</v>
      </c>
      <c r="X5" s="7">
        <f t="shared" ref="X5:X39" ca="1" si="17">W5/$R5</f>
        <v>1</v>
      </c>
      <c r="Y5" s="7">
        <f t="shared" ref="Y5:Y39" ca="1" si="18">$U5+X5</f>
        <v>1.2269938650306749</v>
      </c>
      <c r="Z5" s="7">
        <f t="shared" ca="1" si="9"/>
        <v>-0.19265990767888833</v>
      </c>
      <c r="AA5" s="33">
        <f t="shared" ref="AA5:AA39" ca="1" si="19">-(MAX(($F5-MAX($D5*(1+Z5),$H5)),0)*$E5-$R5)</f>
        <v>7399.9999999999982</v>
      </c>
      <c r="AB5" s="7">
        <f t="shared" ref="AB5:AB39" ca="1" si="20">AA5/$R5</f>
        <v>1</v>
      </c>
      <c r="AC5" s="7">
        <f t="shared" ref="AC5:AC39" ca="1" si="21">$U5+AB5</f>
        <v>1.2269938650306749</v>
      </c>
      <c r="AD5" s="40"/>
      <c r="AE5" s="42"/>
      <c r="AF5" s="34"/>
      <c r="AH5" s="34"/>
    </row>
    <row r="6" spans="1:39" x14ac:dyDescent="0.25">
      <c r="A6" s="1"/>
      <c r="B6" s="25">
        <v>43979</v>
      </c>
      <c r="C6" s="10" t="s">
        <v>48</v>
      </c>
      <c r="D6" s="1">
        <v>141.4</v>
      </c>
      <c r="E6" s="30">
        <v>4000</v>
      </c>
      <c r="F6" s="1">
        <v>150</v>
      </c>
      <c r="G6" s="1">
        <v>9.75</v>
      </c>
      <c r="H6" s="1">
        <v>165</v>
      </c>
      <c r="I6" s="1">
        <v>6.4</v>
      </c>
      <c r="J6" s="1">
        <v>12000</v>
      </c>
      <c r="K6" s="1">
        <v>4000</v>
      </c>
      <c r="L6" s="1">
        <v>3.9</v>
      </c>
      <c r="M6" s="1">
        <v>5.35</v>
      </c>
      <c r="N6" s="1">
        <v>8000</v>
      </c>
      <c r="O6" s="9"/>
      <c r="P6" s="7">
        <f t="shared" ca="1" si="13"/>
        <v>-0.2233333333333333</v>
      </c>
      <c r="Q6" s="7">
        <f t="shared" ca="1" si="14"/>
        <v>-8.9333333333333313E-3</v>
      </c>
      <c r="R6" s="33">
        <f t="shared" ca="1" si="1"/>
        <v>13399.999999999998</v>
      </c>
      <c r="S6" s="33">
        <f t="shared" ca="1" si="2"/>
        <v>-46600</v>
      </c>
      <c r="T6" s="33">
        <f t="shared" ca="1" si="15"/>
        <v>13399.999999999998</v>
      </c>
      <c r="U6" s="7">
        <f t="shared" ca="1" si="4"/>
        <v>0.28755364806866951</v>
      </c>
      <c r="V6" s="7">
        <f t="shared" ca="1" si="5"/>
        <v>-0.72529643966498059</v>
      </c>
      <c r="W6" s="33">
        <f t="shared" ca="1" si="16"/>
        <v>13399.999999999998</v>
      </c>
      <c r="X6" s="7">
        <f t="shared" ca="1" si="17"/>
        <v>1</v>
      </c>
      <c r="Y6" s="7">
        <f t="shared" ca="1" si="18"/>
        <v>1.2875536480686696</v>
      </c>
      <c r="Z6" s="7">
        <f t="shared" ca="1" si="9"/>
        <v>-0.19265990767888833</v>
      </c>
      <c r="AA6" s="33">
        <f t="shared" ca="1" si="19"/>
        <v>13399.999999999998</v>
      </c>
      <c r="AB6" s="7">
        <f t="shared" ca="1" si="20"/>
        <v>1</v>
      </c>
      <c r="AC6" s="7">
        <f t="shared" ca="1" si="21"/>
        <v>1.2875536480686696</v>
      </c>
      <c r="AD6" s="40"/>
      <c r="AE6" s="42"/>
      <c r="AF6" s="34"/>
      <c r="AH6" s="34"/>
    </row>
    <row r="7" spans="1:39" x14ac:dyDescent="0.25">
      <c r="A7" s="1"/>
      <c r="B7" s="25">
        <v>43979</v>
      </c>
      <c r="C7" s="10" t="s">
        <v>48</v>
      </c>
      <c r="D7" s="1">
        <v>141.4</v>
      </c>
      <c r="E7" s="30">
        <v>4000</v>
      </c>
      <c r="F7" s="1">
        <v>150</v>
      </c>
      <c r="G7" s="1">
        <v>9.75</v>
      </c>
      <c r="H7" s="1">
        <v>180</v>
      </c>
      <c r="I7" s="1">
        <v>2.75</v>
      </c>
      <c r="J7" s="1">
        <v>52000</v>
      </c>
      <c r="K7" s="1">
        <v>40000</v>
      </c>
      <c r="L7" s="1">
        <v>2.0499999999999998</v>
      </c>
      <c r="M7" s="1">
        <v>2.75</v>
      </c>
      <c r="N7" s="1">
        <v>20000</v>
      </c>
      <c r="O7" s="9"/>
      <c r="P7" s="7">
        <f t="shared" ca="1" si="13"/>
        <v>-0.23333333333333334</v>
      </c>
      <c r="Q7" s="7">
        <f t="shared" ca="1" si="14"/>
        <v>-9.3333333333333341E-3</v>
      </c>
      <c r="R7" s="33">
        <f t="shared" ca="1" si="1"/>
        <v>28000</v>
      </c>
      <c r="S7" s="33">
        <f t="shared" ca="1" si="2"/>
        <v>-92000</v>
      </c>
      <c r="T7" s="33">
        <f t="shared" ca="1" si="15"/>
        <v>28000</v>
      </c>
      <c r="U7" s="7">
        <f t="shared" ca="1" si="4"/>
        <v>0.30434782608695654</v>
      </c>
      <c r="V7" s="7">
        <f t="shared" ca="1" si="5"/>
        <v>-0.72529643966498059</v>
      </c>
      <c r="W7" s="33">
        <f t="shared" ca="1" si="16"/>
        <v>28000</v>
      </c>
      <c r="X7" s="7">
        <f t="shared" ca="1" si="17"/>
        <v>1</v>
      </c>
      <c r="Y7" s="7">
        <f t="shared" ca="1" si="18"/>
        <v>1.3043478260869565</v>
      </c>
      <c r="Z7" s="7">
        <f t="shared" ca="1" si="9"/>
        <v>-0.19265990767888833</v>
      </c>
      <c r="AA7" s="33">
        <f t="shared" ca="1" si="19"/>
        <v>28000</v>
      </c>
      <c r="AB7" s="7">
        <f t="shared" ca="1" si="20"/>
        <v>1</v>
      </c>
      <c r="AC7" s="7">
        <f t="shared" ca="1" si="21"/>
        <v>1.3043478260869565</v>
      </c>
      <c r="AD7" s="40"/>
      <c r="AE7" s="42"/>
      <c r="AF7" s="34"/>
      <c r="AH7" s="34"/>
    </row>
    <row r="8" spans="1:39" x14ac:dyDescent="0.25">
      <c r="A8" s="1"/>
      <c r="B8" s="25">
        <v>43979</v>
      </c>
      <c r="C8" s="10" t="s">
        <v>99</v>
      </c>
      <c r="D8" s="1">
        <v>571.95000000000005</v>
      </c>
      <c r="E8" s="30">
        <v>800</v>
      </c>
      <c r="F8" s="1">
        <v>620</v>
      </c>
      <c r="G8" s="1">
        <v>20.399999999999999</v>
      </c>
      <c r="H8" s="1">
        <v>680</v>
      </c>
      <c r="I8" s="1">
        <v>10</v>
      </c>
      <c r="J8" s="1">
        <v>800</v>
      </c>
      <c r="K8" s="1">
        <v>13600</v>
      </c>
      <c r="L8" s="1">
        <v>8</v>
      </c>
      <c r="M8" s="1">
        <v>13.9</v>
      </c>
      <c r="N8" s="1">
        <v>14400</v>
      </c>
      <c r="O8" s="9"/>
      <c r="P8" s="7">
        <f t="shared" ca="1" si="13"/>
        <v>-0.17333333333333331</v>
      </c>
      <c r="Q8" s="7">
        <f t="shared" ca="1" si="14"/>
        <v>-6.9333333333333321E-3</v>
      </c>
      <c r="R8" s="33">
        <f t="shared" ca="1" si="1"/>
        <v>8319.9999999999982</v>
      </c>
      <c r="S8" s="33">
        <f t="shared" ca="1" si="2"/>
        <v>-39680</v>
      </c>
      <c r="T8" s="33">
        <f t="shared" ca="1" si="15"/>
        <v>8319.9999999999982</v>
      </c>
      <c r="U8" s="7">
        <f t="shared" ca="1" si="4"/>
        <v>0.20967741935483866</v>
      </c>
      <c r="V8" s="7">
        <f t="shared" ca="1" si="5"/>
        <v>-0.6976745988113594</v>
      </c>
      <c r="W8" s="33">
        <f t="shared" ca="1" si="16"/>
        <v>8319.9999999999982</v>
      </c>
      <c r="X8" s="7">
        <f t="shared" ca="1" si="17"/>
        <v>1</v>
      </c>
      <c r="Y8" s="7">
        <f t="shared" ca="1" si="18"/>
        <v>1.2096774193548387</v>
      </c>
      <c r="Z8" s="7">
        <f t="shared" ca="1" si="9"/>
        <v>-0.12063525275812924</v>
      </c>
      <c r="AA8" s="33">
        <f t="shared" ca="1" si="19"/>
        <v>8319.9999999999982</v>
      </c>
      <c r="AB8" s="7">
        <f t="shared" ca="1" si="20"/>
        <v>1</v>
      </c>
      <c r="AC8" s="7">
        <f t="shared" ca="1" si="21"/>
        <v>1.2096774193548387</v>
      </c>
      <c r="AD8" s="40"/>
      <c r="AE8" s="42"/>
      <c r="AF8" s="34"/>
      <c r="AH8" s="34"/>
    </row>
    <row r="9" spans="1:39" x14ac:dyDescent="0.25">
      <c r="A9" s="1"/>
      <c r="B9" s="25">
        <v>43979</v>
      </c>
      <c r="C9" s="10" t="s">
        <v>99</v>
      </c>
      <c r="D9" s="1">
        <v>571.95000000000005</v>
      </c>
      <c r="E9" s="30">
        <v>800</v>
      </c>
      <c r="F9" s="1">
        <v>620</v>
      </c>
      <c r="G9" s="1">
        <v>20.399999999999999</v>
      </c>
      <c r="H9" s="1">
        <v>700</v>
      </c>
      <c r="I9" s="1">
        <v>6.25</v>
      </c>
      <c r="J9" s="1">
        <v>6400</v>
      </c>
      <c r="K9" s="1">
        <v>14400</v>
      </c>
      <c r="L9" s="1">
        <v>2.25</v>
      </c>
      <c r="M9" s="1">
        <v>8</v>
      </c>
      <c r="N9" s="1">
        <v>4000</v>
      </c>
      <c r="O9" s="9"/>
      <c r="P9" s="7">
        <f t="shared" ca="1" si="13"/>
        <v>-0.17687499999999998</v>
      </c>
      <c r="Q9" s="7">
        <f t="shared" ca="1" si="14"/>
        <v>-7.0749999999999988E-3</v>
      </c>
      <c r="R9" s="33">
        <f t="shared" ca="1" si="1"/>
        <v>11319.999999999998</v>
      </c>
      <c r="S9" s="33">
        <f t="shared" ca="1" si="2"/>
        <v>-52680</v>
      </c>
      <c r="T9" s="33">
        <f t="shared" ca="1" si="15"/>
        <v>11319.999999999998</v>
      </c>
      <c r="U9" s="7">
        <f t="shared" ca="1" si="4"/>
        <v>0.21488230827638569</v>
      </c>
      <c r="V9" s="7">
        <f t="shared" ca="1" si="5"/>
        <v>-0.6976745988113594</v>
      </c>
      <c r="W9" s="33">
        <f t="shared" ca="1" si="16"/>
        <v>11319.999999999998</v>
      </c>
      <c r="X9" s="7">
        <f t="shared" ca="1" si="17"/>
        <v>1</v>
      </c>
      <c r="Y9" s="7">
        <f t="shared" ca="1" si="18"/>
        <v>1.2148823082763858</v>
      </c>
      <c r="Z9" s="7">
        <f t="shared" ca="1" si="9"/>
        <v>-0.12063525275812924</v>
      </c>
      <c r="AA9" s="33">
        <f t="shared" ca="1" si="19"/>
        <v>11319.999999999998</v>
      </c>
      <c r="AB9" s="7">
        <f t="shared" ca="1" si="20"/>
        <v>1</v>
      </c>
      <c r="AC9" s="7">
        <f t="shared" ca="1" si="21"/>
        <v>1.2148823082763858</v>
      </c>
      <c r="AD9" s="40"/>
      <c r="AE9" s="42"/>
      <c r="AF9" s="34"/>
      <c r="AH9" s="34"/>
    </row>
    <row r="10" spans="1:39" x14ac:dyDescent="0.25">
      <c r="A10" s="1"/>
      <c r="B10" s="25">
        <v>43979</v>
      </c>
      <c r="C10" s="10" t="s">
        <v>103</v>
      </c>
      <c r="D10" s="1">
        <v>172</v>
      </c>
      <c r="E10" s="30">
        <v>2500</v>
      </c>
      <c r="F10" s="1">
        <v>190</v>
      </c>
      <c r="G10" s="1">
        <v>4.6500000000000004</v>
      </c>
      <c r="H10" s="1">
        <v>195</v>
      </c>
      <c r="I10" s="1">
        <v>3.3</v>
      </c>
      <c r="J10" s="1">
        <v>5000</v>
      </c>
      <c r="K10" s="1">
        <v>40000</v>
      </c>
      <c r="L10" s="1">
        <v>2.5</v>
      </c>
      <c r="M10" s="1">
        <v>3.5</v>
      </c>
      <c r="N10" s="1">
        <v>5000</v>
      </c>
      <c r="O10" s="9"/>
      <c r="P10" s="7">
        <f t="shared" ca="1" si="13"/>
        <v>-0.27000000000000013</v>
      </c>
      <c r="Q10" s="7">
        <f t="shared" ca="1" si="14"/>
        <v>-1.0800000000000006E-2</v>
      </c>
      <c r="R10" s="33">
        <f t="shared" ca="1" si="1"/>
        <v>3375.0000000000014</v>
      </c>
      <c r="S10" s="33">
        <f t="shared" ca="1" si="2"/>
        <v>-9124.9999999999982</v>
      </c>
      <c r="T10" s="33">
        <f t="shared" ca="1" si="15"/>
        <v>3375.0000000000014</v>
      </c>
      <c r="U10" s="7">
        <f t="shared" ca="1" si="4"/>
        <v>0.36986301369863034</v>
      </c>
      <c r="V10" s="7">
        <f t="shared" ca="1" si="5"/>
        <v>-0.38918694074847582</v>
      </c>
      <c r="W10" s="33">
        <f t="shared" ca="1" si="16"/>
        <v>3375.0000000000014</v>
      </c>
      <c r="X10" s="7">
        <f t="shared" ca="1" si="17"/>
        <v>1</v>
      </c>
      <c r="Y10" s="7">
        <f t="shared" ca="1" si="18"/>
        <v>1.3698630136986303</v>
      </c>
      <c r="Z10" s="7">
        <f t="shared" ca="1" si="9"/>
        <v>-7.5289553229667822E-2</v>
      </c>
      <c r="AA10" s="33">
        <f t="shared" ca="1" si="19"/>
        <v>3375.0000000000014</v>
      </c>
      <c r="AB10" s="7">
        <f t="shared" ca="1" si="20"/>
        <v>1</v>
      </c>
      <c r="AC10" s="7">
        <f t="shared" ca="1" si="21"/>
        <v>1.3698630136986303</v>
      </c>
      <c r="AD10" s="40"/>
      <c r="AE10" s="42"/>
      <c r="AF10" s="34"/>
      <c r="AH10" s="34"/>
    </row>
    <row r="11" spans="1:39" x14ac:dyDescent="0.25">
      <c r="A11" s="1"/>
      <c r="B11" s="25">
        <v>43979</v>
      </c>
      <c r="C11" s="10" t="s">
        <v>103</v>
      </c>
      <c r="D11" s="1">
        <v>172</v>
      </c>
      <c r="E11" s="30">
        <v>2500</v>
      </c>
      <c r="F11" s="1">
        <v>190</v>
      </c>
      <c r="G11" s="1">
        <v>4.6500000000000004</v>
      </c>
      <c r="H11" s="1">
        <v>200</v>
      </c>
      <c r="I11" s="1">
        <v>2.5</v>
      </c>
      <c r="J11" s="1">
        <v>252500</v>
      </c>
      <c r="K11" s="1">
        <v>2500</v>
      </c>
      <c r="L11" s="1">
        <v>2.4500000000000002</v>
      </c>
      <c r="M11" s="1">
        <v>2.6</v>
      </c>
      <c r="N11" s="1">
        <v>7500</v>
      </c>
      <c r="O11" s="9"/>
      <c r="P11" s="7">
        <f t="shared" ca="1" si="13"/>
        <v>-0.21500000000000002</v>
      </c>
      <c r="Q11" s="7">
        <f t="shared" ca="1" si="14"/>
        <v>-8.6000000000000017E-3</v>
      </c>
      <c r="R11" s="33">
        <f t="shared" ca="1" si="1"/>
        <v>5375.0000000000009</v>
      </c>
      <c r="S11" s="33">
        <f t="shared" ca="1" si="2"/>
        <v>-19625</v>
      </c>
      <c r="T11" s="33">
        <f t="shared" ca="1" si="15"/>
        <v>5375.0000000000009</v>
      </c>
      <c r="U11" s="7">
        <f t="shared" ca="1" si="4"/>
        <v>0.27388535031847139</v>
      </c>
      <c r="V11" s="7">
        <f t="shared" ca="1" si="5"/>
        <v>-0.38918694074847582</v>
      </c>
      <c r="W11" s="33">
        <f t="shared" ca="1" si="16"/>
        <v>5375.0000000000009</v>
      </c>
      <c r="X11" s="7">
        <f t="shared" ca="1" si="17"/>
        <v>1</v>
      </c>
      <c r="Y11" s="7">
        <f t="shared" ca="1" si="18"/>
        <v>1.2738853503184715</v>
      </c>
      <c r="Z11" s="7">
        <f t="shared" ca="1" si="9"/>
        <v>-7.5289553229667822E-2</v>
      </c>
      <c r="AA11" s="33">
        <f t="shared" ca="1" si="19"/>
        <v>5375.0000000000009</v>
      </c>
      <c r="AB11" s="7">
        <f t="shared" ca="1" si="20"/>
        <v>1</v>
      </c>
      <c r="AC11" s="7">
        <f t="shared" ca="1" si="21"/>
        <v>1.2738853503184715</v>
      </c>
      <c r="AD11" s="40"/>
      <c r="AE11" s="42"/>
      <c r="AF11" s="34"/>
      <c r="AH11" s="34"/>
    </row>
    <row r="12" spans="1:39" x14ac:dyDescent="0.25">
      <c r="A12" s="1"/>
      <c r="B12" s="25">
        <v>43979</v>
      </c>
      <c r="C12" s="10" t="s">
        <v>103</v>
      </c>
      <c r="D12" s="1">
        <v>172</v>
      </c>
      <c r="E12" s="30">
        <v>2500</v>
      </c>
      <c r="F12" s="1">
        <v>190</v>
      </c>
      <c r="G12" s="1">
        <v>4.6500000000000004</v>
      </c>
      <c r="H12" s="1">
        <v>205</v>
      </c>
      <c r="I12" s="1">
        <v>1.9</v>
      </c>
      <c r="J12" s="1">
        <v>5000</v>
      </c>
      <c r="K12" s="1">
        <v>45000</v>
      </c>
      <c r="L12" s="1">
        <v>1.05</v>
      </c>
      <c r="M12" s="1">
        <v>1.9</v>
      </c>
      <c r="N12" s="1">
        <v>2500</v>
      </c>
      <c r="O12" s="9"/>
      <c r="P12" s="7">
        <f t="shared" ca="1" si="13"/>
        <v>-0.18333333333333338</v>
      </c>
      <c r="Q12" s="7">
        <f t="shared" ca="1" si="14"/>
        <v>-7.3333333333333349E-3</v>
      </c>
      <c r="R12" s="33">
        <f t="shared" ca="1" si="1"/>
        <v>6875.0000000000009</v>
      </c>
      <c r="S12" s="33">
        <f t="shared" ca="1" si="2"/>
        <v>-30625</v>
      </c>
      <c r="T12" s="33">
        <f t="shared" ca="1" si="15"/>
        <v>6875.0000000000009</v>
      </c>
      <c r="U12" s="7">
        <f t="shared" ca="1" si="4"/>
        <v>0.22448979591836737</v>
      </c>
      <c r="V12" s="7">
        <f t="shared" ca="1" si="5"/>
        <v>-0.38918694074847582</v>
      </c>
      <c r="W12" s="33">
        <f t="shared" ca="1" si="16"/>
        <v>6875.0000000000009</v>
      </c>
      <c r="X12" s="7">
        <f t="shared" ca="1" si="17"/>
        <v>1</v>
      </c>
      <c r="Y12" s="7">
        <f t="shared" ca="1" si="18"/>
        <v>1.2244897959183674</v>
      </c>
      <c r="Z12" s="7">
        <f t="shared" ca="1" si="9"/>
        <v>-7.5289553229667822E-2</v>
      </c>
      <c r="AA12" s="33">
        <f t="shared" ca="1" si="19"/>
        <v>6875.0000000000009</v>
      </c>
      <c r="AB12" s="7">
        <f t="shared" ca="1" si="20"/>
        <v>1</v>
      </c>
      <c r="AC12" s="7">
        <f t="shared" ca="1" si="21"/>
        <v>1.2244897959183674</v>
      </c>
      <c r="AD12" s="40"/>
      <c r="AE12" s="42"/>
      <c r="AF12" s="34"/>
      <c r="AH12" s="34"/>
    </row>
    <row r="13" spans="1:39" x14ac:dyDescent="0.25">
      <c r="A13" s="1"/>
      <c r="B13" s="25">
        <v>43979</v>
      </c>
      <c r="C13" s="10" t="s">
        <v>126</v>
      </c>
      <c r="D13" s="1">
        <v>1395.9</v>
      </c>
      <c r="E13" s="30">
        <v>500</v>
      </c>
      <c r="F13" s="1">
        <v>1500</v>
      </c>
      <c r="G13" s="1">
        <v>53.2</v>
      </c>
      <c r="H13" s="1">
        <v>1600</v>
      </c>
      <c r="I13" s="1">
        <v>28</v>
      </c>
      <c r="J13" s="1">
        <v>2000</v>
      </c>
      <c r="K13" s="1">
        <v>8000</v>
      </c>
      <c r="L13" s="1">
        <v>24.25</v>
      </c>
      <c r="M13" s="1">
        <v>34.9</v>
      </c>
      <c r="N13" s="1">
        <v>8000</v>
      </c>
      <c r="O13" s="9"/>
      <c r="P13" s="7">
        <f t="shared" ca="1" si="13"/>
        <v>-0.252</v>
      </c>
      <c r="Q13" s="7">
        <f t="shared" ca="1" si="14"/>
        <v>-1.008E-2</v>
      </c>
      <c r="R13" s="33">
        <f t="shared" ca="1" si="1"/>
        <v>12600.000000000002</v>
      </c>
      <c r="S13" s="33">
        <f t="shared" ca="1" si="2"/>
        <v>-37400</v>
      </c>
      <c r="T13" s="33">
        <f t="shared" ca="1" si="15"/>
        <v>12600.000000000002</v>
      </c>
      <c r="U13" s="7">
        <f t="shared" ca="1" si="4"/>
        <v>0.3368983957219252</v>
      </c>
      <c r="V13" s="7">
        <f t="shared" ca="1" si="5"/>
        <v>-0.50124690039767594</v>
      </c>
      <c r="W13" s="33">
        <f t="shared" ca="1" si="16"/>
        <v>12600.000000000002</v>
      </c>
      <c r="X13" s="7">
        <f t="shared" ca="1" si="17"/>
        <v>1</v>
      </c>
      <c r="Y13" s="7">
        <f t="shared" ca="1" si="18"/>
        <v>1.3368983957219251</v>
      </c>
      <c r="Z13" s="7">
        <f t="shared" ca="1" si="9"/>
        <v>-8.4124656865613726E-2</v>
      </c>
      <c r="AA13" s="33">
        <f t="shared" ca="1" si="19"/>
        <v>12600.000000000002</v>
      </c>
      <c r="AB13" s="7">
        <f t="shared" ca="1" si="20"/>
        <v>1</v>
      </c>
      <c r="AC13" s="7">
        <f t="shared" ca="1" si="21"/>
        <v>1.3368983957219251</v>
      </c>
      <c r="AD13" s="40"/>
      <c r="AE13" s="42"/>
      <c r="AF13" s="34"/>
      <c r="AH13" s="34"/>
    </row>
    <row r="14" spans="1:39" x14ac:dyDescent="0.25">
      <c r="A14" s="1"/>
      <c r="B14" s="25">
        <v>43979</v>
      </c>
      <c r="C14" s="10" t="s">
        <v>127</v>
      </c>
      <c r="D14" s="1">
        <v>96.3</v>
      </c>
      <c r="E14" s="30">
        <v>3000</v>
      </c>
      <c r="F14" s="1">
        <v>105</v>
      </c>
      <c r="G14" s="1">
        <v>7.3</v>
      </c>
      <c r="H14" s="1">
        <v>107.5</v>
      </c>
      <c r="I14" s="1">
        <v>6</v>
      </c>
      <c r="J14" s="1">
        <v>15000</v>
      </c>
      <c r="K14" s="1">
        <v>36000</v>
      </c>
      <c r="L14" s="1">
        <v>5.8</v>
      </c>
      <c r="M14" s="1">
        <v>6.85</v>
      </c>
      <c r="N14" s="1">
        <v>6000</v>
      </c>
      <c r="O14" s="9"/>
      <c r="P14" s="7">
        <f t="shared" ca="1" si="13"/>
        <v>-0.51999999999999991</v>
      </c>
      <c r="Q14" s="7">
        <f t="shared" ca="1" si="14"/>
        <v>-2.0799999999999996E-2</v>
      </c>
      <c r="R14" s="33">
        <f t="shared" ca="1" si="1"/>
        <v>3899.9999999999995</v>
      </c>
      <c r="S14" s="33">
        <f t="shared" ca="1" si="2"/>
        <v>-3600.0000000000005</v>
      </c>
      <c r="T14" s="33">
        <f t="shared" ca="1" si="15"/>
        <v>3899.9999999999995</v>
      </c>
      <c r="U14" s="7">
        <f t="shared" ca="1" si="4"/>
        <v>1.083333333333333</v>
      </c>
      <c r="V14" s="7">
        <f t="shared" ca="1" si="5"/>
        <v>-0.75065071324226706</v>
      </c>
      <c r="W14" s="33">
        <f t="shared" ca="1" si="16"/>
        <v>3899.9999999999995</v>
      </c>
      <c r="X14" s="7">
        <f t="shared" ca="1" si="17"/>
        <v>1</v>
      </c>
      <c r="Y14" s="7">
        <f t="shared" ca="1" si="18"/>
        <v>2.083333333333333</v>
      </c>
      <c r="Z14" s="7">
        <f t="shared" ca="1" si="9"/>
        <v>-0.15654285602255932</v>
      </c>
      <c r="AA14" s="33">
        <f t="shared" ca="1" si="19"/>
        <v>3899.9999999999995</v>
      </c>
      <c r="AB14" s="7">
        <f t="shared" ca="1" si="20"/>
        <v>1</v>
      </c>
      <c r="AC14" s="7">
        <f t="shared" ca="1" si="21"/>
        <v>2.083333333333333</v>
      </c>
      <c r="AD14" s="40"/>
      <c r="AE14" s="42"/>
      <c r="AF14" s="34"/>
      <c r="AH14" s="34"/>
    </row>
    <row r="15" spans="1:39" x14ac:dyDescent="0.25">
      <c r="A15" s="1"/>
      <c r="B15" s="25">
        <v>43979</v>
      </c>
      <c r="C15" s="10" t="s">
        <v>127</v>
      </c>
      <c r="D15" s="1">
        <v>96.3</v>
      </c>
      <c r="E15" s="30">
        <v>3000</v>
      </c>
      <c r="F15" s="1">
        <v>105</v>
      </c>
      <c r="G15" s="1">
        <v>7.3</v>
      </c>
      <c r="H15" s="1">
        <v>110</v>
      </c>
      <c r="I15" s="1">
        <v>5.5</v>
      </c>
      <c r="J15" s="1">
        <v>189000</v>
      </c>
      <c r="K15" s="1">
        <v>3000</v>
      </c>
      <c r="L15" s="1">
        <v>5.25</v>
      </c>
      <c r="M15" s="1">
        <v>5.55</v>
      </c>
      <c r="N15" s="1">
        <v>3000</v>
      </c>
      <c r="O15" s="9"/>
      <c r="P15" s="7">
        <f t="shared" ca="1" si="13"/>
        <v>-0.36</v>
      </c>
      <c r="Q15" s="7">
        <f t="shared" ca="1" si="14"/>
        <v>-1.44E-2</v>
      </c>
      <c r="R15" s="33">
        <f t="shared" ca="1" si="1"/>
        <v>5399.9999999999991</v>
      </c>
      <c r="S15" s="33">
        <f t="shared" ca="1" si="2"/>
        <v>-9600</v>
      </c>
      <c r="T15" s="33">
        <f t="shared" ca="1" si="15"/>
        <v>5399.9999999999991</v>
      </c>
      <c r="U15" s="7">
        <f t="shared" ca="1" si="4"/>
        <v>0.56249999999999989</v>
      </c>
      <c r="V15" s="7">
        <f t="shared" ca="1" si="5"/>
        <v>-0.75065071324226706</v>
      </c>
      <c r="W15" s="33">
        <f t="shared" ca="1" si="16"/>
        <v>5399.9999999999991</v>
      </c>
      <c r="X15" s="7">
        <f t="shared" ca="1" si="17"/>
        <v>1</v>
      </c>
      <c r="Y15" s="7">
        <f t="shared" ca="1" si="18"/>
        <v>1.5625</v>
      </c>
      <c r="Z15" s="7">
        <f t="shared" ca="1" si="9"/>
        <v>-0.15654285602255932</v>
      </c>
      <c r="AA15" s="33">
        <f t="shared" ca="1" si="19"/>
        <v>5399.9999999999991</v>
      </c>
      <c r="AB15" s="7">
        <f t="shared" ca="1" si="20"/>
        <v>1</v>
      </c>
      <c r="AC15" s="7">
        <f t="shared" ca="1" si="21"/>
        <v>1.5625</v>
      </c>
      <c r="AD15" s="40"/>
      <c r="AE15" s="42"/>
      <c r="AF15" s="34"/>
      <c r="AH15" s="34"/>
    </row>
    <row r="16" spans="1:39" x14ac:dyDescent="0.25">
      <c r="A16" s="1"/>
      <c r="B16" s="25">
        <v>43979</v>
      </c>
      <c r="C16" s="10" t="s">
        <v>127</v>
      </c>
      <c r="D16" s="1">
        <v>96.3</v>
      </c>
      <c r="E16" s="30">
        <v>3000</v>
      </c>
      <c r="F16" s="1">
        <v>105</v>
      </c>
      <c r="G16" s="1">
        <v>7.3</v>
      </c>
      <c r="H16" s="1">
        <v>120</v>
      </c>
      <c r="I16" s="1">
        <v>3.3</v>
      </c>
      <c r="J16" s="1">
        <v>78000</v>
      </c>
      <c r="K16" s="1">
        <v>12000</v>
      </c>
      <c r="L16" s="1">
        <v>3.05</v>
      </c>
      <c r="M16" s="1">
        <v>3.6</v>
      </c>
      <c r="N16" s="1">
        <v>3000</v>
      </c>
      <c r="O16" s="9"/>
      <c r="P16" s="7">
        <f t="shared" ca="1" si="13"/>
        <v>-0.26666666666666666</v>
      </c>
      <c r="Q16" s="7">
        <f t="shared" ca="1" si="14"/>
        <v>-1.0666666666666666E-2</v>
      </c>
      <c r="R16" s="33">
        <f t="shared" ca="1" si="1"/>
        <v>12000</v>
      </c>
      <c r="S16" s="33">
        <f t="shared" ca="1" si="2"/>
        <v>-33000</v>
      </c>
      <c r="T16" s="33">
        <f t="shared" ca="1" si="15"/>
        <v>12000</v>
      </c>
      <c r="U16" s="7">
        <f t="shared" ca="1" si="4"/>
        <v>0.36363636363636365</v>
      </c>
      <c r="V16" s="7">
        <f t="shared" ca="1" si="5"/>
        <v>-0.75065071324226706</v>
      </c>
      <c r="W16" s="33">
        <f t="shared" ca="1" si="16"/>
        <v>12000</v>
      </c>
      <c r="X16" s="7">
        <f t="shared" ca="1" si="17"/>
        <v>1</v>
      </c>
      <c r="Y16" s="7">
        <f t="shared" ca="1" si="18"/>
        <v>1.3636363636363638</v>
      </c>
      <c r="Z16" s="7">
        <f t="shared" ca="1" si="9"/>
        <v>-0.15654285602255932</v>
      </c>
      <c r="AA16" s="33">
        <f t="shared" ca="1" si="19"/>
        <v>12000</v>
      </c>
      <c r="AB16" s="7">
        <f t="shared" ca="1" si="20"/>
        <v>1</v>
      </c>
      <c r="AC16" s="7">
        <f t="shared" ca="1" si="21"/>
        <v>1.3636363636363638</v>
      </c>
      <c r="AD16" s="40"/>
      <c r="AE16" s="42"/>
      <c r="AF16" s="34"/>
      <c r="AH16" s="34"/>
    </row>
    <row r="17" spans="1:34" x14ac:dyDescent="0.25">
      <c r="A17" s="1"/>
      <c r="B17" s="25">
        <v>43979</v>
      </c>
      <c r="C17" s="10" t="s">
        <v>127</v>
      </c>
      <c r="D17" s="1">
        <v>96.3</v>
      </c>
      <c r="E17" s="30">
        <v>3000</v>
      </c>
      <c r="F17" s="1">
        <v>105</v>
      </c>
      <c r="G17" s="1">
        <v>7.3</v>
      </c>
      <c r="H17" s="1">
        <v>130</v>
      </c>
      <c r="I17" s="1">
        <v>1.6</v>
      </c>
      <c r="J17" s="1">
        <v>3000</v>
      </c>
      <c r="K17" s="1">
        <v>6000</v>
      </c>
      <c r="L17" s="1">
        <v>1.65</v>
      </c>
      <c r="M17" s="1">
        <v>3</v>
      </c>
      <c r="N17" s="1">
        <v>6000</v>
      </c>
      <c r="O17" s="9"/>
      <c r="P17" s="7">
        <f t="shared" ca="1" si="13"/>
        <v>-0.22799999999999998</v>
      </c>
      <c r="Q17" s="7">
        <f t="shared" ca="1" si="14"/>
        <v>-9.1199999999999996E-3</v>
      </c>
      <c r="R17" s="33">
        <f t="shared" ca="1" si="1"/>
        <v>17099.999999999996</v>
      </c>
      <c r="S17" s="33">
        <f t="shared" ca="1" si="2"/>
        <v>-57900</v>
      </c>
      <c r="T17" s="33">
        <f t="shared" ca="1" si="15"/>
        <v>17099.999999999996</v>
      </c>
      <c r="U17" s="7">
        <f t="shared" ca="1" si="4"/>
        <v>0.29533678756476678</v>
      </c>
      <c r="V17" s="7">
        <f t="shared" ca="1" si="5"/>
        <v>-0.75065071324226706</v>
      </c>
      <c r="W17" s="33">
        <f t="shared" ca="1" si="16"/>
        <v>17099.999999999996</v>
      </c>
      <c r="X17" s="7">
        <f t="shared" ca="1" si="17"/>
        <v>1</v>
      </c>
      <c r="Y17" s="7">
        <f t="shared" ca="1" si="18"/>
        <v>1.2953367875647668</v>
      </c>
      <c r="Z17" s="7">
        <f t="shared" ca="1" si="9"/>
        <v>-0.15654285602255932</v>
      </c>
      <c r="AA17" s="33">
        <f t="shared" ca="1" si="19"/>
        <v>17099.999999999996</v>
      </c>
      <c r="AB17" s="7">
        <f t="shared" ca="1" si="20"/>
        <v>1</v>
      </c>
      <c r="AC17" s="7">
        <f t="shared" ca="1" si="21"/>
        <v>1.2953367875647668</v>
      </c>
      <c r="AD17" s="40"/>
      <c r="AE17" s="42"/>
      <c r="AF17" s="34"/>
      <c r="AH17" s="34"/>
    </row>
    <row r="18" spans="1:34" x14ac:dyDescent="0.25">
      <c r="A18" s="1"/>
      <c r="B18" s="25">
        <v>43979</v>
      </c>
      <c r="C18" s="10" t="s">
        <v>127</v>
      </c>
      <c r="D18" s="1">
        <v>96.3</v>
      </c>
      <c r="E18" s="30">
        <v>3000</v>
      </c>
      <c r="F18" s="1">
        <v>105</v>
      </c>
      <c r="G18" s="1">
        <v>7.3</v>
      </c>
      <c r="H18" s="1">
        <v>150</v>
      </c>
      <c r="I18" s="1">
        <v>0.95</v>
      </c>
      <c r="J18" s="1">
        <v>3000</v>
      </c>
      <c r="K18" s="1">
        <v>3000</v>
      </c>
      <c r="L18" s="1">
        <v>0.5</v>
      </c>
      <c r="M18" s="1">
        <v>1.1499999999999999</v>
      </c>
      <c r="N18" s="1">
        <v>15000</v>
      </c>
      <c r="O18" s="9"/>
      <c r="P18" s="7">
        <f t="shared" ca="1" si="13"/>
        <v>-0.1411111111111111</v>
      </c>
      <c r="Q18" s="7">
        <f t="shared" ca="1" si="14"/>
        <v>-5.6444444444444441E-3</v>
      </c>
      <c r="R18" s="33">
        <f t="shared" ca="1" si="1"/>
        <v>19050</v>
      </c>
      <c r="S18" s="33">
        <f t="shared" ca="1" si="2"/>
        <v>-115950</v>
      </c>
      <c r="T18" s="33">
        <f t="shared" ca="1" si="15"/>
        <v>19050</v>
      </c>
      <c r="U18" s="7">
        <f t="shared" ca="1" si="4"/>
        <v>0.16429495472186287</v>
      </c>
      <c r="V18" s="7">
        <f t="shared" ca="1" si="5"/>
        <v>-0.75065071324226706</v>
      </c>
      <c r="W18" s="33">
        <f t="shared" ca="1" si="16"/>
        <v>19050</v>
      </c>
      <c r="X18" s="7">
        <f t="shared" ca="1" si="17"/>
        <v>1</v>
      </c>
      <c r="Y18" s="7">
        <f t="shared" ca="1" si="18"/>
        <v>1.1642949547218628</v>
      </c>
      <c r="Z18" s="7">
        <f t="shared" ca="1" si="9"/>
        <v>-0.15654285602255932</v>
      </c>
      <c r="AA18" s="33">
        <f t="shared" ca="1" si="19"/>
        <v>19050</v>
      </c>
      <c r="AB18" s="7">
        <f t="shared" ca="1" si="20"/>
        <v>1</v>
      </c>
      <c r="AC18" s="7">
        <f t="shared" ca="1" si="21"/>
        <v>1.1642949547218628</v>
      </c>
      <c r="AD18" s="40"/>
      <c r="AE18" s="42"/>
      <c r="AF18" s="34"/>
      <c r="AH18" s="34"/>
    </row>
    <row r="19" spans="1:34" x14ac:dyDescent="0.25">
      <c r="A19" s="1"/>
      <c r="B19" s="25">
        <v>43979</v>
      </c>
      <c r="C19" s="10" t="s">
        <v>152</v>
      </c>
      <c r="D19" s="1">
        <v>52.3</v>
      </c>
      <c r="E19" s="30">
        <v>8000</v>
      </c>
      <c r="F19" s="1">
        <v>55</v>
      </c>
      <c r="G19" s="1">
        <v>3.35</v>
      </c>
      <c r="H19" s="1">
        <v>57.5</v>
      </c>
      <c r="I19" s="1">
        <v>2.5499999999999998</v>
      </c>
      <c r="J19" s="1">
        <v>112000</v>
      </c>
      <c r="K19" s="1">
        <v>24000</v>
      </c>
      <c r="L19" s="1">
        <v>2.5</v>
      </c>
      <c r="M19" s="1">
        <v>2.6</v>
      </c>
      <c r="N19" s="1">
        <v>24000</v>
      </c>
      <c r="O19" s="9"/>
      <c r="P19" s="7">
        <f t="shared" ca="1" si="13"/>
        <v>-0.32000000000000012</v>
      </c>
      <c r="Q19" s="7">
        <f t="shared" ca="1" si="14"/>
        <v>-1.2800000000000004E-2</v>
      </c>
      <c r="R19" s="33">
        <f t="shared" ca="1" si="1"/>
        <v>6400.0000000000018</v>
      </c>
      <c r="S19" s="33">
        <f t="shared" ca="1" si="2"/>
        <v>-13599.999999999998</v>
      </c>
      <c r="T19" s="33">
        <f t="shared" ca="1" si="15"/>
        <v>6400.0000000000018</v>
      </c>
      <c r="U19" s="7">
        <f t="shared" ca="1" si="4"/>
        <v>0.47058823529411786</v>
      </c>
      <c r="V19" s="7">
        <f t="shared" ca="1" si="5"/>
        <v>-0.84563776455045758</v>
      </c>
      <c r="W19" s="33">
        <f t="shared" ca="1" si="16"/>
        <v>6400.0000000000018</v>
      </c>
      <c r="X19" s="7">
        <f t="shared" ca="1" si="17"/>
        <v>1</v>
      </c>
      <c r="Y19" s="7">
        <f t="shared" ca="1" si="18"/>
        <v>1.4705882352941178</v>
      </c>
      <c r="Z19" s="7">
        <f t="shared" ca="1" si="9"/>
        <v>-0.18058264740594929</v>
      </c>
      <c r="AA19" s="33">
        <f t="shared" ca="1" si="19"/>
        <v>6400.0000000000018</v>
      </c>
      <c r="AB19" s="7">
        <f t="shared" ca="1" si="20"/>
        <v>1</v>
      </c>
      <c r="AC19" s="7">
        <f t="shared" ca="1" si="21"/>
        <v>1.4705882352941178</v>
      </c>
      <c r="AD19" s="40"/>
      <c r="AE19" s="42"/>
      <c r="AF19" s="34"/>
      <c r="AH19" s="34"/>
    </row>
    <row r="20" spans="1:34" x14ac:dyDescent="0.25">
      <c r="A20" s="1"/>
      <c r="B20" s="25">
        <v>43979</v>
      </c>
      <c r="C20" s="10" t="s">
        <v>152</v>
      </c>
      <c r="D20" s="1">
        <v>52.3</v>
      </c>
      <c r="E20" s="30">
        <v>8000</v>
      </c>
      <c r="F20" s="1">
        <v>55</v>
      </c>
      <c r="G20" s="1">
        <v>3.35</v>
      </c>
      <c r="H20" s="1">
        <v>60</v>
      </c>
      <c r="I20" s="1">
        <v>1.9</v>
      </c>
      <c r="J20" s="1">
        <v>776000</v>
      </c>
      <c r="K20" s="1">
        <v>40000</v>
      </c>
      <c r="L20" s="1">
        <v>1.85</v>
      </c>
      <c r="M20" s="1">
        <v>1.95</v>
      </c>
      <c r="N20" s="1">
        <v>24000</v>
      </c>
      <c r="O20" s="9"/>
      <c r="P20" s="7">
        <f t="shared" ca="1" si="13"/>
        <v>-0.29000000000000004</v>
      </c>
      <c r="Q20" s="7">
        <f t="shared" ca="1" si="14"/>
        <v>-1.1600000000000001E-2</v>
      </c>
      <c r="R20" s="33">
        <f t="shared" ca="1" si="1"/>
        <v>11600.000000000002</v>
      </c>
      <c r="S20" s="33">
        <f t="shared" ca="1" si="2"/>
        <v>-28400</v>
      </c>
      <c r="T20" s="33">
        <f t="shared" ca="1" si="15"/>
        <v>11600.000000000002</v>
      </c>
      <c r="U20" s="7">
        <f t="shared" ca="1" si="4"/>
        <v>0.40845070422535218</v>
      </c>
      <c r="V20" s="7">
        <f t="shared" ca="1" si="5"/>
        <v>-0.84563776455045758</v>
      </c>
      <c r="W20" s="33">
        <f t="shared" ca="1" si="16"/>
        <v>11600.000000000002</v>
      </c>
      <c r="X20" s="7">
        <f t="shared" ca="1" si="17"/>
        <v>1</v>
      </c>
      <c r="Y20" s="7">
        <f t="shared" ca="1" si="18"/>
        <v>1.4084507042253522</v>
      </c>
      <c r="Z20" s="7">
        <f t="shared" ca="1" si="9"/>
        <v>-0.18058264740594929</v>
      </c>
      <c r="AA20" s="33">
        <f t="shared" ca="1" si="19"/>
        <v>11600.000000000002</v>
      </c>
      <c r="AB20" s="7">
        <f t="shared" ca="1" si="20"/>
        <v>1</v>
      </c>
      <c r="AC20" s="7">
        <f t="shared" ca="1" si="21"/>
        <v>1.4084507042253522</v>
      </c>
      <c r="AD20" s="40"/>
      <c r="AE20" s="42"/>
      <c r="AF20" s="34"/>
      <c r="AH20" s="34"/>
    </row>
    <row r="21" spans="1:34" x14ac:dyDescent="0.25">
      <c r="A21" s="1"/>
      <c r="B21" s="25">
        <v>43979</v>
      </c>
      <c r="C21" s="10" t="s">
        <v>152</v>
      </c>
      <c r="D21" s="1">
        <v>52.3</v>
      </c>
      <c r="E21" s="30">
        <v>8000</v>
      </c>
      <c r="F21" s="1">
        <v>55</v>
      </c>
      <c r="G21" s="1">
        <v>3.35</v>
      </c>
      <c r="H21" s="1">
        <v>65</v>
      </c>
      <c r="I21" s="1">
        <v>1.05</v>
      </c>
      <c r="J21" s="1">
        <v>544000</v>
      </c>
      <c r="K21" s="1">
        <v>32000</v>
      </c>
      <c r="L21" s="1">
        <v>1</v>
      </c>
      <c r="M21" s="1">
        <v>1.1000000000000001</v>
      </c>
      <c r="N21" s="1">
        <v>32000</v>
      </c>
      <c r="O21" s="9"/>
      <c r="P21" s="7">
        <f t="shared" ca="1" si="13"/>
        <v>-0.22999999999999998</v>
      </c>
      <c r="Q21" s="7">
        <f t="shared" ca="1" si="14"/>
        <v>-9.1999999999999998E-3</v>
      </c>
      <c r="R21" s="33">
        <f t="shared" ca="1" si="1"/>
        <v>18400</v>
      </c>
      <c r="S21" s="33">
        <f t="shared" ca="1" si="2"/>
        <v>-61600</v>
      </c>
      <c r="T21" s="33">
        <f t="shared" ca="1" si="15"/>
        <v>18400</v>
      </c>
      <c r="U21" s="7">
        <f t="shared" ca="1" si="4"/>
        <v>0.29870129870129869</v>
      </c>
      <c r="V21" s="7">
        <f t="shared" ca="1" si="5"/>
        <v>-0.84563776455045758</v>
      </c>
      <c r="W21" s="33">
        <f t="shared" ca="1" si="16"/>
        <v>18400</v>
      </c>
      <c r="X21" s="7">
        <f t="shared" ca="1" si="17"/>
        <v>1</v>
      </c>
      <c r="Y21" s="7">
        <f t="shared" ca="1" si="18"/>
        <v>1.2987012987012987</v>
      </c>
      <c r="Z21" s="7">
        <f t="shared" ca="1" si="9"/>
        <v>-0.18058264740594929</v>
      </c>
      <c r="AA21" s="33">
        <f t="shared" ca="1" si="19"/>
        <v>18400</v>
      </c>
      <c r="AB21" s="7">
        <f t="shared" ca="1" si="20"/>
        <v>1</v>
      </c>
      <c r="AC21" s="7">
        <f t="shared" ca="1" si="21"/>
        <v>1.2987012987012987</v>
      </c>
      <c r="AD21" s="40"/>
      <c r="AE21" s="42"/>
      <c r="AF21" s="34"/>
      <c r="AH21" s="34"/>
    </row>
    <row r="22" spans="1:34" x14ac:dyDescent="0.25">
      <c r="A22" s="1"/>
      <c r="B22" s="25">
        <v>43979</v>
      </c>
      <c r="C22" s="10" t="s">
        <v>152</v>
      </c>
      <c r="D22" s="1">
        <v>52.3</v>
      </c>
      <c r="E22" s="30">
        <v>8000</v>
      </c>
      <c r="F22" s="1">
        <v>55</v>
      </c>
      <c r="G22" s="1">
        <v>3.35</v>
      </c>
      <c r="H22" s="1">
        <v>70</v>
      </c>
      <c r="I22" s="1">
        <v>0.6</v>
      </c>
      <c r="J22" s="1">
        <v>480000</v>
      </c>
      <c r="K22" s="1">
        <v>16000</v>
      </c>
      <c r="L22" s="1">
        <v>0.55000000000000004</v>
      </c>
      <c r="M22" s="1">
        <v>0.65</v>
      </c>
      <c r="N22" s="1">
        <v>48000</v>
      </c>
      <c r="O22" s="9"/>
      <c r="P22" s="7">
        <f t="shared" ca="1" si="13"/>
        <v>-0.18333333333333332</v>
      </c>
      <c r="Q22" s="7">
        <f t="shared" ca="1" si="14"/>
        <v>-7.3333333333333332E-3</v>
      </c>
      <c r="R22" s="33">
        <f t="shared" ca="1" si="1"/>
        <v>22000</v>
      </c>
      <c r="S22" s="33">
        <f t="shared" ca="1" si="2"/>
        <v>-98000</v>
      </c>
      <c r="T22" s="33">
        <f t="shared" ca="1" si="15"/>
        <v>22000</v>
      </c>
      <c r="U22" s="7">
        <f t="shared" ca="1" si="4"/>
        <v>0.22448979591836735</v>
      </c>
      <c r="V22" s="7">
        <f t="shared" ca="1" si="5"/>
        <v>-0.84563776455045758</v>
      </c>
      <c r="W22" s="33">
        <f t="shared" ca="1" si="16"/>
        <v>22000</v>
      </c>
      <c r="X22" s="7">
        <f t="shared" ca="1" si="17"/>
        <v>1</v>
      </c>
      <c r="Y22" s="7">
        <f t="shared" ca="1" si="18"/>
        <v>1.2244897959183674</v>
      </c>
      <c r="Z22" s="7">
        <f t="shared" ca="1" si="9"/>
        <v>-0.18058264740594929</v>
      </c>
      <c r="AA22" s="33">
        <f t="shared" ca="1" si="19"/>
        <v>22000</v>
      </c>
      <c r="AB22" s="7">
        <f t="shared" ca="1" si="20"/>
        <v>1</v>
      </c>
      <c r="AC22" s="7">
        <f t="shared" ca="1" si="21"/>
        <v>1.2244897959183674</v>
      </c>
      <c r="AD22" s="40"/>
      <c r="AE22" s="42"/>
      <c r="AF22" s="34"/>
      <c r="AH22" s="34"/>
    </row>
    <row r="23" spans="1:34" x14ac:dyDescent="0.25">
      <c r="A23" s="1"/>
      <c r="B23" s="25">
        <v>43979</v>
      </c>
      <c r="C23" s="10" t="s">
        <v>152</v>
      </c>
      <c r="D23" s="1">
        <v>52.3</v>
      </c>
      <c r="E23" s="30">
        <v>8000</v>
      </c>
      <c r="F23" s="1">
        <v>55</v>
      </c>
      <c r="G23" s="1">
        <v>3.35</v>
      </c>
      <c r="H23" s="1">
        <v>80</v>
      </c>
      <c r="I23" s="1">
        <v>0.25</v>
      </c>
      <c r="J23" s="1">
        <v>208000</v>
      </c>
      <c r="K23" s="1">
        <v>40000</v>
      </c>
      <c r="L23" s="1">
        <v>0.2</v>
      </c>
      <c r="M23" s="1">
        <v>0.25</v>
      </c>
      <c r="N23" s="1">
        <v>40000</v>
      </c>
      <c r="O23" s="9"/>
      <c r="P23" s="7">
        <f t="shared" ca="1" si="13"/>
        <v>-0.124</v>
      </c>
      <c r="Q23" s="7">
        <f t="shared" ca="1" si="14"/>
        <v>-4.96E-3</v>
      </c>
      <c r="R23" s="33">
        <f t="shared" ca="1" si="1"/>
        <v>24800</v>
      </c>
      <c r="S23" s="33">
        <f t="shared" ca="1" si="2"/>
        <v>-175200</v>
      </c>
      <c r="T23" s="33">
        <f t="shared" ca="1" si="15"/>
        <v>24800</v>
      </c>
      <c r="U23" s="7">
        <f t="shared" ca="1" si="4"/>
        <v>0.14155251141552511</v>
      </c>
      <c r="V23" s="7">
        <f t="shared" ca="1" si="5"/>
        <v>-0.84563776455045758</v>
      </c>
      <c r="W23" s="33">
        <f t="shared" ca="1" si="16"/>
        <v>24800</v>
      </c>
      <c r="X23" s="7">
        <f t="shared" ca="1" si="17"/>
        <v>1</v>
      </c>
      <c r="Y23" s="7">
        <f t="shared" ca="1" si="18"/>
        <v>1.1415525114155252</v>
      </c>
      <c r="Z23" s="7">
        <f t="shared" ca="1" si="9"/>
        <v>-0.18058264740594929</v>
      </c>
      <c r="AA23" s="33">
        <f t="shared" ca="1" si="19"/>
        <v>24800</v>
      </c>
      <c r="AB23" s="7">
        <f t="shared" ca="1" si="20"/>
        <v>1</v>
      </c>
      <c r="AC23" s="7">
        <f t="shared" ca="1" si="21"/>
        <v>1.1415525114155252</v>
      </c>
      <c r="AD23" s="40"/>
      <c r="AE23" s="42"/>
      <c r="AF23" s="34"/>
      <c r="AH23" s="34"/>
    </row>
    <row r="24" spans="1:34" x14ac:dyDescent="0.25">
      <c r="A24" s="1"/>
      <c r="B24" s="25">
        <v>43979</v>
      </c>
      <c r="C24" s="10" t="s">
        <v>16</v>
      </c>
      <c r="D24" s="1">
        <v>625.79999999999995</v>
      </c>
      <c r="E24" s="30">
        <v>1000</v>
      </c>
      <c r="F24" s="1">
        <v>680</v>
      </c>
      <c r="G24" s="1">
        <v>26.6</v>
      </c>
      <c r="H24" s="1">
        <v>700</v>
      </c>
      <c r="I24" s="1">
        <v>22</v>
      </c>
      <c r="J24" s="1">
        <v>228000</v>
      </c>
      <c r="K24" s="1">
        <v>1000</v>
      </c>
      <c r="L24" s="1">
        <v>21.6</v>
      </c>
      <c r="M24" s="1">
        <v>21.85</v>
      </c>
      <c r="N24" s="1">
        <v>1000</v>
      </c>
      <c r="O24" s="9"/>
      <c r="P24" s="7">
        <f t="shared" ca="1" si="13"/>
        <v>-0.23000000000000007</v>
      </c>
      <c r="Q24" s="7">
        <f t="shared" ca="1" si="14"/>
        <v>-9.2000000000000033E-3</v>
      </c>
      <c r="R24" s="33">
        <f t="shared" ca="1" si="1"/>
        <v>4600.0000000000018</v>
      </c>
      <c r="S24" s="33">
        <f t="shared" ca="1" si="2"/>
        <v>-15399.999999999998</v>
      </c>
      <c r="T24" s="33">
        <f t="shared" ca="1" si="15"/>
        <v>4600.0000000000018</v>
      </c>
      <c r="U24" s="7">
        <f t="shared" ca="1" si="4"/>
        <v>0.29870129870129886</v>
      </c>
      <c r="V24" s="7">
        <f t="shared" ca="1" si="5"/>
        <v>-0.61455263767924606</v>
      </c>
      <c r="W24" s="33">
        <f t="shared" ca="1" si="16"/>
        <v>4600.0000000000018</v>
      </c>
      <c r="X24" s="7">
        <f t="shared" ca="1" si="17"/>
        <v>1</v>
      </c>
      <c r="Y24" s="7">
        <f t="shared" ca="1" si="18"/>
        <v>1.2987012987012989</v>
      </c>
      <c r="Z24" s="7">
        <f t="shared" ca="1" si="9"/>
        <v>-0.16049983867407722</v>
      </c>
      <c r="AA24" s="33">
        <f t="shared" ca="1" si="19"/>
        <v>4600.0000000000018</v>
      </c>
      <c r="AB24" s="7">
        <f t="shared" ca="1" si="20"/>
        <v>1</v>
      </c>
      <c r="AC24" s="7">
        <f t="shared" ca="1" si="21"/>
        <v>1.2987012987012989</v>
      </c>
      <c r="AD24" s="40"/>
      <c r="AE24" s="42"/>
      <c r="AF24" s="34"/>
      <c r="AH24" s="34"/>
    </row>
    <row r="25" spans="1:34" x14ac:dyDescent="0.25">
      <c r="A25" s="1"/>
      <c r="B25" s="25">
        <v>43979</v>
      </c>
      <c r="C25" s="10" t="s">
        <v>16</v>
      </c>
      <c r="D25" s="1">
        <v>625.79999999999995</v>
      </c>
      <c r="E25" s="30">
        <v>1000</v>
      </c>
      <c r="F25" s="1">
        <v>680</v>
      </c>
      <c r="G25" s="1">
        <v>26.6</v>
      </c>
      <c r="H25" s="1">
        <v>720</v>
      </c>
      <c r="I25" s="1">
        <v>17.05</v>
      </c>
      <c r="J25" s="1">
        <v>22000</v>
      </c>
      <c r="K25" s="1">
        <v>2000</v>
      </c>
      <c r="L25" s="1">
        <v>16.8</v>
      </c>
      <c r="M25" s="1">
        <v>17.45</v>
      </c>
      <c r="N25" s="1">
        <v>1000</v>
      </c>
      <c r="O25" s="9"/>
      <c r="P25" s="7">
        <f t="shared" ca="1" si="13"/>
        <v>-0.23875000000000002</v>
      </c>
      <c r="Q25" s="7">
        <f t="shared" ca="1" si="14"/>
        <v>-9.5500000000000012E-3</v>
      </c>
      <c r="R25" s="33">
        <f t="shared" ca="1" si="1"/>
        <v>9550</v>
      </c>
      <c r="S25" s="33">
        <f t="shared" ca="1" si="2"/>
        <v>-30450</v>
      </c>
      <c r="T25" s="33">
        <f t="shared" ca="1" si="15"/>
        <v>9550</v>
      </c>
      <c r="U25" s="7">
        <f t="shared" ca="1" si="4"/>
        <v>0.31362889983579639</v>
      </c>
      <c r="V25" s="7">
        <f t="shared" ca="1" si="5"/>
        <v>-0.61455263767924606</v>
      </c>
      <c r="W25" s="33">
        <f t="shared" ca="1" si="16"/>
        <v>9550</v>
      </c>
      <c r="X25" s="7">
        <f t="shared" ca="1" si="17"/>
        <v>1</v>
      </c>
      <c r="Y25" s="7">
        <f t="shared" ca="1" si="18"/>
        <v>1.3136288998357963</v>
      </c>
      <c r="Z25" s="7">
        <f t="shared" ca="1" si="9"/>
        <v>-0.16049983867407722</v>
      </c>
      <c r="AA25" s="33">
        <f t="shared" ca="1" si="19"/>
        <v>9550</v>
      </c>
      <c r="AB25" s="7">
        <f t="shared" ca="1" si="20"/>
        <v>1</v>
      </c>
      <c r="AC25" s="7">
        <f t="shared" ca="1" si="21"/>
        <v>1.3136288998357963</v>
      </c>
      <c r="AD25" s="40"/>
      <c r="AE25" s="42"/>
      <c r="AF25" s="34"/>
      <c r="AH25" s="34"/>
    </row>
    <row r="26" spans="1:34" x14ac:dyDescent="0.25">
      <c r="A26" s="1"/>
      <c r="B26" s="25">
        <v>43979</v>
      </c>
      <c r="C26" s="10" t="s">
        <v>16</v>
      </c>
      <c r="D26" s="1">
        <v>625.79999999999995</v>
      </c>
      <c r="E26" s="30">
        <v>1000</v>
      </c>
      <c r="F26" s="1">
        <v>680</v>
      </c>
      <c r="G26" s="1">
        <v>26.6</v>
      </c>
      <c r="H26" s="1">
        <v>740</v>
      </c>
      <c r="I26" s="1">
        <v>13.7</v>
      </c>
      <c r="J26" s="1">
        <v>174000</v>
      </c>
      <c r="K26" s="1">
        <v>1000</v>
      </c>
      <c r="L26" s="1">
        <v>13.45</v>
      </c>
      <c r="M26" s="1">
        <v>13.7</v>
      </c>
      <c r="N26" s="1">
        <v>2000</v>
      </c>
      <c r="O26" s="9"/>
      <c r="P26" s="7">
        <f t="shared" ca="1" si="13"/>
        <v>-0.21500000000000002</v>
      </c>
      <c r="Q26" s="7">
        <f t="shared" ca="1" si="14"/>
        <v>-8.6000000000000017E-3</v>
      </c>
      <c r="R26" s="33">
        <f t="shared" ca="1" si="1"/>
        <v>12900.000000000002</v>
      </c>
      <c r="S26" s="33">
        <f t="shared" ca="1" si="2"/>
        <v>-47100</v>
      </c>
      <c r="T26" s="33">
        <f t="shared" ca="1" si="15"/>
        <v>12900.000000000002</v>
      </c>
      <c r="U26" s="7">
        <f t="shared" ca="1" si="4"/>
        <v>0.27388535031847139</v>
      </c>
      <c r="V26" s="7">
        <f t="shared" ca="1" si="5"/>
        <v>-0.61455263767924606</v>
      </c>
      <c r="W26" s="33">
        <f t="shared" ca="1" si="16"/>
        <v>12900.000000000002</v>
      </c>
      <c r="X26" s="7">
        <f t="shared" ca="1" si="17"/>
        <v>1</v>
      </c>
      <c r="Y26" s="7">
        <f t="shared" ca="1" si="18"/>
        <v>1.2738853503184715</v>
      </c>
      <c r="Z26" s="7">
        <f t="shared" ca="1" si="9"/>
        <v>-0.16049983867407722</v>
      </c>
      <c r="AA26" s="33">
        <f t="shared" ca="1" si="19"/>
        <v>12900.000000000002</v>
      </c>
      <c r="AB26" s="7">
        <f t="shared" ca="1" si="20"/>
        <v>1</v>
      </c>
      <c r="AC26" s="7">
        <f t="shared" ca="1" si="21"/>
        <v>1.2738853503184715</v>
      </c>
      <c r="AD26" s="40"/>
      <c r="AE26" s="42"/>
      <c r="AF26" s="34"/>
      <c r="AH26" s="34"/>
    </row>
    <row r="27" spans="1:34" x14ac:dyDescent="0.25">
      <c r="A27" s="1"/>
      <c r="B27" s="25">
        <v>43979</v>
      </c>
      <c r="C27" s="10" t="s">
        <v>180</v>
      </c>
      <c r="D27" s="1">
        <v>444.05</v>
      </c>
      <c r="E27" s="30">
        <v>1200</v>
      </c>
      <c r="F27" s="1">
        <v>500</v>
      </c>
      <c r="G27" s="1">
        <v>17.600000000000001</v>
      </c>
      <c r="H27" s="1">
        <v>520</v>
      </c>
      <c r="I27" s="1">
        <v>12.45</v>
      </c>
      <c r="J27" s="1">
        <v>236400</v>
      </c>
      <c r="K27" s="1">
        <v>2400</v>
      </c>
      <c r="L27" s="1">
        <v>12.35</v>
      </c>
      <c r="M27" s="1">
        <v>12.4</v>
      </c>
      <c r="N27" s="1">
        <v>2400</v>
      </c>
      <c r="O27" s="9"/>
      <c r="P27" s="7">
        <f t="shared" ca="1" si="13"/>
        <v>-0.25750000000000012</v>
      </c>
      <c r="Q27" s="7">
        <f t="shared" ca="1" si="14"/>
        <v>-1.0300000000000005E-2</v>
      </c>
      <c r="R27" s="33">
        <f t="shared" ca="1" si="1"/>
        <v>6180.0000000000027</v>
      </c>
      <c r="S27" s="33">
        <f t="shared" ca="1" si="2"/>
        <v>-17819.999999999996</v>
      </c>
      <c r="T27" s="33">
        <f t="shared" ca="1" si="15"/>
        <v>6180.0000000000027</v>
      </c>
      <c r="U27" s="7">
        <f t="shared" ca="1" si="4"/>
        <v>0.346801346801347</v>
      </c>
      <c r="V27" s="7">
        <f t="shared" ca="1" si="5"/>
        <v>-0.90290783002527364</v>
      </c>
      <c r="W27" s="33">
        <f t="shared" ca="1" si="16"/>
        <v>6180.0000000000027</v>
      </c>
      <c r="X27" s="7">
        <f t="shared" ca="1" si="17"/>
        <v>1</v>
      </c>
      <c r="Y27" s="7">
        <f t="shared" ca="1" si="18"/>
        <v>1.3468013468013469</v>
      </c>
      <c r="Z27" s="7">
        <f t="shared" ca="1" si="9"/>
        <v>-0.15817843065166418</v>
      </c>
      <c r="AA27" s="33">
        <f t="shared" ca="1" si="19"/>
        <v>6180.0000000000027</v>
      </c>
      <c r="AB27" s="7">
        <f t="shared" ca="1" si="20"/>
        <v>1</v>
      </c>
      <c r="AC27" s="7">
        <f t="shared" ca="1" si="21"/>
        <v>1.3468013468013469</v>
      </c>
      <c r="AD27" s="40"/>
      <c r="AE27" s="42"/>
      <c r="AF27" s="34"/>
      <c r="AH27" s="34"/>
    </row>
    <row r="28" spans="1:34" x14ac:dyDescent="0.25">
      <c r="A28" s="1"/>
      <c r="B28" s="25">
        <v>43979</v>
      </c>
      <c r="C28" s="10" t="s">
        <v>180</v>
      </c>
      <c r="D28" s="1">
        <v>444.05</v>
      </c>
      <c r="E28" s="30">
        <v>1200</v>
      </c>
      <c r="F28" s="1">
        <v>500</v>
      </c>
      <c r="G28" s="1">
        <v>17.600000000000001</v>
      </c>
      <c r="H28" s="1">
        <v>540</v>
      </c>
      <c r="I28" s="1">
        <v>8.85</v>
      </c>
      <c r="J28" s="1">
        <v>296400</v>
      </c>
      <c r="K28" s="1">
        <v>1200</v>
      </c>
      <c r="L28" s="1">
        <v>8.65</v>
      </c>
      <c r="M28" s="1">
        <v>8.8000000000000007</v>
      </c>
      <c r="N28" s="1">
        <v>4800</v>
      </c>
      <c r="O28" s="9"/>
      <c r="P28" s="7">
        <f t="shared" ca="1" si="13"/>
        <v>-0.21875000000000006</v>
      </c>
      <c r="Q28" s="7">
        <f t="shared" ca="1" si="14"/>
        <v>-8.7500000000000026E-3</v>
      </c>
      <c r="R28" s="33">
        <f t="shared" ca="1" si="1"/>
        <v>10500.000000000002</v>
      </c>
      <c r="S28" s="33">
        <f t="shared" ca="1" si="2"/>
        <v>-37500</v>
      </c>
      <c r="T28" s="33">
        <f t="shared" ca="1" si="15"/>
        <v>10500.000000000002</v>
      </c>
      <c r="U28" s="7">
        <f t="shared" ca="1" si="4"/>
        <v>0.28000000000000003</v>
      </c>
      <c r="V28" s="7">
        <f t="shared" ca="1" si="5"/>
        <v>-0.90290783002527364</v>
      </c>
      <c r="W28" s="33">
        <f t="shared" ca="1" si="16"/>
        <v>10500.000000000002</v>
      </c>
      <c r="X28" s="7">
        <f t="shared" ca="1" si="17"/>
        <v>1</v>
      </c>
      <c r="Y28" s="7">
        <f t="shared" ca="1" si="18"/>
        <v>1.28</v>
      </c>
      <c r="Z28" s="7">
        <f t="shared" ca="1" si="9"/>
        <v>-0.15817843065166418</v>
      </c>
      <c r="AA28" s="33">
        <f t="shared" ca="1" si="19"/>
        <v>10500.000000000002</v>
      </c>
      <c r="AB28" s="7">
        <f t="shared" ca="1" si="20"/>
        <v>1</v>
      </c>
      <c r="AC28" s="7">
        <f t="shared" ca="1" si="21"/>
        <v>1.28</v>
      </c>
      <c r="AD28" s="40"/>
      <c r="AE28" s="42"/>
      <c r="AF28" s="34"/>
      <c r="AH28" s="34"/>
    </row>
    <row r="29" spans="1:34" x14ac:dyDescent="0.25">
      <c r="A29" s="1"/>
      <c r="B29" s="25">
        <v>43979</v>
      </c>
      <c r="C29" s="10" t="s">
        <v>180</v>
      </c>
      <c r="D29" s="1">
        <v>444.05</v>
      </c>
      <c r="E29" s="30">
        <v>1200</v>
      </c>
      <c r="F29" s="1">
        <v>500</v>
      </c>
      <c r="G29" s="1">
        <v>17.600000000000001</v>
      </c>
      <c r="H29" s="1">
        <v>560</v>
      </c>
      <c r="I29" s="1">
        <v>6.05</v>
      </c>
      <c r="J29" s="1">
        <v>147600</v>
      </c>
      <c r="K29" s="1">
        <v>2400</v>
      </c>
      <c r="L29" s="1">
        <v>6.05</v>
      </c>
      <c r="M29" s="1">
        <v>6.15</v>
      </c>
      <c r="N29" s="1">
        <v>3600</v>
      </c>
      <c r="O29" s="9"/>
      <c r="P29" s="7">
        <f t="shared" ca="1" si="13"/>
        <v>-0.1925</v>
      </c>
      <c r="Q29" s="7">
        <f t="shared" ca="1" si="14"/>
        <v>-7.7000000000000002E-3</v>
      </c>
      <c r="R29" s="33">
        <f t="shared" ca="1" si="1"/>
        <v>13860</v>
      </c>
      <c r="S29" s="33">
        <f t="shared" ca="1" si="2"/>
        <v>-58140</v>
      </c>
      <c r="T29" s="33">
        <f t="shared" ca="1" si="15"/>
        <v>13860</v>
      </c>
      <c r="U29" s="7">
        <f t="shared" ca="1" si="4"/>
        <v>0.23839009287925697</v>
      </c>
      <c r="V29" s="7">
        <f t="shared" ca="1" si="5"/>
        <v>-0.90290783002527364</v>
      </c>
      <c r="W29" s="33">
        <f t="shared" ca="1" si="16"/>
        <v>13860</v>
      </c>
      <c r="X29" s="7">
        <f t="shared" ca="1" si="17"/>
        <v>1</v>
      </c>
      <c r="Y29" s="7">
        <f t="shared" ca="1" si="18"/>
        <v>1.2383900928792571</v>
      </c>
      <c r="Z29" s="7">
        <f t="shared" ca="1" si="9"/>
        <v>-0.15817843065166418</v>
      </c>
      <c r="AA29" s="33">
        <f t="shared" ca="1" si="19"/>
        <v>13860</v>
      </c>
      <c r="AB29" s="7">
        <f t="shared" ca="1" si="20"/>
        <v>1</v>
      </c>
      <c r="AC29" s="7">
        <f t="shared" ca="1" si="21"/>
        <v>1.2383900928792571</v>
      </c>
      <c r="AD29" s="40"/>
      <c r="AE29" s="42"/>
      <c r="AF29" s="34"/>
      <c r="AH29" s="34"/>
    </row>
    <row r="30" spans="1:34" x14ac:dyDescent="0.25">
      <c r="A30" s="1"/>
      <c r="B30" s="25">
        <v>43979</v>
      </c>
      <c r="C30" s="10" t="s">
        <v>180</v>
      </c>
      <c r="D30" s="1">
        <v>444.05</v>
      </c>
      <c r="E30" s="30">
        <v>1200</v>
      </c>
      <c r="F30" s="1">
        <v>500</v>
      </c>
      <c r="G30" s="1">
        <v>17.600000000000001</v>
      </c>
      <c r="H30" s="1">
        <v>580</v>
      </c>
      <c r="I30" s="1">
        <v>4.4000000000000004</v>
      </c>
      <c r="J30" s="1">
        <v>63600</v>
      </c>
      <c r="K30" s="1">
        <v>1200</v>
      </c>
      <c r="L30" s="1">
        <v>4.4000000000000004</v>
      </c>
      <c r="M30" s="1">
        <v>4.45</v>
      </c>
      <c r="N30" s="1">
        <v>1200</v>
      </c>
      <c r="O30" s="9"/>
      <c r="P30" s="7">
        <f t="shared" ca="1" si="13"/>
        <v>-0.16500000000000001</v>
      </c>
      <c r="Q30" s="7">
        <f t="shared" ca="1" si="14"/>
        <v>-6.6E-3</v>
      </c>
      <c r="R30" s="33">
        <f t="shared" ca="1" si="1"/>
        <v>15840.000000000002</v>
      </c>
      <c r="S30" s="33">
        <f t="shared" ca="1" si="2"/>
        <v>-80160</v>
      </c>
      <c r="T30" s="33">
        <f t="shared" ca="1" si="15"/>
        <v>15840.000000000002</v>
      </c>
      <c r="U30" s="7">
        <f t="shared" ca="1" si="4"/>
        <v>0.19760479041916171</v>
      </c>
      <c r="V30" s="7">
        <f t="shared" ca="1" si="5"/>
        <v>-0.90290783002527364</v>
      </c>
      <c r="W30" s="33">
        <f t="shared" ca="1" si="16"/>
        <v>15840.000000000002</v>
      </c>
      <c r="X30" s="7">
        <f t="shared" ca="1" si="17"/>
        <v>1</v>
      </c>
      <c r="Y30" s="7">
        <f t="shared" ca="1" si="18"/>
        <v>1.1976047904191618</v>
      </c>
      <c r="Z30" s="7">
        <f t="shared" ca="1" si="9"/>
        <v>-0.15817843065166418</v>
      </c>
      <c r="AA30" s="33">
        <f t="shared" ca="1" si="19"/>
        <v>15840.000000000002</v>
      </c>
      <c r="AB30" s="7">
        <f t="shared" ca="1" si="20"/>
        <v>1</v>
      </c>
      <c r="AC30" s="7">
        <f t="shared" ca="1" si="21"/>
        <v>1.1976047904191618</v>
      </c>
      <c r="AD30" s="40"/>
      <c r="AE30" s="42"/>
      <c r="AF30" s="34"/>
      <c r="AH30" s="34"/>
    </row>
    <row r="31" spans="1:34" x14ac:dyDescent="0.25">
      <c r="A31" s="1"/>
      <c r="B31" s="25">
        <v>43979</v>
      </c>
      <c r="C31" s="10" t="s">
        <v>180</v>
      </c>
      <c r="D31" s="1">
        <v>444.05</v>
      </c>
      <c r="E31" s="30">
        <v>1200</v>
      </c>
      <c r="F31" s="1">
        <v>500</v>
      </c>
      <c r="G31" s="1">
        <v>17.600000000000001</v>
      </c>
      <c r="H31" s="1">
        <v>600</v>
      </c>
      <c r="I31" s="1">
        <v>3.1</v>
      </c>
      <c r="J31" s="1">
        <v>520800</v>
      </c>
      <c r="K31" s="1">
        <v>3600</v>
      </c>
      <c r="L31" s="1">
        <v>3.1</v>
      </c>
      <c r="M31" s="1">
        <v>3.15</v>
      </c>
      <c r="N31" s="1">
        <v>6000</v>
      </c>
      <c r="O31" s="9"/>
      <c r="P31" s="7">
        <f t="shared" ca="1" si="13"/>
        <v>-0.14500000000000002</v>
      </c>
      <c r="Q31" s="7">
        <f t="shared" ca="1" si="14"/>
        <v>-5.8000000000000005E-3</v>
      </c>
      <c r="R31" s="33">
        <f t="shared" ca="1" si="1"/>
        <v>17400.000000000004</v>
      </c>
      <c r="S31" s="33">
        <f t="shared" ca="1" si="2"/>
        <v>-102600</v>
      </c>
      <c r="T31" s="33">
        <f t="shared" ca="1" si="15"/>
        <v>17400.000000000004</v>
      </c>
      <c r="U31" s="7">
        <f t="shared" ca="1" si="4"/>
        <v>0.16959064327485385</v>
      </c>
      <c r="V31" s="7">
        <f t="shared" ca="1" si="5"/>
        <v>-0.90290783002527364</v>
      </c>
      <c r="W31" s="33">
        <f t="shared" ca="1" si="16"/>
        <v>17400.000000000004</v>
      </c>
      <c r="X31" s="7">
        <f t="shared" ca="1" si="17"/>
        <v>1</v>
      </c>
      <c r="Y31" s="7">
        <f t="shared" ca="1" si="18"/>
        <v>1.1695906432748537</v>
      </c>
      <c r="Z31" s="7">
        <f t="shared" ca="1" si="9"/>
        <v>-0.15817843065166418</v>
      </c>
      <c r="AA31" s="33">
        <f t="shared" ca="1" si="19"/>
        <v>17400.000000000004</v>
      </c>
      <c r="AB31" s="7">
        <f t="shared" ca="1" si="20"/>
        <v>1</v>
      </c>
      <c r="AC31" s="7">
        <f t="shared" ca="1" si="21"/>
        <v>1.1695906432748537</v>
      </c>
      <c r="AD31" s="40"/>
      <c r="AE31" s="42"/>
      <c r="AF31" s="34"/>
      <c r="AH31" s="34"/>
    </row>
    <row r="32" spans="1:34" x14ac:dyDescent="0.25">
      <c r="A32" s="1"/>
      <c r="B32" s="25">
        <v>43979</v>
      </c>
      <c r="C32" s="10" t="s">
        <v>180</v>
      </c>
      <c r="D32" s="1">
        <v>444.05</v>
      </c>
      <c r="E32" s="30">
        <v>1200</v>
      </c>
      <c r="F32" s="1">
        <v>500</v>
      </c>
      <c r="G32" s="1">
        <v>17.600000000000001</v>
      </c>
      <c r="H32" s="1">
        <v>620</v>
      </c>
      <c r="I32" s="1">
        <v>1.9</v>
      </c>
      <c r="J32" s="1">
        <v>4800</v>
      </c>
      <c r="K32" s="1">
        <v>1200</v>
      </c>
      <c r="L32" s="1">
        <v>1.9</v>
      </c>
      <c r="M32" s="1">
        <v>3</v>
      </c>
      <c r="N32" s="1">
        <v>1200</v>
      </c>
      <c r="O32" s="9"/>
      <c r="P32" s="7">
        <f t="shared" ca="1" si="13"/>
        <v>-0.13083333333333333</v>
      </c>
      <c r="Q32" s="7">
        <f t="shared" ca="1" si="14"/>
        <v>-5.2333333333333329E-3</v>
      </c>
      <c r="R32" s="33">
        <f t="shared" ca="1" si="1"/>
        <v>18840</v>
      </c>
      <c r="S32" s="33">
        <f t="shared" ca="1" si="2"/>
        <v>-125160</v>
      </c>
      <c r="T32" s="33">
        <f t="shared" ca="1" si="15"/>
        <v>18840</v>
      </c>
      <c r="U32" s="7">
        <f t="shared" ca="1" si="4"/>
        <v>0.15052732502396932</v>
      </c>
      <c r="V32" s="7">
        <f t="shared" ca="1" si="5"/>
        <v>-0.90290783002527364</v>
      </c>
      <c r="W32" s="33">
        <f t="shared" ca="1" si="16"/>
        <v>18840</v>
      </c>
      <c r="X32" s="7">
        <f t="shared" ca="1" si="17"/>
        <v>1</v>
      </c>
      <c r="Y32" s="7">
        <f t="shared" ca="1" si="18"/>
        <v>1.1505273250239694</v>
      </c>
      <c r="Z32" s="7">
        <f t="shared" ca="1" si="9"/>
        <v>-0.15817843065166418</v>
      </c>
      <c r="AA32" s="33">
        <f t="shared" ca="1" si="19"/>
        <v>18840</v>
      </c>
      <c r="AB32" s="7">
        <f t="shared" ca="1" si="20"/>
        <v>1</v>
      </c>
      <c r="AC32" s="7">
        <f t="shared" ca="1" si="21"/>
        <v>1.1505273250239694</v>
      </c>
      <c r="AD32" s="40"/>
      <c r="AE32" s="42"/>
      <c r="AF32" s="34"/>
      <c r="AH32" s="34"/>
    </row>
    <row r="33" spans="1:34" x14ac:dyDescent="0.25">
      <c r="A33" s="1"/>
      <c r="B33" s="25">
        <v>43979</v>
      </c>
      <c r="C33" s="10" t="s">
        <v>196</v>
      </c>
      <c r="D33" s="1">
        <v>930</v>
      </c>
      <c r="E33" s="30">
        <v>800</v>
      </c>
      <c r="F33" s="1">
        <v>980</v>
      </c>
      <c r="G33" s="1">
        <v>70</v>
      </c>
      <c r="H33" s="1">
        <v>1000</v>
      </c>
      <c r="I33" s="1">
        <v>49.15</v>
      </c>
      <c r="J33" s="1">
        <v>15200</v>
      </c>
      <c r="K33" s="1">
        <v>800</v>
      </c>
      <c r="L33" s="1">
        <v>56.6</v>
      </c>
      <c r="M33" s="1">
        <v>60.95</v>
      </c>
      <c r="N33" s="1">
        <v>800</v>
      </c>
      <c r="O33" s="9"/>
      <c r="P33" s="7">
        <f t="shared" ca="1" si="13"/>
        <v>-1.0425</v>
      </c>
      <c r="Q33" s="7">
        <f t="shared" ca="1" si="14"/>
        <v>-4.1700000000000001E-2</v>
      </c>
      <c r="R33" s="33">
        <f t="shared" ca="1" si="1"/>
        <v>16680</v>
      </c>
      <c r="S33" s="33">
        <f t="shared" ca="1" si="2"/>
        <v>680</v>
      </c>
      <c r="T33" s="33">
        <f t="shared" ca="1" si="15"/>
        <v>16680</v>
      </c>
      <c r="U33" s="7">
        <f t="shared" ca="1" si="4"/>
        <v>24.529411764705884</v>
      </c>
      <c r="V33" s="7">
        <f t="shared" ca="1" si="5"/>
        <v>-0.49104923872692041</v>
      </c>
      <c r="W33" s="33">
        <f t="shared" ca="1" si="16"/>
        <v>16680</v>
      </c>
      <c r="X33" s="7">
        <f t="shared" ca="1" si="17"/>
        <v>1</v>
      </c>
      <c r="Y33" s="7">
        <f t="shared" ca="1" si="18"/>
        <v>25.529411764705884</v>
      </c>
      <c r="Z33" s="7">
        <f t="shared" ca="1" si="9"/>
        <v>-0.11946072300557758</v>
      </c>
      <c r="AA33" s="33">
        <f t="shared" ca="1" si="19"/>
        <v>16680</v>
      </c>
      <c r="AB33" s="7">
        <f t="shared" ca="1" si="20"/>
        <v>1</v>
      </c>
      <c r="AC33" s="7">
        <f t="shared" ca="1" si="21"/>
        <v>25.529411764705884</v>
      </c>
      <c r="AD33" s="40"/>
      <c r="AE33" s="42"/>
      <c r="AF33" s="34"/>
      <c r="AH33" s="34"/>
    </row>
    <row r="34" spans="1:34" x14ac:dyDescent="0.25">
      <c r="A34" s="1"/>
      <c r="B34" s="25">
        <v>43979</v>
      </c>
      <c r="C34" s="10" t="s">
        <v>196</v>
      </c>
      <c r="D34" s="1">
        <v>930</v>
      </c>
      <c r="E34" s="30">
        <v>800</v>
      </c>
      <c r="F34" s="1">
        <v>980</v>
      </c>
      <c r="G34" s="1">
        <v>70</v>
      </c>
      <c r="H34" s="1">
        <v>1100</v>
      </c>
      <c r="I34" s="1">
        <v>25</v>
      </c>
      <c r="J34" s="1">
        <v>2400</v>
      </c>
      <c r="K34" s="1">
        <v>14400</v>
      </c>
      <c r="L34" s="1">
        <v>21.05</v>
      </c>
      <c r="M34" s="1">
        <v>32.450000000000003</v>
      </c>
      <c r="N34" s="1">
        <v>4800</v>
      </c>
      <c r="O34" s="9"/>
      <c r="P34" s="7">
        <f t="shared" ca="1" si="13"/>
        <v>-0.375</v>
      </c>
      <c r="Q34" s="7">
        <f t="shared" ca="1" si="14"/>
        <v>-1.4999999999999999E-2</v>
      </c>
      <c r="R34" s="33">
        <f t="shared" ca="1" si="1"/>
        <v>36000</v>
      </c>
      <c r="S34" s="33">
        <f t="shared" ca="1" si="2"/>
        <v>-60000</v>
      </c>
      <c r="T34" s="33">
        <f t="shared" ca="1" si="15"/>
        <v>36000</v>
      </c>
      <c r="U34" s="7">
        <f t="shared" ca="1" si="4"/>
        <v>0.6</v>
      </c>
      <c r="V34" s="7">
        <f t="shared" ca="1" si="5"/>
        <v>-0.49104923872692041</v>
      </c>
      <c r="W34" s="33">
        <f t="shared" ca="1" si="16"/>
        <v>36000</v>
      </c>
      <c r="X34" s="7">
        <f t="shared" ca="1" si="17"/>
        <v>1</v>
      </c>
      <c r="Y34" s="7">
        <f t="shared" ca="1" si="18"/>
        <v>1.6</v>
      </c>
      <c r="Z34" s="7">
        <f t="shared" ca="1" si="9"/>
        <v>-0.11946072300557758</v>
      </c>
      <c r="AA34" s="33">
        <f t="shared" ca="1" si="19"/>
        <v>36000</v>
      </c>
      <c r="AB34" s="7">
        <f t="shared" ca="1" si="20"/>
        <v>1</v>
      </c>
      <c r="AC34" s="7">
        <f t="shared" ca="1" si="21"/>
        <v>1.6</v>
      </c>
      <c r="AD34" s="40"/>
      <c r="AE34" s="42"/>
      <c r="AF34" s="34"/>
      <c r="AH34" s="34"/>
    </row>
    <row r="35" spans="1:34" x14ac:dyDescent="0.25">
      <c r="A35" s="1"/>
      <c r="B35" s="25">
        <v>43979</v>
      </c>
      <c r="C35" s="10" t="s">
        <v>204</v>
      </c>
      <c r="D35" s="1">
        <v>49.25</v>
      </c>
      <c r="E35" s="30">
        <v>5400</v>
      </c>
      <c r="F35" s="1">
        <v>52.5</v>
      </c>
      <c r="G35" s="1">
        <v>4</v>
      </c>
      <c r="H35" s="1">
        <v>55</v>
      </c>
      <c r="I35" s="1">
        <v>3.15</v>
      </c>
      <c r="J35" s="1">
        <v>707400</v>
      </c>
      <c r="K35" s="1">
        <v>5400</v>
      </c>
      <c r="L35" s="1">
        <v>3.15</v>
      </c>
      <c r="M35" s="1">
        <v>3.2</v>
      </c>
      <c r="N35" s="1">
        <v>5400</v>
      </c>
      <c r="O35" s="9"/>
      <c r="P35" s="7">
        <f t="shared" ca="1" si="13"/>
        <v>-0.34</v>
      </c>
      <c r="Q35" s="7">
        <f t="shared" ca="1" si="14"/>
        <v>-1.3600000000000001E-2</v>
      </c>
      <c r="R35" s="33">
        <f t="shared" ca="1" si="1"/>
        <v>4590.0000000000009</v>
      </c>
      <c r="S35" s="33">
        <f t="shared" ca="1" si="2"/>
        <v>-8910</v>
      </c>
      <c r="T35" s="33">
        <f t="shared" ca="1" si="15"/>
        <v>4590.0000000000009</v>
      </c>
      <c r="U35" s="7">
        <f t="shared" ca="1" si="4"/>
        <v>0.51515151515151525</v>
      </c>
      <c r="V35" s="7">
        <f t="shared" ca="1" si="5"/>
        <v>-0.51020237662833412</v>
      </c>
      <c r="W35" s="33">
        <f t="shared" ca="1" si="16"/>
        <v>4590.0000000000009</v>
      </c>
      <c r="X35" s="7">
        <f t="shared" ca="1" si="17"/>
        <v>1</v>
      </c>
      <c r="Y35" s="7">
        <f t="shared" ca="1" si="18"/>
        <v>1.5151515151515151</v>
      </c>
      <c r="Z35" s="7">
        <f t="shared" ca="1" si="9"/>
        <v>-0.14807886858739161</v>
      </c>
      <c r="AA35" s="33">
        <f t="shared" ca="1" si="19"/>
        <v>4590.0000000000009</v>
      </c>
      <c r="AB35" s="7">
        <f t="shared" ca="1" si="20"/>
        <v>1</v>
      </c>
      <c r="AC35" s="7">
        <f t="shared" ca="1" si="21"/>
        <v>1.5151515151515151</v>
      </c>
      <c r="AD35" s="40"/>
      <c r="AE35" s="42"/>
      <c r="AF35" s="34"/>
      <c r="AH35" s="34"/>
    </row>
    <row r="36" spans="1:34" x14ac:dyDescent="0.25">
      <c r="A36" s="1"/>
      <c r="B36" s="25">
        <v>43979</v>
      </c>
      <c r="C36" s="10" t="s">
        <v>204</v>
      </c>
      <c r="D36" s="1">
        <v>49.25</v>
      </c>
      <c r="E36" s="30">
        <v>5400</v>
      </c>
      <c r="F36" s="1">
        <v>52.5</v>
      </c>
      <c r="G36" s="1">
        <v>4</v>
      </c>
      <c r="H36" s="1">
        <v>57.5</v>
      </c>
      <c r="I36" s="1">
        <v>2.4</v>
      </c>
      <c r="J36" s="1">
        <v>32400</v>
      </c>
      <c r="K36" s="1">
        <v>48600</v>
      </c>
      <c r="L36" s="1">
        <v>2.35</v>
      </c>
      <c r="M36" s="1">
        <v>2.6</v>
      </c>
      <c r="N36" s="1">
        <v>5400</v>
      </c>
      <c r="O36" s="9"/>
      <c r="P36" s="7">
        <f t="shared" ca="1" si="13"/>
        <v>-0.32</v>
      </c>
      <c r="Q36" s="7">
        <f t="shared" ca="1" si="14"/>
        <v>-1.2800000000000001E-2</v>
      </c>
      <c r="R36" s="33">
        <f t="shared" ca="1" si="1"/>
        <v>8640</v>
      </c>
      <c r="S36" s="33">
        <f t="shared" ca="1" si="2"/>
        <v>-18360</v>
      </c>
      <c r="T36" s="33">
        <f t="shared" ca="1" si="15"/>
        <v>8640</v>
      </c>
      <c r="U36" s="7">
        <f t="shared" ca="1" si="4"/>
        <v>0.47058823529411764</v>
      </c>
      <c r="V36" s="7">
        <f t="shared" ca="1" si="5"/>
        <v>-0.51020237662833412</v>
      </c>
      <c r="W36" s="33">
        <f t="shared" ca="1" si="16"/>
        <v>8640</v>
      </c>
      <c r="X36" s="7">
        <f t="shared" ca="1" si="17"/>
        <v>1</v>
      </c>
      <c r="Y36" s="7">
        <f t="shared" ca="1" si="18"/>
        <v>1.4705882352941178</v>
      </c>
      <c r="Z36" s="7">
        <f t="shared" ca="1" si="9"/>
        <v>-0.14807886858739161</v>
      </c>
      <c r="AA36" s="33">
        <f t="shared" ca="1" si="19"/>
        <v>8640</v>
      </c>
      <c r="AB36" s="7">
        <f t="shared" ca="1" si="20"/>
        <v>1</v>
      </c>
      <c r="AC36" s="7">
        <f t="shared" ca="1" si="21"/>
        <v>1.4705882352941178</v>
      </c>
      <c r="AD36" s="40"/>
      <c r="AE36" s="42"/>
      <c r="AF36" s="34"/>
      <c r="AH36" s="34"/>
    </row>
    <row r="37" spans="1:34" x14ac:dyDescent="0.25">
      <c r="A37" s="1"/>
      <c r="B37" s="25">
        <v>43979</v>
      </c>
      <c r="C37" s="10" t="s">
        <v>204</v>
      </c>
      <c r="D37" s="1">
        <v>49.25</v>
      </c>
      <c r="E37" s="30">
        <v>5400</v>
      </c>
      <c r="F37" s="1">
        <v>52.5</v>
      </c>
      <c r="G37" s="1">
        <v>4</v>
      </c>
      <c r="H37" s="1">
        <v>60</v>
      </c>
      <c r="I37" s="1">
        <v>2</v>
      </c>
      <c r="J37" s="1">
        <v>804600</v>
      </c>
      <c r="K37" s="1">
        <v>5400</v>
      </c>
      <c r="L37" s="1">
        <v>1.95</v>
      </c>
      <c r="M37" s="1">
        <v>2.0499999999999998</v>
      </c>
      <c r="N37" s="1">
        <v>16200</v>
      </c>
      <c r="O37" s="9"/>
      <c r="P37" s="7">
        <f t="shared" ca="1" si="13"/>
        <v>-0.26666666666666666</v>
      </c>
      <c r="Q37" s="7">
        <f t="shared" ca="1" si="14"/>
        <v>-1.0666666666666666E-2</v>
      </c>
      <c r="R37" s="33">
        <f t="shared" ca="1" si="1"/>
        <v>10800</v>
      </c>
      <c r="S37" s="33">
        <f t="shared" ca="1" si="2"/>
        <v>-29700</v>
      </c>
      <c r="T37" s="33">
        <f t="shared" ca="1" si="15"/>
        <v>10800</v>
      </c>
      <c r="U37" s="7">
        <f t="shared" ca="1" si="4"/>
        <v>0.36363636363636365</v>
      </c>
      <c r="V37" s="7">
        <f t="shared" ca="1" si="5"/>
        <v>-0.51020237662833412</v>
      </c>
      <c r="W37" s="33">
        <f t="shared" ca="1" si="16"/>
        <v>10800</v>
      </c>
      <c r="X37" s="7">
        <f t="shared" ca="1" si="17"/>
        <v>1</v>
      </c>
      <c r="Y37" s="7">
        <f t="shared" ca="1" si="18"/>
        <v>1.3636363636363638</v>
      </c>
      <c r="Z37" s="7">
        <f t="shared" ca="1" si="9"/>
        <v>-0.14807886858739161</v>
      </c>
      <c r="AA37" s="33">
        <f t="shared" ca="1" si="19"/>
        <v>10800</v>
      </c>
      <c r="AB37" s="7">
        <f t="shared" ca="1" si="20"/>
        <v>1</v>
      </c>
      <c r="AC37" s="7">
        <f t="shared" ca="1" si="21"/>
        <v>1.3636363636363638</v>
      </c>
      <c r="AD37" s="40"/>
      <c r="AE37" s="42"/>
      <c r="AF37" s="34"/>
      <c r="AH37" s="34"/>
    </row>
    <row r="38" spans="1:34" x14ac:dyDescent="0.25">
      <c r="A38" s="1"/>
      <c r="B38" s="25">
        <v>43979</v>
      </c>
      <c r="C38" s="10" t="s">
        <v>204</v>
      </c>
      <c r="D38" s="1">
        <v>49.25</v>
      </c>
      <c r="E38" s="30">
        <v>5400</v>
      </c>
      <c r="F38" s="1">
        <v>52.5</v>
      </c>
      <c r="G38" s="1">
        <v>4</v>
      </c>
      <c r="H38" s="1">
        <v>65</v>
      </c>
      <c r="I38" s="1">
        <v>1.2</v>
      </c>
      <c r="J38" s="1">
        <v>129600</v>
      </c>
      <c r="K38" s="1">
        <v>5400</v>
      </c>
      <c r="L38" s="1">
        <v>1.1499999999999999</v>
      </c>
      <c r="M38" s="1">
        <v>1.3</v>
      </c>
      <c r="N38" s="1">
        <v>5400</v>
      </c>
      <c r="O38" s="9"/>
      <c r="P38" s="7">
        <f t="shared" ca="1" si="13"/>
        <v>-0.22399999999999998</v>
      </c>
      <c r="Q38" s="7">
        <f t="shared" ca="1" si="14"/>
        <v>-8.9599999999999992E-3</v>
      </c>
      <c r="R38" s="33">
        <f t="shared" ca="1" si="1"/>
        <v>15119.999999999998</v>
      </c>
      <c r="S38" s="33">
        <f t="shared" ca="1" si="2"/>
        <v>-52380</v>
      </c>
      <c r="T38" s="33">
        <f t="shared" ca="1" si="15"/>
        <v>15119.999999999998</v>
      </c>
      <c r="U38" s="7">
        <f t="shared" ca="1" si="4"/>
        <v>0.28865979381443296</v>
      </c>
      <c r="V38" s="7">
        <f t="shared" ca="1" si="5"/>
        <v>-0.51020237662833412</v>
      </c>
      <c r="W38" s="33">
        <f t="shared" ca="1" si="16"/>
        <v>15119.999999999998</v>
      </c>
      <c r="X38" s="7">
        <f t="shared" ca="1" si="17"/>
        <v>1</v>
      </c>
      <c r="Y38" s="7">
        <f t="shared" ca="1" si="18"/>
        <v>1.2886597938144329</v>
      </c>
      <c r="Z38" s="7">
        <f t="shared" ca="1" si="9"/>
        <v>-0.14807886858739161</v>
      </c>
      <c r="AA38" s="33">
        <f t="shared" ca="1" si="19"/>
        <v>15119.999999999998</v>
      </c>
      <c r="AB38" s="7">
        <f t="shared" ca="1" si="20"/>
        <v>1</v>
      </c>
      <c r="AC38" s="7">
        <f t="shared" ca="1" si="21"/>
        <v>1.2886597938144329</v>
      </c>
      <c r="AD38" s="40"/>
      <c r="AE38" s="42"/>
      <c r="AF38" s="34"/>
      <c r="AH38" s="34"/>
    </row>
    <row r="39" spans="1:34" x14ac:dyDescent="0.25">
      <c r="A39" s="1"/>
      <c r="B39" s="25">
        <v>43979</v>
      </c>
      <c r="C39" s="10" t="s">
        <v>204</v>
      </c>
      <c r="D39" s="1">
        <v>49.25</v>
      </c>
      <c r="E39" s="30">
        <v>5400</v>
      </c>
      <c r="F39" s="1">
        <v>52.5</v>
      </c>
      <c r="G39" s="1">
        <v>4</v>
      </c>
      <c r="H39" s="1">
        <v>70</v>
      </c>
      <c r="I39" s="1">
        <v>0.7</v>
      </c>
      <c r="J39" s="1">
        <v>151200</v>
      </c>
      <c r="K39" s="1">
        <v>16200</v>
      </c>
      <c r="L39" s="1">
        <v>0.55000000000000004</v>
      </c>
      <c r="M39" s="1">
        <v>0.8</v>
      </c>
      <c r="N39" s="1">
        <v>5400</v>
      </c>
      <c r="O39" s="9"/>
      <c r="P39" s="7">
        <f t="shared" ca="1" si="13"/>
        <v>-0.18857142857142856</v>
      </c>
      <c r="Q39" s="7">
        <f t="shared" ca="1" si="14"/>
        <v>-7.5428571428571419E-3</v>
      </c>
      <c r="R39" s="33">
        <f t="shared" ca="1" si="1"/>
        <v>17820</v>
      </c>
      <c r="S39" s="33">
        <f t="shared" ca="1" si="2"/>
        <v>-76680</v>
      </c>
      <c r="T39" s="33">
        <f t="shared" ca="1" si="15"/>
        <v>17820</v>
      </c>
      <c r="U39" s="7">
        <f t="shared" ca="1" si="4"/>
        <v>0.23239436619718309</v>
      </c>
      <c r="V39" s="7">
        <f t="shared" ca="1" si="5"/>
        <v>-0.51020237662833412</v>
      </c>
      <c r="W39" s="33">
        <f t="shared" ca="1" si="16"/>
        <v>17820</v>
      </c>
      <c r="X39" s="7">
        <f t="shared" ca="1" si="17"/>
        <v>1</v>
      </c>
      <c r="Y39" s="7">
        <f t="shared" ca="1" si="18"/>
        <v>1.232394366197183</v>
      </c>
      <c r="Z39" s="7">
        <f t="shared" ca="1" si="9"/>
        <v>-0.14807886858739161</v>
      </c>
      <c r="AA39" s="33">
        <f t="shared" ca="1" si="19"/>
        <v>17820</v>
      </c>
      <c r="AB39" s="7">
        <f t="shared" ca="1" si="20"/>
        <v>1</v>
      </c>
      <c r="AC39" s="7">
        <f t="shared" ca="1" si="21"/>
        <v>1.232394366197183</v>
      </c>
      <c r="AD39" s="40"/>
      <c r="AE39" s="42"/>
      <c r="AF39" s="34"/>
      <c r="AH39" s="34"/>
    </row>
    <row r="40" spans="1:34" x14ac:dyDescent="0.25">
      <c r="A40" s="1"/>
      <c r="B40" s="25">
        <v>43979</v>
      </c>
      <c r="C40" s="10" t="s">
        <v>204</v>
      </c>
      <c r="D40" s="1">
        <v>49.25</v>
      </c>
      <c r="E40" s="30">
        <v>5400</v>
      </c>
      <c r="F40" s="1">
        <v>52.5</v>
      </c>
      <c r="G40" s="1">
        <v>4</v>
      </c>
      <c r="H40" s="1">
        <v>80</v>
      </c>
      <c r="I40" s="1">
        <v>0.3</v>
      </c>
      <c r="J40" s="1">
        <v>81000</v>
      </c>
      <c r="K40" s="1">
        <v>5400</v>
      </c>
      <c r="L40" s="1">
        <v>0.2</v>
      </c>
      <c r="M40" s="1">
        <v>0.3</v>
      </c>
      <c r="N40" s="1">
        <v>5400</v>
      </c>
      <c r="O40" s="9"/>
      <c r="P40" s="7">
        <f t="shared" ca="1" si="13"/>
        <v>-0.13454545454545455</v>
      </c>
      <c r="Q40" s="7">
        <f t="shared" ref="Q40:Q103" ca="1" si="22">P40/($B40-TODAY())</f>
        <v>-5.3818181818181821E-3</v>
      </c>
      <c r="R40" s="33">
        <f t="shared" ca="1" si="1"/>
        <v>19980</v>
      </c>
      <c r="S40" s="33">
        <f t="shared" ca="1" si="2"/>
        <v>-128520</v>
      </c>
      <c r="T40" s="33">
        <f t="shared" ref="T40:T103" ca="1" si="23">R40</f>
        <v>19980</v>
      </c>
      <c r="U40" s="7">
        <f t="shared" ca="1" si="4"/>
        <v>0.15546218487394958</v>
      </c>
      <c r="V40" s="7">
        <f t="shared" ca="1" si="5"/>
        <v>-0.51020237662833412</v>
      </c>
      <c r="W40" s="33">
        <f t="shared" ref="W40:W103" ca="1" si="24">-(MAX(($F40-MAX($D40*(1+V40),$H40)),0)*$E40-$R40)</f>
        <v>19980</v>
      </c>
      <c r="X40" s="7">
        <f t="shared" ref="X40:X103" ca="1" si="25">W40/$R40</f>
        <v>1</v>
      </c>
      <c r="Y40" s="7">
        <f t="shared" ref="Y40:Y103" ca="1" si="26">$U40+X40</f>
        <v>1.1554621848739495</v>
      </c>
      <c r="Z40" s="7">
        <f t="shared" ca="1" si="9"/>
        <v>-0.14807886858739161</v>
      </c>
      <c r="AA40" s="33">
        <f t="shared" ref="AA40:AA103" ca="1" si="27">-(MAX(($F40-MAX($D40*(1+Z40),$H40)),0)*$E40-$R40)</f>
        <v>19980</v>
      </c>
      <c r="AB40" s="7">
        <f t="shared" ref="AB40:AB103" ca="1" si="28">AA40/$R40</f>
        <v>1</v>
      </c>
      <c r="AC40" s="7">
        <f t="shared" ref="AC40:AC103" ca="1" si="29">$U40+AB40</f>
        <v>1.1554621848739495</v>
      </c>
      <c r="AD40" s="40"/>
      <c r="AE40" s="42"/>
      <c r="AF40" s="34"/>
      <c r="AH40" s="34"/>
    </row>
    <row r="41" spans="1:34" x14ac:dyDescent="0.25">
      <c r="A41" s="1"/>
      <c r="B41" s="25">
        <v>43979</v>
      </c>
      <c r="C41" s="10" t="s">
        <v>204</v>
      </c>
      <c r="D41" s="1">
        <v>49.25</v>
      </c>
      <c r="E41" s="30">
        <v>5400</v>
      </c>
      <c r="F41" s="1">
        <v>52.5</v>
      </c>
      <c r="G41" s="1">
        <v>4</v>
      </c>
      <c r="H41" s="1">
        <v>85</v>
      </c>
      <c r="I41" s="1">
        <v>0.15</v>
      </c>
      <c r="J41" s="1">
        <v>10800</v>
      </c>
      <c r="K41" s="1">
        <v>70200</v>
      </c>
      <c r="L41" s="1">
        <v>0.15</v>
      </c>
      <c r="M41" s="1">
        <v>0.25</v>
      </c>
      <c r="N41" s="1">
        <v>81000</v>
      </c>
      <c r="O41" s="9"/>
      <c r="P41" s="7">
        <f t="shared" ca="1" si="13"/>
        <v>-0.11846153846153847</v>
      </c>
      <c r="Q41" s="7">
        <f t="shared" ca="1" si="22"/>
        <v>-4.7384615384615386E-3</v>
      </c>
      <c r="R41" s="33">
        <f t="shared" ca="1" si="1"/>
        <v>20790</v>
      </c>
      <c r="S41" s="33">
        <f t="shared" ca="1" si="2"/>
        <v>-154710</v>
      </c>
      <c r="T41" s="33">
        <f t="shared" ca="1" si="23"/>
        <v>20790</v>
      </c>
      <c r="U41" s="7">
        <f t="shared" ca="1" si="4"/>
        <v>0.13438045375218149</v>
      </c>
      <c r="V41" s="7">
        <f t="shared" ca="1" si="5"/>
        <v>-0.51020237662833412</v>
      </c>
      <c r="W41" s="33">
        <f t="shared" ca="1" si="24"/>
        <v>20790</v>
      </c>
      <c r="X41" s="7">
        <f t="shared" ca="1" si="25"/>
        <v>1</v>
      </c>
      <c r="Y41" s="7">
        <f t="shared" ca="1" si="26"/>
        <v>1.1343804537521816</v>
      </c>
      <c r="Z41" s="7">
        <f t="shared" ca="1" si="9"/>
        <v>-0.14807886858739161</v>
      </c>
      <c r="AA41" s="33">
        <f t="shared" ca="1" si="27"/>
        <v>20790</v>
      </c>
      <c r="AB41" s="7">
        <f t="shared" ca="1" si="28"/>
        <v>1</v>
      </c>
      <c r="AC41" s="7">
        <f t="shared" ca="1" si="29"/>
        <v>1.1343804537521816</v>
      </c>
      <c r="AD41" s="40"/>
      <c r="AE41" s="42"/>
      <c r="AF41" s="34"/>
      <c r="AH41" s="34"/>
    </row>
    <row r="42" spans="1:34" x14ac:dyDescent="0.25">
      <c r="A42" s="1"/>
      <c r="B42" s="25">
        <v>43979</v>
      </c>
      <c r="C42" s="10" t="s">
        <v>212</v>
      </c>
      <c r="D42" s="1">
        <v>1382</v>
      </c>
      <c r="E42" s="30">
        <v>550</v>
      </c>
      <c r="F42" s="1">
        <v>1500</v>
      </c>
      <c r="G42" s="1">
        <v>27.9</v>
      </c>
      <c r="H42" s="1">
        <v>1600</v>
      </c>
      <c r="I42" s="1">
        <v>15</v>
      </c>
      <c r="J42" s="1">
        <v>2750</v>
      </c>
      <c r="K42" s="1">
        <v>8800</v>
      </c>
      <c r="L42" s="1">
        <v>11</v>
      </c>
      <c r="M42" s="1">
        <v>19.899999999999999</v>
      </c>
      <c r="N42" s="1">
        <v>7700</v>
      </c>
      <c r="O42" s="9"/>
      <c r="P42" s="7">
        <f t="shared" ca="1" si="13"/>
        <v>-0.12899999999999998</v>
      </c>
      <c r="Q42" s="7">
        <f t="shared" ca="1" si="22"/>
        <v>-5.1599999999999988E-3</v>
      </c>
      <c r="R42" s="33">
        <f t="shared" ca="1" si="1"/>
        <v>7094.9999999999991</v>
      </c>
      <c r="S42" s="33">
        <f t="shared" ca="1" si="2"/>
        <v>-47905</v>
      </c>
      <c r="T42" s="33">
        <f t="shared" ca="1" si="23"/>
        <v>7094.9999999999991</v>
      </c>
      <c r="U42" s="7">
        <f t="shared" ca="1" si="4"/>
        <v>0.148105625717566</v>
      </c>
      <c r="V42" s="7">
        <f t="shared" ca="1" si="5"/>
        <v>-0.54105925465136429</v>
      </c>
      <c r="W42" s="33">
        <f t="shared" ca="1" si="24"/>
        <v>7094.9999999999991</v>
      </c>
      <c r="X42" s="7">
        <f t="shared" ca="1" si="25"/>
        <v>1</v>
      </c>
      <c r="Y42" s="7">
        <f t="shared" ca="1" si="26"/>
        <v>1.1481056257175659</v>
      </c>
      <c r="Z42" s="7">
        <f t="shared" ca="1" si="9"/>
        <v>-0.1152789323020989</v>
      </c>
      <c r="AA42" s="33">
        <f t="shared" ca="1" si="27"/>
        <v>7094.9999999999991</v>
      </c>
      <c r="AB42" s="7">
        <f t="shared" ca="1" si="28"/>
        <v>1</v>
      </c>
      <c r="AC42" s="7">
        <f t="shared" ca="1" si="29"/>
        <v>1.1481056257175659</v>
      </c>
      <c r="AD42" s="40"/>
      <c r="AE42" s="42"/>
      <c r="AF42" s="34"/>
      <c r="AH42" s="34"/>
    </row>
    <row r="43" spans="1:34" x14ac:dyDescent="0.25">
      <c r="A43" s="1"/>
      <c r="B43" s="25">
        <v>43979</v>
      </c>
      <c r="C43" s="10" t="s">
        <v>220</v>
      </c>
      <c r="D43" s="1">
        <v>72.05</v>
      </c>
      <c r="E43" s="30">
        <v>6000</v>
      </c>
      <c r="F43" s="1">
        <v>75</v>
      </c>
      <c r="G43" s="1">
        <v>5</v>
      </c>
      <c r="H43" s="1">
        <v>77.5</v>
      </c>
      <c r="I43" s="1">
        <v>4.4000000000000004</v>
      </c>
      <c r="J43" s="1">
        <v>30000</v>
      </c>
      <c r="K43" s="1">
        <v>6000</v>
      </c>
      <c r="L43" s="1">
        <v>4.05</v>
      </c>
      <c r="M43" s="1">
        <v>4.3</v>
      </c>
      <c r="N43" s="1">
        <v>6000</v>
      </c>
      <c r="O43" s="9"/>
      <c r="P43" s="7">
        <f t="shared" ca="1" si="13"/>
        <v>-0.23999999999999985</v>
      </c>
      <c r="Q43" s="7">
        <f t="shared" ca="1" si="22"/>
        <v>-9.599999999999994E-3</v>
      </c>
      <c r="R43" s="33">
        <f t="shared" ca="1" si="1"/>
        <v>3599.9999999999977</v>
      </c>
      <c r="S43" s="33">
        <f t="shared" ca="1" si="2"/>
        <v>-11400.000000000002</v>
      </c>
      <c r="T43" s="33">
        <f t="shared" ca="1" si="23"/>
        <v>3599.9999999999977</v>
      </c>
      <c r="U43" s="7">
        <f t="shared" ca="1" si="4"/>
        <v>0.31578947368421029</v>
      </c>
      <c r="V43" s="7">
        <f t="shared" ca="1" si="5"/>
        <v>-0.3768297459171927</v>
      </c>
      <c r="W43" s="33">
        <f t="shared" ca="1" si="24"/>
        <v>3599.9999999999977</v>
      </c>
      <c r="X43" s="7">
        <f t="shared" ca="1" si="25"/>
        <v>1</v>
      </c>
      <c r="Y43" s="7">
        <f t="shared" ca="1" si="26"/>
        <v>1.3157894736842102</v>
      </c>
      <c r="Z43" s="7">
        <f t="shared" ca="1" si="9"/>
        <v>-0.13630077786690106</v>
      </c>
      <c r="AA43" s="33">
        <f t="shared" ca="1" si="27"/>
        <v>3599.9999999999977</v>
      </c>
      <c r="AB43" s="7">
        <f t="shared" ca="1" si="28"/>
        <v>1</v>
      </c>
      <c r="AC43" s="7">
        <f t="shared" ca="1" si="29"/>
        <v>1.3157894736842102</v>
      </c>
      <c r="AD43" s="40"/>
      <c r="AE43" s="42"/>
      <c r="AF43" s="34"/>
      <c r="AH43" s="34"/>
    </row>
    <row r="44" spans="1:34" x14ac:dyDescent="0.25">
      <c r="A44" s="1"/>
      <c r="B44" s="25">
        <v>43979</v>
      </c>
      <c r="C44" s="10" t="s">
        <v>220</v>
      </c>
      <c r="D44" s="1">
        <v>72.05</v>
      </c>
      <c r="E44" s="30">
        <v>6000</v>
      </c>
      <c r="F44" s="1">
        <v>75</v>
      </c>
      <c r="G44" s="1">
        <v>5</v>
      </c>
      <c r="H44" s="1">
        <v>80</v>
      </c>
      <c r="I44" s="1">
        <v>3.3</v>
      </c>
      <c r="J44" s="1">
        <v>564000</v>
      </c>
      <c r="K44" s="1">
        <v>12000</v>
      </c>
      <c r="L44" s="1">
        <v>3.3</v>
      </c>
      <c r="M44" s="1">
        <v>3.4</v>
      </c>
      <c r="N44" s="1">
        <v>6000</v>
      </c>
      <c r="O44" s="9"/>
      <c r="P44" s="7">
        <f t="shared" ca="1" si="13"/>
        <v>-0.34</v>
      </c>
      <c r="Q44" s="7">
        <f t="shared" ca="1" si="22"/>
        <v>-1.3600000000000001E-2</v>
      </c>
      <c r="R44" s="33">
        <f t="shared" ca="1" si="1"/>
        <v>10200.000000000002</v>
      </c>
      <c r="S44" s="33">
        <f t="shared" ca="1" si="2"/>
        <v>-19800</v>
      </c>
      <c r="T44" s="33">
        <f t="shared" ca="1" si="23"/>
        <v>10200.000000000002</v>
      </c>
      <c r="U44" s="7">
        <f t="shared" ca="1" si="4"/>
        <v>0.51515151515151525</v>
      </c>
      <c r="V44" s="7">
        <f t="shared" ca="1" si="5"/>
        <v>-0.3768297459171927</v>
      </c>
      <c r="W44" s="33">
        <f t="shared" ca="1" si="24"/>
        <v>10200.000000000002</v>
      </c>
      <c r="X44" s="7">
        <f t="shared" ca="1" si="25"/>
        <v>1</v>
      </c>
      <c r="Y44" s="7">
        <f t="shared" ca="1" si="26"/>
        <v>1.5151515151515151</v>
      </c>
      <c r="Z44" s="7">
        <f t="shared" ca="1" si="9"/>
        <v>-0.13630077786690106</v>
      </c>
      <c r="AA44" s="33">
        <f t="shared" ca="1" si="27"/>
        <v>10200.000000000002</v>
      </c>
      <c r="AB44" s="7">
        <f t="shared" ca="1" si="28"/>
        <v>1</v>
      </c>
      <c r="AC44" s="7">
        <f t="shared" ca="1" si="29"/>
        <v>1.5151515151515151</v>
      </c>
      <c r="AD44" s="40"/>
      <c r="AE44" s="42"/>
      <c r="AF44" s="34"/>
      <c r="AH44" s="34"/>
    </row>
    <row r="45" spans="1:34" x14ac:dyDescent="0.25">
      <c r="A45" s="1"/>
      <c r="B45" s="25">
        <v>43979</v>
      </c>
      <c r="C45" s="10" t="s">
        <v>220</v>
      </c>
      <c r="D45" s="1">
        <v>72.05</v>
      </c>
      <c r="E45" s="30">
        <v>6000</v>
      </c>
      <c r="F45" s="1">
        <v>75</v>
      </c>
      <c r="G45" s="1">
        <v>5</v>
      </c>
      <c r="H45" s="1">
        <v>82.5</v>
      </c>
      <c r="I45" s="1">
        <v>2.2999999999999998</v>
      </c>
      <c r="J45" s="1">
        <v>18000</v>
      </c>
      <c r="K45" s="1">
        <v>12000</v>
      </c>
      <c r="L45" s="1">
        <v>2.6</v>
      </c>
      <c r="M45" s="1">
        <v>3.2</v>
      </c>
      <c r="N45" s="1">
        <v>6000</v>
      </c>
      <c r="O45" s="9"/>
      <c r="P45" s="7">
        <f t="shared" ca="1" si="13"/>
        <v>-0.36000000000000004</v>
      </c>
      <c r="Q45" s="7">
        <f t="shared" ca="1" si="22"/>
        <v>-1.4400000000000001E-2</v>
      </c>
      <c r="R45" s="33">
        <f t="shared" ca="1" si="1"/>
        <v>16200.000000000002</v>
      </c>
      <c r="S45" s="33">
        <f t="shared" ca="1" si="2"/>
        <v>-28800</v>
      </c>
      <c r="T45" s="33">
        <f t="shared" ca="1" si="23"/>
        <v>16200.000000000002</v>
      </c>
      <c r="U45" s="7">
        <f t="shared" ca="1" si="4"/>
        <v>0.56250000000000011</v>
      </c>
      <c r="V45" s="7">
        <f t="shared" ca="1" si="5"/>
        <v>-0.3768297459171927</v>
      </c>
      <c r="W45" s="33">
        <f t="shared" ca="1" si="24"/>
        <v>16200.000000000002</v>
      </c>
      <c r="X45" s="7">
        <f t="shared" ca="1" si="25"/>
        <v>1</v>
      </c>
      <c r="Y45" s="7">
        <f t="shared" ca="1" si="26"/>
        <v>1.5625</v>
      </c>
      <c r="Z45" s="7">
        <f t="shared" ca="1" si="9"/>
        <v>-0.13630077786690106</v>
      </c>
      <c r="AA45" s="33">
        <f t="shared" ca="1" si="27"/>
        <v>16200.000000000002</v>
      </c>
      <c r="AB45" s="7">
        <f t="shared" ca="1" si="28"/>
        <v>1</v>
      </c>
      <c r="AC45" s="7">
        <f t="shared" ca="1" si="29"/>
        <v>1.5625</v>
      </c>
      <c r="AD45" s="40"/>
      <c r="AE45" s="42"/>
      <c r="AF45" s="34"/>
      <c r="AH45" s="34"/>
    </row>
    <row r="46" spans="1:34" x14ac:dyDescent="0.25">
      <c r="A46" s="1"/>
      <c r="B46" s="25">
        <v>43979</v>
      </c>
      <c r="C46" s="10" t="s">
        <v>220</v>
      </c>
      <c r="D46" s="1">
        <v>72.05</v>
      </c>
      <c r="E46" s="30">
        <v>6000</v>
      </c>
      <c r="F46" s="1">
        <v>75</v>
      </c>
      <c r="G46" s="1">
        <v>5</v>
      </c>
      <c r="H46" s="1">
        <v>85</v>
      </c>
      <c r="I46" s="1">
        <v>2.25</v>
      </c>
      <c r="J46" s="1">
        <v>150000</v>
      </c>
      <c r="K46" s="1">
        <v>6000</v>
      </c>
      <c r="L46" s="1">
        <v>2.0499999999999998</v>
      </c>
      <c r="M46" s="1">
        <v>2.25</v>
      </c>
      <c r="N46" s="1">
        <v>12000</v>
      </c>
      <c r="O46" s="9"/>
      <c r="P46" s="7">
        <f t="shared" ca="1" si="13"/>
        <v>-0.27500000000000002</v>
      </c>
      <c r="Q46" s="7">
        <f t="shared" ca="1" si="22"/>
        <v>-1.1000000000000001E-2</v>
      </c>
      <c r="R46" s="33">
        <f t="shared" ca="1" si="1"/>
        <v>16500</v>
      </c>
      <c r="S46" s="33">
        <f t="shared" ca="1" si="2"/>
        <v>-43500</v>
      </c>
      <c r="T46" s="33">
        <f t="shared" ca="1" si="23"/>
        <v>16500</v>
      </c>
      <c r="U46" s="7">
        <f t="shared" ca="1" si="4"/>
        <v>0.37931034482758619</v>
      </c>
      <c r="V46" s="7">
        <f t="shared" ca="1" si="5"/>
        <v>-0.3768297459171927</v>
      </c>
      <c r="W46" s="33">
        <f t="shared" ca="1" si="24"/>
        <v>16500</v>
      </c>
      <c r="X46" s="7">
        <f t="shared" ca="1" si="25"/>
        <v>1</v>
      </c>
      <c r="Y46" s="7">
        <f t="shared" ca="1" si="26"/>
        <v>1.3793103448275863</v>
      </c>
      <c r="Z46" s="7">
        <f t="shared" ca="1" si="9"/>
        <v>-0.13630077786690106</v>
      </c>
      <c r="AA46" s="33">
        <f t="shared" ca="1" si="27"/>
        <v>16500</v>
      </c>
      <c r="AB46" s="7">
        <f t="shared" ca="1" si="28"/>
        <v>1</v>
      </c>
      <c r="AC46" s="7">
        <f t="shared" ca="1" si="29"/>
        <v>1.3793103448275863</v>
      </c>
      <c r="AD46" s="40"/>
      <c r="AE46" s="42"/>
      <c r="AF46" s="34"/>
      <c r="AH46" s="34"/>
    </row>
    <row r="47" spans="1:34" x14ac:dyDescent="0.25">
      <c r="A47" s="1"/>
      <c r="B47" s="25">
        <v>43979</v>
      </c>
      <c r="C47" s="10" t="s">
        <v>220</v>
      </c>
      <c r="D47" s="1">
        <v>72.05</v>
      </c>
      <c r="E47" s="30">
        <v>6000</v>
      </c>
      <c r="F47" s="1">
        <v>75</v>
      </c>
      <c r="G47" s="1">
        <v>5</v>
      </c>
      <c r="H47" s="1">
        <v>90</v>
      </c>
      <c r="I47" s="1">
        <v>1.35</v>
      </c>
      <c r="J47" s="1">
        <v>246000</v>
      </c>
      <c r="K47" s="1">
        <v>54000</v>
      </c>
      <c r="L47" s="1">
        <v>1.1499999999999999</v>
      </c>
      <c r="M47" s="1">
        <v>1.35</v>
      </c>
      <c r="N47" s="1">
        <v>12000</v>
      </c>
      <c r="O47" s="9"/>
      <c r="P47" s="7">
        <f t="shared" ca="1" si="13"/>
        <v>-0.24333333333333332</v>
      </c>
      <c r="Q47" s="7">
        <f t="shared" ca="1" si="22"/>
        <v>-9.7333333333333334E-3</v>
      </c>
      <c r="R47" s="33">
        <f t="shared" ca="1" si="1"/>
        <v>21900</v>
      </c>
      <c r="S47" s="33">
        <f t="shared" ca="1" si="2"/>
        <v>-68100</v>
      </c>
      <c r="T47" s="33">
        <f t="shared" ca="1" si="23"/>
        <v>21900</v>
      </c>
      <c r="U47" s="7">
        <f t="shared" ca="1" si="4"/>
        <v>0.32158590308370044</v>
      </c>
      <c r="V47" s="7">
        <f t="shared" ca="1" si="5"/>
        <v>-0.3768297459171927</v>
      </c>
      <c r="W47" s="33">
        <f t="shared" ca="1" si="24"/>
        <v>21900</v>
      </c>
      <c r="X47" s="7">
        <f t="shared" ca="1" si="25"/>
        <v>1</v>
      </c>
      <c r="Y47" s="7">
        <f t="shared" ca="1" si="26"/>
        <v>1.3215859030837005</v>
      </c>
      <c r="Z47" s="7">
        <f t="shared" ca="1" si="9"/>
        <v>-0.13630077786690106</v>
      </c>
      <c r="AA47" s="33">
        <f t="shared" ca="1" si="27"/>
        <v>21900</v>
      </c>
      <c r="AB47" s="7">
        <f t="shared" ca="1" si="28"/>
        <v>1</v>
      </c>
      <c r="AC47" s="7">
        <f t="shared" ca="1" si="29"/>
        <v>1.3215859030837005</v>
      </c>
      <c r="AD47" s="40"/>
      <c r="AE47" s="42"/>
      <c r="AF47" s="34"/>
      <c r="AH47" s="34"/>
    </row>
    <row r="48" spans="1:34" x14ac:dyDescent="0.25">
      <c r="A48" s="1"/>
      <c r="B48" s="25">
        <v>43979</v>
      </c>
      <c r="C48" s="10" t="s">
        <v>220</v>
      </c>
      <c r="D48" s="1">
        <v>72.05</v>
      </c>
      <c r="E48" s="30">
        <v>6000</v>
      </c>
      <c r="F48" s="1">
        <v>75</v>
      </c>
      <c r="G48" s="1">
        <v>5</v>
      </c>
      <c r="H48" s="1">
        <v>100</v>
      </c>
      <c r="I48" s="1">
        <v>0.7</v>
      </c>
      <c r="J48" s="1">
        <v>42000</v>
      </c>
      <c r="K48" s="1">
        <v>6000</v>
      </c>
      <c r="L48" s="1">
        <v>0.4</v>
      </c>
      <c r="M48" s="1">
        <v>0.75</v>
      </c>
      <c r="N48" s="1">
        <v>30000</v>
      </c>
      <c r="O48" s="9"/>
      <c r="P48" s="7">
        <f t="shared" ca="1" si="13"/>
        <v>-0.17199999999999999</v>
      </c>
      <c r="Q48" s="7">
        <f t="shared" ca="1" si="22"/>
        <v>-6.8799999999999998E-3</v>
      </c>
      <c r="R48" s="33">
        <f t="shared" ca="1" si="1"/>
        <v>25800</v>
      </c>
      <c r="S48" s="33">
        <f t="shared" ca="1" si="2"/>
        <v>-124200</v>
      </c>
      <c r="T48" s="33">
        <f t="shared" ca="1" si="23"/>
        <v>25800</v>
      </c>
      <c r="U48" s="7">
        <f t="shared" ca="1" si="4"/>
        <v>0.20772946859903382</v>
      </c>
      <c r="V48" s="7">
        <f t="shared" ca="1" si="5"/>
        <v>-0.3768297459171927</v>
      </c>
      <c r="W48" s="33">
        <f t="shared" ca="1" si="24"/>
        <v>25800</v>
      </c>
      <c r="X48" s="7">
        <f t="shared" ca="1" si="25"/>
        <v>1</v>
      </c>
      <c r="Y48" s="7">
        <f t="shared" ca="1" si="26"/>
        <v>1.2077294685990339</v>
      </c>
      <c r="Z48" s="7">
        <f t="shared" ca="1" si="9"/>
        <v>-0.13630077786690106</v>
      </c>
      <c r="AA48" s="33">
        <f t="shared" ca="1" si="27"/>
        <v>25800</v>
      </c>
      <c r="AB48" s="7">
        <f t="shared" ca="1" si="28"/>
        <v>1</v>
      </c>
      <c r="AC48" s="7">
        <f t="shared" ca="1" si="29"/>
        <v>1.2077294685990339</v>
      </c>
      <c r="AD48" s="40"/>
      <c r="AE48" s="42"/>
      <c r="AF48" s="34"/>
      <c r="AH48" s="34"/>
    </row>
    <row r="49" spans="1:34" x14ac:dyDescent="0.25">
      <c r="A49" s="1"/>
      <c r="B49" s="25">
        <v>43979</v>
      </c>
      <c r="C49" s="10" t="s">
        <v>233</v>
      </c>
      <c r="D49" s="1">
        <v>308.10000000000002</v>
      </c>
      <c r="E49" s="30">
        <v>1300</v>
      </c>
      <c r="F49" s="1">
        <v>340</v>
      </c>
      <c r="G49" s="1">
        <v>19.7</v>
      </c>
      <c r="H49" s="1">
        <v>350</v>
      </c>
      <c r="I49" s="1">
        <v>16.399999999999999</v>
      </c>
      <c r="J49" s="1">
        <v>13000</v>
      </c>
      <c r="K49" s="1">
        <v>1300</v>
      </c>
      <c r="L49" s="1">
        <v>15.05</v>
      </c>
      <c r="M49" s="1">
        <v>15.65</v>
      </c>
      <c r="N49" s="1">
        <v>1300</v>
      </c>
      <c r="O49" s="9"/>
      <c r="P49" s="7">
        <f t="shared" ca="1" si="13"/>
        <v>-0.33000000000000007</v>
      </c>
      <c r="Q49" s="7">
        <f t="shared" ca="1" si="22"/>
        <v>-1.3200000000000003E-2</v>
      </c>
      <c r="R49" s="33">
        <f t="shared" ca="1" si="1"/>
        <v>4290.0000000000009</v>
      </c>
      <c r="S49" s="33">
        <f t="shared" ca="1" si="2"/>
        <v>-8710</v>
      </c>
      <c r="T49" s="33">
        <f t="shared" ca="1" si="23"/>
        <v>4290.0000000000009</v>
      </c>
      <c r="U49" s="7">
        <f t="shared" ca="1" si="4"/>
        <v>0.49253731343283591</v>
      </c>
      <c r="V49" s="7">
        <f t="shared" ca="1" si="5"/>
        <v>-0.74967940248007836</v>
      </c>
      <c r="W49" s="33">
        <f t="shared" ca="1" si="24"/>
        <v>4290.0000000000009</v>
      </c>
      <c r="X49" s="7">
        <f t="shared" ca="1" si="25"/>
        <v>1</v>
      </c>
      <c r="Y49" s="7">
        <f t="shared" ca="1" si="26"/>
        <v>1.4925373134328359</v>
      </c>
      <c r="Z49" s="7">
        <f t="shared" ca="1" si="9"/>
        <v>-0.13796945090055224</v>
      </c>
      <c r="AA49" s="33">
        <f t="shared" ca="1" si="27"/>
        <v>4290.0000000000009</v>
      </c>
      <c r="AB49" s="7">
        <f t="shared" ca="1" si="28"/>
        <v>1</v>
      </c>
      <c r="AC49" s="7">
        <f t="shared" ca="1" si="29"/>
        <v>1.4925373134328359</v>
      </c>
      <c r="AD49" s="40"/>
      <c r="AE49" s="42"/>
      <c r="AF49" s="34"/>
      <c r="AH49" s="34"/>
    </row>
    <row r="50" spans="1:34" x14ac:dyDescent="0.25">
      <c r="A50" s="1"/>
      <c r="B50" s="25">
        <v>43979</v>
      </c>
      <c r="C50" s="10" t="s">
        <v>233</v>
      </c>
      <c r="D50" s="1">
        <v>308.10000000000002</v>
      </c>
      <c r="E50" s="30">
        <v>1300</v>
      </c>
      <c r="F50" s="1">
        <v>340</v>
      </c>
      <c r="G50" s="1">
        <v>19.7</v>
      </c>
      <c r="H50" s="1">
        <v>360</v>
      </c>
      <c r="I50" s="1">
        <v>14.45</v>
      </c>
      <c r="J50" s="1">
        <v>1300</v>
      </c>
      <c r="K50" s="1">
        <v>1300</v>
      </c>
      <c r="L50" s="1">
        <v>12.25</v>
      </c>
      <c r="M50" s="1">
        <v>14.95</v>
      </c>
      <c r="N50" s="1">
        <v>20800</v>
      </c>
      <c r="O50" s="9"/>
      <c r="P50" s="7">
        <f t="shared" ca="1" si="13"/>
        <v>-0.26250000000000001</v>
      </c>
      <c r="Q50" s="7">
        <f t="shared" ca="1" si="22"/>
        <v>-1.0500000000000001E-2</v>
      </c>
      <c r="R50" s="33">
        <f t="shared" ca="1" si="1"/>
        <v>6825</v>
      </c>
      <c r="S50" s="33">
        <f t="shared" ca="1" si="2"/>
        <v>-19175</v>
      </c>
      <c r="T50" s="33">
        <f t="shared" ca="1" si="23"/>
        <v>6825</v>
      </c>
      <c r="U50" s="7">
        <f t="shared" ca="1" si="4"/>
        <v>0.3559322033898305</v>
      </c>
      <c r="V50" s="7">
        <f t="shared" ca="1" si="5"/>
        <v>-0.74967940248007836</v>
      </c>
      <c r="W50" s="33">
        <f t="shared" ca="1" si="24"/>
        <v>6825</v>
      </c>
      <c r="X50" s="7">
        <f t="shared" ca="1" si="25"/>
        <v>1</v>
      </c>
      <c r="Y50" s="7">
        <f t="shared" ca="1" si="26"/>
        <v>1.3559322033898304</v>
      </c>
      <c r="Z50" s="7">
        <f t="shared" ca="1" si="9"/>
        <v>-0.13796945090055224</v>
      </c>
      <c r="AA50" s="33">
        <f t="shared" ca="1" si="27"/>
        <v>6825</v>
      </c>
      <c r="AB50" s="7">
        <f t="shared" ca="1" si="28"/>
        <v>1</v>
      </c>
      <c r="AC50" s="7">
        <f t="shared" ca="1" si="29"/>
        <v>1.3559322033898304</v>
      </c>
      <c r="AD50" s="40"/>
      <c r="AE50" s="42"/>
      <c r="AF50" s="34"/>
      <c r="AH50" s="34"/>
    </row>
    <row r="51" spans="1:34" x14ac:dyDescent="0.25">
      <c r="A51" s="1"/>
      <c r="B51" s="25">
        <v>43979</v>
      </c>
      <c r="C51" s="10" t="s">
        <v>238</v>
      </c>
      <c r="D51" s="1">
        <v>514.54999999999995</v>
      </c>
      <c r="E51" s="30">
        <v>1851</v>
      </c>
      <c r="F51" s="1">
        <v>550</v>
      </c>
      <c r="G51" s="1">
        <v>10.65</v>
      </c>
      <c r="H51" s="1">
        <v>560</v>
      </c>
      <c r="I51" s="1">
        <v>8.5</v>
      </c>
      <c r="J51" s="1">
        <v>27765</v>
      </c>
      <c r="K51" s="1">
        <v>3702</v>
      </c>
      <c r="L51" s="1">
        <v>8.35</v>
      </c>
      <c r="M51" s="1">
        <v>8.8000000000000007</v>
      </c>
      <c r="N51" s="1">
        <v>3702</v>
      </c>
      <c r="O51" s="9"/>
      <c r="P51" s="7">
        <f t="shared" ca="1" si="13"/>
        <v>-0.21500000000000002</v>
      </c>
      <c r="Q51" s="7">
        <f t="shared" ca="1" si="22"/>
        <v>-8.6000000000000017E-3</v>
      </c>
      <c r="R51" s="33">
        <f t="shared" ca="1" si="1"/>
        <v>3979.6500000000005</v>
      </c>
      <c r="S51" s="33">
        <f t="shared" ca="1" si="2"/>
        <v>-14530.349999999999</v>
      </c>
      <c r="T51" s="33">
        <f t="shared" ca="1" si="23"/>
        <v>3979.6500000000005</v>
      </c>
      <c r="U51" s="7">
        <f t="shared" ca="1" si="4"/>
        <v>0.27388535031847139</v>
      </c>
      <c r="V51" s="7">
        <f t="shared" ca="1" si="5"/>
        <v>-0.28993790999931213</v>
      </c>
      <c r="W51" s="33">
        <f t="shared" ca="1" si="24"/>
        <v>3979.6500000000005</v>
      </c>
      <c r="X51" s="7">
        <f t="shared" ca="1" si="25"/>
        <v>1</v>
      </c>
      <c r="Y51" s="7">
        <f t="shared" ca="1" si="26"/>
        <v>1.2738853503184715</v>
      </c>
      <c r="Z51" s="7">
        <f t="shared" ca="1" si="9"/>
        <v>-7.665508184102314E-2</v>
      </c>
      <c r="AA51" s="33">
        <f t="shared" ca="1" si="27"/>
        <v>3979.6500000000005</v>
      </c>
      <c r="AB51" s="7">
        <f t="shared" ca="1" si="28"/>
        <v>1</v>
      </c>
      <c r="AC51" s="7">
        <f t="shared" ca="1" si="29"/>
        <v>1.2738853503184715</v>
      </c>
      <c r="AD51" s="40"/>
      <c r="AE51" s="42"/>
      <c r="AF51" s="34"/>
      <c r="AH51" s="34"/>
    </row>
    <row r="52" spans="1:34" x14ac:dyDescent="0.25">
      <c r="A52" s="1"/>
      <c r="B52" s="25">
        <v>43979</v>
      </c>
      <c r="C52" s="10" t="s">
        <v>238</v>
      </c>
      <c r="D52" s="1">
        <v>514.54999999999995</v>
      </c>
      <c r="E52" s="30">
        <v>1851</v>
      </c>
      <c r="F52" s="1">
        <v>550</v>
      </c>
      <c r="G52" s="1">
        <v>10.65</v>
      </c>
      <c r="H52" s="1">
        <v>580</v>
      </c>
      <c r="I52" s="1">
        <v>5.2</v>
      </c>
      <c r="J52" s="1">
        <v>5553</v>
      </c>
      <c r="K52" s="1">
        <v>9255</v>
      </c>
      <c r="L52" s="1">
        <v>5.55</v>
      </c>
      <c r="M52" s="1">
        <v>6.75</v>
      </c>
      <c r="N52" s="1">
        <v>16659</v>
      </c>
      <c r="O52" s="9"/>
      <c r="P52" s="7">
        <f t="shared" ca="1" si="13"/>
        <v>-0.18166666666666667</v>
      </c>
      <c r="Q52" s="7">
        <f t="shared" ca="1" si="22"/>
        <v>-7.2666666666666669E-3</v>
      </c>
      <c r="R52" s="33">
        <f t="shared" ca="1" si="1"/>
        <v>10087.950000000001</v>
      </c>
      <c r="S52" s="33">
        <f t="shared" ca="1" si="2"/>
        <v>-45442.05</v>
      </c>
      <c r="T52" s="33">
        <f t="shared" ca="1" si="23"/>
        <v>10087.950000000001</v>
      </c>
      <c r="U52" s="7">
        <f t="shared" ca="1" si="4"/>
        <v>0.2219959266802444</v>
      </c>
      <c r="V52" s="7">
        <f t="shared" ca="1" si="5"/>
        <v>-0.28993790999931213</v>
      </c>
      <c r="W52" s="33">
        <f t="shared" ca="1" si="24"/>
        <v>10087.950000000001</v>
      </c>
      <c r="X52" s="7">
        <f t="shared" ca="1" si="25"/>
        <v>1</v>
      </c>
      <c r="Y52" s="7">
        <f t="shared" ca="1" si="26"/>
        <v>1.2219959266802445</v>
      </c>
      <c r="Z52" s="7">
        <f t="shared" ca="1" si="9"/>
        <v>-7.665508184102314E-2</v>
      </c>
      <c r="AA52" s="33">
        <f t="shared" ca="1" si="27"/>
        <v>10087.950000000001</v>
      </c>
      <c r="AB52" s="7">
        <f t="shared" ca="1" si="28"/>
        <v>1</v>
      </c>
      <c r="AC52" s="7">
        <f t="shared" ca="1" si="29"/>
        <v>1.2219959266802445</v>
      </c>
      <c r="AD52" s="40"/>
      <c r="AE52" s="42"/>
      <c r="AF52" s="34"/>
      <c r="AH52" s="34"/>
    </row>
    <row r="53" spans="1:34" x14ac:dyDescent="0.25">
      <c r="A53" s="1"/>
      <c r="B53" s="25">
        <v>43979</v>
      </c>
      <c r="C53" s="10" t="s">
        <v>238</v>
      </c>
      <c r="D53" s="1">
        <v>514.54999999999995</v>
      </c>
      <c r="E53" s="30">
        <v>1851</v>
      </c>
      <c r="F53" s="1">
        <v>550</v>
      </c>
      <c r="G53" s="1">
        <v>10.65</v>
      </c>
      <c r="H53" s="1">
        <v>600</v>
      </c>
      <c r="I53" s="1">
        <v>4</v>
      </c>
      <c r="J53" s="1">
        <v>303564</v>
      </c>
      <c r="K53" s="1">
        <v>3702</v>
      </c>
      <c r="L53" s="1">
        <v>3.85</v>
      </c>
      <c r="M53" s="1">
        <v>4</v>
      </c>
      <c r="N53" s="1">
        <v>1851</v>
      </c>
      <c r="O53" s="9"/>
      <c r="P53" s="7">
        <f t="shared" ca="1" si="13"/>
        <v>-0.13300000000000001</v>
      </c>
      <c r="Q53" s="7">
        <f t="shared" ca="1" si="22"/>
        <v>-5.3200000000000001E-3</v>
      </c>
      <c r="R53" s="33">
        <f t="shared" ca="1" si="1"/>
        <v>12309.150000000001</v>
      </c>
      <c r="S53" s="33">
        <f t="shared" ca="1" si="2"/>
        <v>-80240.850000000006</v>
      </c>
      <c r="T53" s="33">
        <f t="shared" ca="1" si="23"/>
        <v>12309.150000000001</v>
      </c>
      <c r="U53" s="7">
        <f t="shared" ca="1" si="4"/>
        <v>0.15340253748558247</v>
      </c>
      <c r="V53" s="7">
        <f t="shared" ca="1" si="5"/>
        <v>-0.28993790999931213</v>
      </c>
      <c r="W53" s="33">
        <f t="shared" ca="1" si="24"/>
        <v>12309.150000000001</v>
      </c>
      <c r="X53" s="7">
        <f t="shared" ca="1" si="25"/>
        <v>1</v>
      </c>
      <c r="Y53" s="7">
        <f t="shared" ca="1" si="26"/>
        <v>1.1534025374855825</v>
      </c>
      <c r="Z53" s="7">
        <f t="shared" ca="1" si="9"/>
        <v>-7.665508184102314E-2</v>
      </c>
      <c r="AA53" s="33">
        <f t="shared" ca="1" si="27"/>
        <v>12309.150000000001</v>
      </c>
      <c r="AB53" s="7">
        <f t="shared" ca="1" si="28"/>
        <v>1</v>
      </c>
      <c r="AC53" s="7">
        <f t="shared" ca="1" si="29"/>
        <v>1.1534025374855825</v>
      </c>
      <c r="AD53" s="40"/>
      <c r="AE53" s="42"/>
      <c r="AF53" s="34"/>
      <c r="AH53" s="34"/>
    </row>
    <row r="54" spans="1:34" x14ac:dyDescent="0.25">
      <c r="A54" s="1"/>
      <c r="B54" s="25">
        <v>43979</v>
      </c>
      <c r="C54" s="10" t="s">
        <v>239</v>
      </c>
      <c r="D54" s="1">
        <v>22.6</v>
      </c>
      <c r="E54" s="30">
        <v>10400</v>
      </c>
      <c r="F54" s="1">
        <v>24</v>
      </c>
      <c r="G54" s="1">
        <v>1.1499999999999999</v>
      </c>
      <c r="H54" s="1">
        <v>25</v>
      </c>
      <c r="I54" s="1">
        <v>0.95</v>
      </c>
      <c r="J54" s="1">
        <v>1185600</v>
      </c>
      <c r="K54" s="1">
        <v>41600</v>
      </c>
      <c r="L54" s="1">
        <v>0.85</v>
      </c>
      <c r="M54" s="1">
        <v>0.95</v>
      </c>
      <c r="N54" s="1">
        <v>20800</v>
      </c>
      <c r="O54" s="9"/>
      <c r="P54" s="7">
        <f t="shared" ca="1" si="13"/>
        <v>-0.19999999999999996</v>
      </c>
      <c r="Q54" s="7">
        <f t="shared" ca="1" si="22"/>
        <v>-7.9999999999999984E-3</v>
      </c>
      <c r="R54" s="33">
        <f t="shared" ca="1" si="1"/>
        <v>2079.9999999999995</v>
      </c>
      <c r="S54" s="33">
        <f t="shared" ca="1" si="2"/>
        <v>-8320</v>
      </c>
      <c r="T54" s="33">
        <f t="shared" ca="1" si="23"/>
        <v>2079.9999999999995</v>
      </c>
      <c r="U54" s="7">
        <f t="shared" ca="1" si="4"/>
        <v>0.24999999999999994</v>
      </c>
      <c r="V54" s="7">
        <f t="shared" ca="1" si="5"/>
        <v>-0.61653607818810496</v>
      </c>
      <c r="W54" s="33">
        <f t="shared" ca="1" si="24"/>
        <v>2079.9999999999995</v>
      </c>
      <c r="X54" s="7">
        <f t="shared" ca="1" si="25"/>
        <v>1</v>
      </c>
      <c r="Y54" s="7">
        <f t="shared" ca="1" si="26"/>
        <v>1.25</v>
      </c>
      <c r="Z54" s="7">
        <f t="shared" ca="1" si="9"/>
        <v>-0.20733530562188698</v>
      </c>
      <c r="AA54" s="33">
        <f t="shared" ca="1" si="27"/>
        <v>2079.9999999999995</v>
      </c>
      <c r="AB54" s="7">
        <f t="shared" ca="1" si="28"/>
        <v>1</v>
      </c>
      <c r="AC54" s="7">
        <f t="shared" ca="1" si="29"/>
        <v>1.25</v>
      </c>
      <c r="AD54" s="40"/>
      <c r="AE54" s="42"/>
      <c r="AF54" s="34"/>
      <c r="AH54" s="34"/>
    </row>
    <row r="55" spans="1:34" x14ac:dyDescent="0.25">
      <c r="A55" s="1"/>
      <c r="B55" s="25">
        <v>43979</v>
      </c>
      <c r="C55" s="10" t="s">
        <v>239</v>
      </c>
      <c r="D55" s="1">
        <v>22.6</v>
      </c>
      <c r="E55" s="30">
        <v>10400</v>
      </c>
      <c r="F55" s="1">
        <v>24</v>
      </c>
      <c r="G55" s="1">
        <v>1.1499999999999999</v>
      </c>
      <c r="H55" s="1">
        <v>26</v>
      </c>
      <c r="I55" s="1">
        <v>0.65</v>
      </c>
      <c r="J55" s="1">
        <v>62400</v>
      </c>
      <c r="K55" s="1">
        <v>10400</v>
      </c>
      <c r="L55" s="1">
        <v>0.65</v>
      </c>
      <c r="M55" s="1">
        <v>0.8</v>
      </c>
      <c r="N55" s="1">
        <v>10400</v>
      </c>
      <c r="O55" s="9"/>
      <c r="P55" s="7">
        <f t="shared" ca="1" si="13"/>
        <v>-0.24999999999999994</v>
      </c>
      <c r="Q55" s="7">
        <f t="shared" ca="1" si="22"/>
        <v>-9.9999999999999985E-3</v>
      </c>
      <c r="R55" s="33">
        <f t="shared" ca="1" si="1"/>
        <v>5199.9999999999991</v>
      </c>
      <c r="S55" s="33">
        <f t="shared" ca="1" si="2"/>
        <v>-15600</v>
      </c>
      <c r="T55" s="33">
        <f t="shared" ca="1" si="23"/>
        <v>5199.9999999999991</v>
      </c>
      <c r="U55" s="7">
        <f t="shared" ca="1" si="4"/>
        <v>0.33333333333333326</v>
      </c>
      <c r="V55" s="7">
        <f t="shared" ca="1" si="5"/>
        <v>-0.61653607818810496</v>
      </c>
      <c r="W55" s="33">
        <f t="shared" ca="1" si="24"/>
        <v>5199.9999999999991</v>
      </c>
      <c r="X55" s="7">
        <f t="shared" ca="1" si="25"/>
        <v>1</v>
      </c>
      <c r="Y55" s="7">
        <f t="shared" ca="1" si="26"/>
        <v>1.3333333333333333</v>
      </c>
      <c r="Z55" s="7">
        <f t="shared" ca="1" si="9"/>
        <v>-0.20733530562188698</v>
      </c>
      <c r="AA55" s="33">
        <f t="shared" ca="1" si="27"/>
        <v>5199.9999999999991</v>
      </c>
      <c r="AB55" s="7">
        <f t="shared" ca="1" si="28"/>
        <v>1</v>
      </c>
      <c r="AC55" s="7">
        <f t="shared" ca="1" si="29"/>
        <v>1.3333333333333333</v>
      </c>
      <c r="AD55" s="40"/>
      <c r="AE55" s="42"/>
      <c r="AF55" s="34"/>
      <c r="AH55" s="34"/>
    </row>
    <row r="56" spans="1:34" x14ac:dyDescent="0.25">
      <c r="A56" s="1"/>
      <c r="B56" s="25">
        <v>43979</v>
      </c>
      <c r="C56" s="10" t="s">
        <v>239</v>
      </c>
      <c r="D56" s="1">
        <v>22.6</v>
      </c>
      <c r="E56" s="30">
        <v>10400</v>
      </c>
      <c r="F56" s="1">
        <v>24</v>
      </c>
      <c r="G56" s="1">
        <v>1.1499999999999999</v>
      </c>
      <c r="H56" s="1">
        <v>27</v>
      </c>
      <c r="I56" s="1">
        <v>0.5</v>
      </c>
      <c r="J56" s="1">
        <v>72800</v>
      </c>
      <c r="K56" s="1">
        <v>10400</v>
      </c>
      <c r="L56" s="1">
        <v>0.5</v>
      </c>
      <c r="M56" s="1">
        <v>0.55000000000000004</v>
      </c>
      <c r="N56" s="1">
        <v>10400</v>
      </c>
      <c r="O56" s="9"/>
      <c r="P56" s="7">
        <f t="shared" ca="1" si="13"/>
        <v>-0.21666666666666665</v>
      </c>
      <c r="Q56" s="7">
        <f t="shared" ca="1" si="22"/>
        <v>-8.6666666666666663E-3</v>
      </c>
      <c r="R56" s="33">
        <f t="shared" ca="1" si="1"/>
        <v>6759.9999999999991</v>
      </c>
      <c r="S56" s="33">
        <f t="shared" ca="1" si="2"/>
        <v>-24440</v>
      </c>
      <c r="T56" s="33">
        <f t="shared" ca="1" si="23"/>
        <v>6759.9999999999991</v>
      </c>
      <c r="U56" s="7">
        <f t="shared" ca="1" si="4"/>
        <v>0.27659574468085102</v>
      </c>
      <c r="V56" s="7">
        <f t="shared" ca="1" si="5"/>
        <v>-0.61653607818810496</v>
      </c>
      <c r="W56" s="33">
        <f t="shared" ca="1" si="24"/>
        <v>6759.9999999999991</v>
      </c>
      <c r="X56" s="7">
        <f t="shared" ca="1" si="25"/>
        <v>1</v>
      </c>
      <c r="Y56" s="7">
        <f t="shared" ca="1" si="26"/>
        <v>1.2765957446808511</v>
      </c>
      <c r="Z56" s="7">
        <f t="shared" ca="1" si="9"/>
        <v>-0.20733530562188698</v>
      </c>
      <c r="AA56" s="33">
        <f t="shared" ca="1" si="27"/>
        <v>6759.9999999999991</v>
      </c>
      <c r="AB56" s="7">
        <f t="shared" ca="1" si="28"/>
        <v>1</v>
      </c>
      <c r="AC56" s="7">
        <f t="shared" ca="1" si="29"/>
        <v>1.2765957446808511</v>
      </c>
      <c r="AD56" s="40"/>
      <c r="AE56" s="42"/>
      <c r="AF56" s="34"/>
      <c r="AH56" s="34"/>
    </row>
    <row r="57" spans="1:34" x14ac:dyDescent="0.25">
      <c r="A57" s="1"/>
      <c r="B57" s="25">
        <v>43979</v>
      </c>
      <c r="C57" s="10" t="s">
        <v>239</v>
      </c>
      <c r="D57" s="1">
        <v>22.6</v>
      </c>
      <c r="E57" s="30">
        <v>10400</v>
      </c>
      <c r="F57" s="1">
        <v>24</v>
      </c>
      <c r="G57" s="1">
        <v>1.1499999999999999</v>
      </c>
      <c r="H57" s="1">
        <v>30</v>
      </c>
      <c r="I57" s="1">
        <v>0.3</v>
      </c>
      <c r="J57" s="1">
        <v>1133600</v>
      </c>
      <c r="K57" s="1">
        <v>904800</v>
      </c>
      <c r="L57" s="1">
        <v>0.25</v>
      </c>
      <c r="M57" s="1">
        <v>0.3</v>
      </c>
      <c r="N57" s="1">
        <v>156000</v>
      </c>
      <c r="O57" s="9"/>
      <c r="P57" s="7">
        <f t="shared" ca="1" si="13"/>
        <v>-0.14166666666666664</v>
      </c>
      <c r="Q57" s="7">
        <f t="shared" ca="1" si="22"/>
        <v>-5.6666666666666653E-3</v>
      </c>
      <c r="R57" s="33">
        <f t="shared" ca="1" si="1"/>
        <v>8839.9999999999982</v>
      </c>
      <c r="S57" s="33">
        <f t="shared" ca="1" si="2"/>
        <v>-53560</v>
      </c>
      <c r="T57" s="33">
        <f t="shared" ca="1" si="23"/>
        <v>8839.9999999999982</v>
      </c>
      <c r="U57" s="7">
        <f t="shared" ca="1" si="4"/>
        <v>0.16504854368932034</v>
      </c>
      <c r="V57" s="7">
        <f t="shared" ca="1" si="5"/>
        <v>-0.61653607818810496</v>
      </c>
      <c r="W57" s="33">
        <f t="shared" ca="1" si="24"/>
        <v>8839.9999999999982</v>
      </c>
      <c r="X57" s="7">
        <f t="shared" ca="1" si="25"/>
        <v>1</v>
      </c>
      <c r="Y57" s="7">
        <f t="shared" ca="1" si="26"/>
        <v>1.1650485436893203</v>
      </c>
      <c r="Z57" s="7">
        <f t="shared" ca="1" si="9"/>
        <v>-0.20733530562188698</v>
      </c>
      <c r="AA57" s="33">
        <f t="shared" ca="1" si="27"/>
        <v>8839.9999999999982</v>
      </c>
      <c r="AB57" s="7">
        <f t="shared" ca="1" si="28"/>
        <v>1</v>
      </c>
      <c r="AC57" s="7">
        <f t="shared" ca="1" si="29"/>
        <v>1.1650485436893203</v>
      </c>
      <c r="AD57" s="40"/>
      <c r="AE57" s="42"/>
      <c r="AF57" s="34"/>
      <c r="AH57" s="34"/>
    </row>
    <row r="58" spans="1:34" x14ac:dyDescent="0.25">
      <c r="A58" s="1"/>
      <c r="B58" s="25">
        <v>43979</v>
      </c>
      <c r="C58" s="10" t="s">
        <v>271</v>
      </c>
      <c r="D58" s="1">
        <v>3160.5</v>
      </c>
      <c r="E58" s="30">
        <v>200</v>
      </c>
      <c r="F58" s="1">
        <v>3500</v>
      </c>
      <c r="G58" s="1">
        <v>52</v>
      </c>
      <c r="H58" s="1">
        <v>3600</v>
      </c>
      <c r="I58" s="1">
        <v>37.75</v>
      </c>
      <c r="J58" s="1">
        <v>6000</v>
      </c>
      <c r="K58" s="1">
        <v>200</v>
      </c>
      <c r="L58" s="1">
        <v>29</v>
      </c>
      <c r="M58" s="1">
        <v>44.95</v>
      </c>
      <c r="N58" s="1">
        <v>3000</v>
      </c>
      <c r="O58" s="9"/>
      <c r="P58" s="7">
        <f t="shared" ca="1" si="13"/>
        <v>-0.14249999999999999</v>
      </c>
      <c r="Q58" s="7">
        <f t="shared" ca="1" si="22"/>
        <v>-5.6999999999999993E-3</v>
      </c>
      <c r="R58" s="33">
        <f t="shared" ca="1" si="1"/>
        <v>2850</v>
      </c>
      <c r="S58" s="33">
        <f t="shared" ca="1" si="2"/>
        <v>-17150</v>
      </c>
      <c r="T58" s="33">
        <f t="shared" ca="1" si="23"/>
        <v>2850</v>
      </c>
      <c r="U58" s="7">
        <f t="shared" ca="1" si="4"/>
        <v>0.16618075801749271</v>
      </c>
      <c r="V58" s="7">
        <f t="shared" ca="1" si="5"/>
        <v>-0.38340252088151916</v>
      </c>
      <c r="W58" s="33">
        <f t="shared" ca="1" si="24"/>
        <v>2850</v>
      </c>
      <c r="X58" s="7">
        <f t="shared" ca="1" si="25"/>
        <v>1</v>
      </c>
      <c r="Y58" s="7">
        <f t="shared" ca="1" si="26"/>
        <v>1.1661807580174928</v>
      </c>
      <c r="Z58" s="7">
        <f t="shared" ca="1" si="9"/>
        <v>-7.0938845051995755E-2</v>
      </c>
      <c r="AA58" s="33">
        <f t="shared" ca="1" si="27"/>
        <v>2850</v>
      </c>
      <c r="AB58" s="7">
        <f t="shared" ca="1" si="28"/>
        <v>1</v>
      </c>
      <c r="AC58" s="7">
        <f t="shared" ca="1" si="29"/>
        <v>1.1661807580174928</v>
      </c>
      <c r="AD58" s="40"/>
      <c r="AE58" s="42"/>
      <c r="AF58" s="34"/>
      <c r="AH58" s="34"/>
    </row>
    <row r="59" spans="1:34" x14ac:dyDescent="0.25">
      <c r="A59" s="1"/>
      <c r="B59" s="25">
        <v>43979</v>
      </c>
      <c r="C59" s="10" t="s">
        <v>286</v>
      </c>
      <c r="D59" s="1">
        <v>87.75</v>
      </c>
      <c r="E59" s="30">
        <v>2600</v>
      </c>
      <c r="F59" s="1">
        <v>90</v>
      </c>
      <c r="G59" s="1">
        <v>9.4499999999999993</v>
      </c>
      <c r="H59" s="1">
        <v>95</v>
      </c>
      <c r="I59" s="1">
        <v>7.35</v>
      </c>
      <c r="J59" s="1">
        <v>127400</v>
      </c>
      <c r="K59" s="1">
        <v>2600</v>
      </c>
      <c r="L59" s="1">
        <v>7.05</v>
      </c>
      <c r="M59" s="1">
        <v>7.3</v>
      </c>
      <c r="N59" s="1">
        <v>5200</v>
      </c>
      <c r="O59" s="9"/>
      <c r="P59" s="7">
        <f t="shared" ca="1" si="13"/>
        <v>-0.41999999999999993</v>
      </c>
      <c r="Q59" s="7">
        <f t="shared" ca="1" si="22"/>
        <v>-1.6799999999999995E-2</v>
      </c>
      <c r="R59" s="33">
        <f t="shared" ca="1" si="1"/>
        <v>5459.9999999999991</v>
      </c>
      <c r="S59" s="33">
        <f t="shared" ca="1" si="2"/>
        <v>-7540.0000000000009</v>
      </c>
      <c r="T59" s="33">
        <f t="shared" ca="1" si="23"/>
        <v>5459.9999999999991</v>
      </c>
      <c r="U59" s="7">
        <f t="shared" ca="1" si="4"/>
        <v>0.72413793103448254</v>
      </c>
      <c r="V59" s="7">
        <f t="shared" ca="1" si="5"/>
        <v>-0.88668462233755407</v>
      </c>
      <c r="W59" s="33">
        <f t="shared" ca="1" si="24"/>
        <v>5459.9999999999991</v>
      </c>
      <c r="X59" s="7">
        <f t="shared" ca="1" si="25"/>
        <v>1</v>
      </c>
      <c r="Y59" s="7">
        <f t="shared" ca="1" si="26"/>
        <v>1.7241379310344827</v>
      </c>
      <c r="Z59" s="7">
        <f t="shared" ca="1" si="9"/>
        <v>-0.21569527043389222</v>
      </c>
      <c r="AA59" s="33">
        <f t="shared" ca="1" si="27"/>
        <v>5459.9999999999991</v>
      </c>
      <c r="AB59" s="7">
        <f t="shared" ca="1" si="28"/>
        <v>1</v>
      </c>
      <c r="AC59" s="7">
        <f t="shared" ca="1" si="29"/>
        <v>1.7241379310344827</v>
      </c>
      <c r="AD59" s="40"/>
      <c r="AE59" s="42"/>
      <c r="AF59" s="34"/>
      <c r="AH59" s="34"/>
    </row>
    <row r="60" spans="1:34" x14ac:dyDescent="0.25">
      <c r="A60" s="1"/>
      <c r="B60" s="25">
        <v>43979</v>
      </c>
      <c r="C60" s="10" t="s">
        <v>286</v>
      </c>
      <c r="D60" s="1">
        <v>87.75</v>
      </c>
      <c r="E60" s="30">
        <v>2600</v>
      </c>
      <c r="F60" s="1">
        <v>90</v>
      </c>
      <c r="G60" s="1">
        <v>9.4499999999999993</v>
      </c>
      <c r="H60" s="1">
        <v>100</v>
      </c>
      <c r="I60" s="1">
        <v>5.55</v>
      </c>
      <c r="J60" s="1">
        <v>481000</v>
      </c>
      <c r="K60" s="1">
        <v>5200</v>
      </c>
      <c r="L60" s="1">
        <v>5.4</v>
      </c>
      <c r="M60" s="1">
        <v>5.6</v>
      </c>
      <c r="N60" s="1">
        <v>10400</v>
      </c>
      <c r="O60" s="9"/>
      <c r="P60" s="7">
        <f t="shared" ca="1" si="13"/>
        <v>-0.38999999999999996</v>
      </c>
      <c r="Q60" s="7">
        <f t="shared" ca="1" si="22"/>
        <v>-1.5599999999999998E-2</v>
      </c>
      <c r="R60" s="33">
        <f t="shared" ca="1" si="1"/>
        <v>10139.999999999998</v>
      </c>
      <c r="S60" s="33">
        <f t="shared" ca="1" si="2"/>
        <v>-15860.000000000002</v>
      </c>
      <c r="T60" s="33">
        <f t="shared" ca="1" si="23"/>
        <v>10139.999999999998</v>
      </c>
      <c r="U60" s="7">
        <f t="shared" ca="1" si="4"/>
        <v>0.63934426229508179</v>
      </c>
      <c r="V60" s="7">
        <f t="shared" ca="1" si="5"/>
        <v>-0.88668462233755407</v>
      </c>
      <c r="W60" s="33">
        <f t="shared" ca="1" si="24"/>
        <v>10139.999999999998</v>
      </c>
      <c r="X60" s="7">
        <f t="shared" ca="1" si="25"/>
        <v>1</v>
      </c>
      <c r="Y60" s="7">
        <f t="shared" ca="1" si="26"/>
        <v>1.6393442622950818</v>
      </c>
      <c r="Z60" s="7">
        <f t="shared" ca="1" si="9"/>
        <v>-0.21569527043389222</v>
      </c>
      <c r="AA60" s="33">
        <f t="shared" ca="1" si="27"/>
        <v>10139.999999999998</v>
      </c>
      <c r="AB60" s="7">
        <f t="shared" ca="1" si="28"/>
        <v>1</v>
      </c>
      <c r="AC60" s="7">
        <f t="shared" ca="1" si="29"/>
        <v>1.6393442622950818</v>
      </c>
      <c r="AD60" s="40"/>
      <c r="AE60" s="42"/>
      <c r="AF60" s="34"/>
      <c r="AH60" s="34"/>
    </row>
    <row r="61" spans="1:34" x14ac:dyDescent="0.25">
      <c r="A61" s="1"/>
      <c r="B61" s="25">
        <v>43979</v>
      </c>
      <c r="C61" s="10" t="s">
        <v>286</v>
      </c>
      <c r="D61" s="1">
        <v>87.75</v>
      </c>
      <c r="E61" s="30">
        <v>2600</v>
      </c>
      <c r="F61" s="1">
        <v>90</v>
      </c>
      <c r="G61" s="1">
        <v>9.4499999999999993</v>
      </c>
      <c r="H61" s="1">
        <v>105</v>
      </c>
      <c r="I61" s="1">
        <v>3.9</v>
      </c>
      <c r="J61" s="1">
        <v>23400</v>
      </c>
      <c r="K61" s="1">
        <v>2600</v>
      </c>
      <c r="L61" s="1">
        <v>3.95</v>
      </c>
      <c r="M61" s="1">
        <v>4.3</v>
      </c>
      <c r="N61" s="1">
        <v>2600</v>
      </c>
      <c r="O61" s="9"/>
      <c r="P61" s="7">
        <f t="shared" ca="1" si="13"/>
        <v>-0.36999999999999994</v>
      </c>
      <c r="Q61" s="7">
        <f t="shared" ca="1" si="22"/>
        <v>-1.4799999999999997E-2</v>
      </c>
      <c r="R61" s="33">
        <f t="shared" ca="1" si="1"/>
        <v>14429.999999999996</v>
      </c>
      <c r="S61" s="33">
        <f t="shared" ca="1" si="2"/>
        <v>-24570.000000000004</v>
      </c>
      <c r="T61" s="33">
        <f t="shared" ca="1" si="23"/>
        <v>14429.999999999996</v>
      </c>
      <c r="U61" s="7">
        <f t="shared" ca="1" si="4"/>
        <v>0.5873015873015871</v>
      </c>
      <c r="V61" s="7">
        <f t="shared" ca="1" si="5"/>
        <v>-0.88668462233755407</v>
      </c>
      <c r="W61" s="33">
        <f t="shared" ca="1" si="24"/>
        <v>14429.999999999996</v>
      </c>
      <c r="X61" s="7">
        <f t="shared" ca="1" si="25"/>
        <v>1</v>
      </c>
      <c r="Y61" s="7">
        <f t="shared" ca="1" si="26"/>
        <v>1.587301587301587</v>
      </c>
      <c r="Z61" s="7">
        <f t="shared" ca="1" si="9"/>
        <v>-0.21569527043389222</v>
      </c>
      <c r="AA61" s="33">
        <f t="shared" ca="1" si="27"/>
        <v>14429.999999999996</v>
      </c>
      <c r="AB61" s="7">
        <f t="shared" ca="1" si="28"/>
        <v>1</v>
      </c>
      <c r="AC61" s="7">
        <f t="shared" ca="1" si="29"/>
        <v>1.587301587301587</v>
      </c>
      <c r="AD61" s="40"/>
      <c r="AE61" s="42"/>
      <c r="AF61" s="34"/>
      <c r="AH61" s="34"/>
    </row>
    <row r="62" spans="1:34" x14ac:dyDescent="0.25">
      <c r="A62" s="1"/>
      <c r="B62" s="25">
        <v>43979</v>
      </c>
      <c r="C62" s="10" t="s">
        <v>286</v>
      </c>
      <c r="D62" s="1">
        <v>87.75</v>
      </c>
      <c r="E62" s="30">
        <v>2600</v>
      </c>
      <c r="F62" s="1">
        <v>90</v>
      </c>
      <c r="G62" s="1">
        <v>9.4499999999999993</v>
      </c>
      <c r="H62" s="1">
        <v>110</v>
      </c>
      <c r="I62" s="1">
        <v>2.95</v>
      </c>
      <c r="J62" s="1">
        <v>83200</v>
      </c>
      <c r="K62" s="1">
        <v>5200</v>
      </c>
      <c r="L62" s="1">
        <v>2.95</v>
      </c>
      <c r="M62" s="1">
        <v>3.15</v>
      </c>
      <c r="N62" s="1">
        <v>10400</v>
      </c>
      <c r="O62" s="9"/>
      <c r="P62" s="7">
        <f t="shared" ca="1" si="13"/>
        <v>-0.32499999999999996</v>
      </c>
      <c r="Q62" s="7">
        <f t="shared" ca="1" si="22"/>
        <v>-1.2999999999999998E-2</v>
      </c>
      <c r="R62" s="33">
        <f t="shared" ca="1" si="1"/>
        <v>16899.999999999996</v>
      </c>
      <c r="S62" s="33">
        <f t="shared" ca="1" si="2"/>
        <v>-35100</v>
      </c>
      <c r="T62" s="33">
        <f t="shared" ca="1" si="23"/>
        <v>16899.999999999996</v>
      </c>
      <c r="U62" s="7">
        <f t="shared" ca="1" si="4"/>
        <v>0.4814814814814814</v>
      </c>
      <c r="V62" s="7">
        <f t="shared" ca="1" si="5"/>
        <v>-0.88668462233755407</v>
      </c>
      <c r="W62" s="33">
        <f t="shared" ca="1" si="24"/>
        <v>16899.999999999996</v>
      </c>
      <c r="X62" s="7">
        <f t="shared" ca="1" si="25"/>
        <v>1</v>
      </c>
      <c r="Y62" s="7">
        <f t="shared" ca="1" si="26"/>
        <v>1.4814814814814814</v>
      </c>
      <c r="Z62" s="7">
        <f t="shared" ca="1" si="9"/>
        <v>-0.21569527043389222</v>
      </c>
      <c r="AA62" s="33">
        <f t="shared" ca="1" si="27"/>
        <v>16899.999999999996</v>
      </c>
      <c r="AB62" s="7">
        <f t="shared" ca="1" si="28"/>
        <v>1</v>
      </c>
      <c r="AC62" s="7">
        <f t="shared" ca="1" si="29"/>
        <v>1.4814814814814814</v>
      </c>
      <c r="AD62" s="40"/>
      <c r="AE62" s="42"/>
      <c r="AF62" s="34"/>
      <c r="AH62" s="34"/>
    </row>
    <row r="63" spans="1:34" x14ac:dyDescent="0.25">
      <c r="A63" s="1"/>
      <c r="B63" s="25">
        <v>43979</v>
      </c>
      <c r="C63" s="10" t="s">
        <v>286</v>
      </c>
      <c r="D63" s="1">
        <v>87.75</v>
      </c>
      <c r="E63" s="30">
        <v>2600</v>
      </c>
      <c r="F63" s="1">
        <v>90</v>
      </c>
      <c r="G63" s="1">
        <v>9.4499999999999993</v>
      </c>
      <c r="H63" s="1">
        <v>120</v>
      </c>
      <c r="I63" s="1">
        <v>1.8</v>
      </c>
      <c r="J63" s="1">
        <v>46800</v>
      </c>
      <c r="K63" s="1">
        <v>5200</v>
      </c>
      <c r="L63" s="1">
        <v>1.4</v>
      </c>
      <c r="M63" s="1">
        <v>1.8</v>
      </c>
      <c r="N63" s="1">
        <v>28600</v>
      </c>
      <c r="O63" s="9"/>
      <c r="P63" s="7">
        <f t="shared" ca="1" si="13"/>
        <v>-0.255</v>
      </c>
      <c r="Q63" s="7">
        <f t="shared" ca="1" si="22"/>
        <v>-1.0200000000000001E-2</v>
      </c>
      <c r="R63" s="33">
        <f t="shared" ca="1" si="1"/>
        <v>19890</v>
      </c>
      <c r="S63" s="33">
        <f t="shared" ca="1" si="2"/>
        <v>-58110</v>
      </c>
      <c r="T63" s="33">
        <f t="shared" ca="1" si="23"/>
        <v>19890</v>
      </c>
      <c r="U63" s="7">
        <f t="shared" ca="1" si="4"/>
        <v>0.34228187919463088</v>
      </c>
      <c r="V63" s="7">
        <f t="shared" ca="1" si="5"/>
        <v>-0.88668462233755407</v>
      </c>
      <c r="W63" s="33">
        <f t="shared" ca="1" si="24"/>
        <v>19890</v>
      </c>
      <c r="X63" s="7">
        <f t="shared" ca="1" si="25"/>
        <v>1</v>
      </c>
      <c r="Y63" s="7">
        <f t="shared" ca="1" si="26"/>
        <v>1.3422818791946309</v>
      </c>
      <c r="Z63" s="7">
        <f t="shared" ca="1" si="9"/>
        <v>-0.21569527043389222</v>
      </c>
      <c r="AA63" s="33">
        <f t="shared" ca="1" si="27"/>
        <v>19890</v>
      </c>
      <c r="AB63" s="7">
        <f t="shared" ca="1" si="28"/>
        <v>1</v>
      </c>
      <c r="AC63" s="7">
        <f t="shared" ca="1" si="29"/>
        <v>1.3422818791946309</v>
      </c>
      <c r="AD63" s="40"/>
      <c r="AE63" s="42"/>
      <c r="AF63" s="34"/>
      <c r="AH63" s="34"/>
    </row>
    <row r="64" spans="1:34" x14ac:dyDescent="0.25">
      <c r="A64" s="1"/>
      <c r="B64" s="25">
        <v>43979</v>
      </c>
      <c r="C64" s="10" t="s">
        <v>286</v>
      </c>
      <c r="D64" s="1">
        <v>87.75</v>
      </c>
      <c r="E64" s="30">
        <v>2600</v>
      </c>
      <c r="F64" s="1">
        <v>90</v>
      </c>
      <c r="G64" s="1">
        <v>9.4499999999999993</v>
      </c>
      <c r="H64" s="1">
        <v>140</v>
      </c>
      <c r="I64" s="1">
        <v>0.65</v>
      </c>
      <c r="J64" s="1">
        <v>2600</v>
      </c>
      <c r="K64" s="1">
        <v>7800</v>
      </c>
      <c r="L64" s="1">
        <v>0.15</v>
      </c>
      <c r="M64" s="1">
        <v>1.55</v>
      </c>
      <c r="N64" s="1">
        <v>41600</v>
      </c>
      <c r="O64" s="9"/>
      <c r="P64" s="7">
        <f t="shared" ca="1" si="13"/>
        <v>-0.17599999999999999</v>
      </c>
      <c r="Q64" s="7">
        <f t="shared" ca="1" si="22"/>
        <v>-7.0399999999999994E-3</v>
      </c>
      <c r="R64" s="33">
        <f t="shared" ca="1" si="1"/>
        <v>22879.999999999996</v>
      </c>
      <c r="S64" s="33">
        <f t="shared" ca="1" si="2"/>
        <v>-107120</v>
      </c>
      <c r="T64" s="33">
        <f t="shared" ca="1" si="23"/>
        <v>22879.999999999996</v>
      </c>
      <c r="U64" s="7">
        <f t="shared" ca="1" si="4"/>
        <v>0.2135922330097087</v>
      </c>
      <c r="V64" s="7">
        <f t="shared" ca="1" si="5"/>
        <v>-0.88668462233755407</v>
      </c>
      <c r="W64" s="33">
        <f t="shared" ca="1" si="24"/>
        <v>22879.999999999996</v>
      </c>
      <c r="X64" s="7">
        <f t="shared" ca="1" si="25"/>
        <v>1</v>
      </c>
      <c r="Y64" s="7">
        <f t="shared" ca="1" si="26"/>
        <v>1.2135922330097086</v>
      </c>
      <c r="Z64" s="7">
        <f t="shared" ca="1" si="9"/>
        <v>-0.21569527043389222</v>
      </c>
      <c r="AA64" s="33">
        <f t="shared" ca="1" si="27"/>
        <v>22879.999999999996</v>
      </c>
      <c r="AB64" s="7">
        <f t="shared" ca="1" si="28"/>
        <v>1</v>
      </c>
      <c r="AC64" s="7">
        <f t="shared" ca="1" si="29"/>
        <v>1.2135922330097086</v>
      </c>
      <c r="AD64" s="40"/>
      <c r="AE64" s="42"/>
      <c r="AF64" s="34"/>
      <c r="AH64" s="34"/>
    </row>
    <row r="65" spans="1:34" x14ac:dyDescent="0.25">
      <c r="A65" s="1"/>
      <c r="B65" s="25">
        <v>43979</v>
      </c>
      <c r="C65" s="10" t="s">
        <v>286</v>
      </c>
      <c r="D65" s="1">
        <v>87.75</v>
      </c>
      <c r="E65" s="30">
        <v>2600</v>
      </c>
      <c r="F65" s="1">
        <v>90</v>
      </c>
      <c r="G65" s="1">
        <v>9.4499999999999993</v>
      </c>
      <c r="H65" s="1">
        <v>150</v>
      </c>
      <c r="I65" s="1">
        <v>0.4</v>
      </c>
      <c r="J65" s="1">
        <v>10400</v>
      </c>
      <c r="K65" s="1">
        <v>7800</v>
      </c>
      <c r="L65" s="1">
        <v>0.15</v>
      </c>
      <c r="M65" s="1">
        <v>0.6</v>
      </c>
      <c r="N65" s="1">
        <v>5200</v>
      </c>
      <c r="O65" s="9"/>
      <c r="P65" s="7">
        <f t="shared" ca="1" si="13"/>
        <v>-0.15083333333333332</v>
      </c>
      <c r="Q65" s="7">
        <f t="shared" ca="1" si="22"/>
        <v>-6.0333333333333324E-3</v>
      </c>
      <c r="R65" s="33">
        <f t="shared" ca="1" si="1"/>
        <v>23529.999999999996</v>
      </c>
      <c r="S65" s="33">
        <f t="shared" ca="1" si="2"/>
        <v>-132470</v>
      </c>
      <c r="T65" s="33">
        <f t="shared" ca="1" si="23"/>
        <v>23529.999999999996</v>
      </c>
      <c r="U65" s="7">
        <f t="shared" ca="1" si="4"/>
        <v>0.1776251226692836</v>
      </c>
      <c r="V65" s="7">
        <f t="shared" ca="1" si="5"/>
        <v>-0.88668462233755407</v>
      </c>
      <c r="W65" s="33">
        <f t="shared" ca="1" si="24"/>
        <v>23529.999999999996</v>
      </c>
      <c r="X65" s="7">
        <f t="shared" ca="1" si="25"/>
        <v>1</v>
      </c>
      <c r="Y65" s="7">
        <f t="shared" ca="1" si="26"/>
        <v>1.1776251226692835</v>
      </c>
      <c r="Z65" s="7">
        <f t="shared" ca="1" si="9"/>
        <v>-0.21569527043389222</v>
      </c>
      <c r="AA65" s="33">
        <f t="shared" ca="1" si="27"/>
        <v>23529.999999999996</v>
      </c>
      <c r="AB65" s="7">
        <f t="shared" ca="1" si="28"/>
        <v>1</v>
      </c>
      <c r="AC65" s="7">
        <f t="shared" ca="1" si="29"/>
        <v>1.1776251226692835</v>
      </c>
      <c r="AD65" s="40"/>
      <c r="AE65" s="42"/>
      <c r="AF65" s="34"/>
      <c r="AH65" s="34"/>
    </row>
    <row r="66" spans="1:34" x14ac:dyDescent="0.25">
      <c r="A66" s="1"/>
      <c r="B66" s="25">
        <v>43979</v>
      </c>
      <c r="C66" s="10" t="s">
        <v>313</v>
      </c>
      <c r="D66" s="1">
        <v>292</v>
      </c>
      <c r="E66" s="30">
        <v>600</v>
      </c>
      <c r="F66" s="1">
        <v>320</v>
      </c>
      <c r="G66" s="1">
        <v>25.2</v>
      </c>
      <c r="H66" s="1">
        <v>340</v>
      </c>
      <c r="I66" s="1">
        <v>17.100000000000001</v>
      </c>
      <c r="J66" s="1">
        <v>4800</v>
      </c>
      <c r="K66" s="1">
        <v>600</v>
      </c>
      <c r="L66" s="1">
        <v>16</v>
      </c>
      <c r="M66" s="1">
        <v>18.45</v>
      </c>
      <c r="N66" s="1">
        <v>600</v>
      </c>
      <c r="O66" s="9"/>
      <c r="P66" s="7">
        <f t="shared" ca="1" si="13"/>
        <v>-0.40499999999999992</v>
      </c>
      <c r="Q66" s="7">
        <f t="shared" ca="1" si="22"/>
        <v>-1.6199999999999996E-2</v>
      </c>
      <c r="R66" s="33">
        <f t="shared" ca="1" si="1"/>
        <v>4859.9999999999991</v>
      </c>
      <c r="S66" s="33">
        <f t="shared" ca="1" si="2"/>
        <v>-7140.0000000000009</v>
      </c>
      <c r="T66" s="33">
        <f t="shared" ca="1" si="23"/>
        <v>4859.9999999999991</v>
      </c>
      <c r="U66" s="7">
        <f t="shared" ca="1" si="4"/>
        <v>0.68067226890756283</v>
      </c>
      <c r="V66" s="7">
        <f t="shared" ca="1" si="5"/>
        <v>-0.96352735091975983</v>
      </c>
      <c r="W66" s="33">
        <f t="shared" ca="1" si="24"/>
        <v>4859.9999999999991</v>
      </c>
      <c r="X66" s="7">
        <f t="shared" ca="1" si="25"/>
        <v>1</v>
      </c>
      <c r="Y66" s="7">
        <f t="shared" ca="1" si="26"/>
        <v>1.6806722689075628</v>
      </c>
      <c r="Z66" s="7">
        <f t="shared" ca="1" si="9"/>
        <v>-0.32862017467255211</v>
      </c>
      <c r="AA66" s="33">
        <f t="shared" ca="1" si="27"/>
        <v>4859.9999999999991</v>
      </c>
      <c r="AB66" s="7">
        <f t="shared" ca="1" si="28"/>
        <v>1</v>
      </c>
      <c r="AC66" s="7">
        <f t="shared" ca="1" si="29"/>
        <v>1.6806722689075628</v>
      </c>
      <c r="AD66" s="40"/>
      <c r="AE66" s="42"/>
      <c r="AF66" s="34"/>
      <c r="AH66" s="34"/>
    </row>
    <row r="67" spans="1:34" x14ac:dyDescent="0.25">
      <c r="A67" s="1"/>
      <c r="B67" s="25">
        <v>43979</v>
      </c>
      <c r="C67" s="10" t="s">
        <v>313</v>
      </c>
      <c r="D67" s="1">
        <v>292</v>
      </c>
      <c r="E67" s="30">
        <v>600</v>
      </c>
      <c r="F67" s="1">
        <v>320</v>
      </c>
      <c r="G67" s="1">
        <v>25.2</v>
      </c>
      <c r="H67" s="1">
        <v>360</v>
      </c>
      <c r="I67" s="1">
        <v>12.05</v>
      </c>
      <c r="J67" s="1">
        <v>1800</v>
      </c>
      <c r="K67" s="1">
        <v>1200</v>
      </c>
      <c r="L67" s="1">
        <v>12</v>
      </c>
      <c r="M67" s="1">
        <v>13.9</v>
      </c>
      <c r="N67" s="1">
        <v>600</v>
      </c>
      <c r="O67" s="9"/>
      <c r="P67" s="7">
        <f t="shared" ca="1" si="13"/>
        <v>-0.32874999999999999</v>
      </c>
      <c r="Q67" s="7">
        <f t="shared" ca="1" si="22"/>
        <v>-1.315E-2</v>
      </c>
      <c r="R67" s="33">
        <f t="shared" ca="1" si="1"/>
        <v>7889.9999999999991</v>
      </c>
      <c r="S67" s="33">
        <f t="shared" ca="1" si="2"/>
        <v>-16110</v>
      </c>
      <c r="T67" s="33">
        <f t="shared" ca="1" si="23"/>
        <v>7889.9999999999991</v>
      </c>
      <c r="U67" s="7">
        <f t="shared" ca="1" si="4"/>
        <v>0.48975791433891985</v>
      </c>
      <c r="V67" s="7">
        <f t="shared" ca="1" si="5"/>
        <v>-0.96352735091975983</v>
      </c>
      <c r="W67" s="33">
        <f t="shared" ca="1" si="24"/>
        <v>7889.9999999999991</v>
      </c>
      <c r="X67" s="7">
        <f t="shared" ca="1" si="25"/>
        <v>1</v>
      </c>
      <c r="Y67" s="7">
        <f t="shared" ca="1" si="26"/>
        <v>1.4897579143389199</v>
      </c>
      <c r="Z67" s="7">
        <f t="shared" ca="1" si="9"/>
        <v>-0.32862017467255211</v>
      </c>
      <c r="AA67" s="33">
        <f t="shared" ca="1" si="27"/>
        <v>7889.9999999999991</v>
      </c>
      <c r="AB67" s="7">
        <f t="shared" ca="1" si="28"/>
        <v>1</v>
      </c>
      <c r="AC67" s="7">
        <f t="shared" ca="1" si="29"/>
        <v>1.4897579143389199</v>
      </c>
      <c r="AD67" s="40"/>
      <c r="AE67" s="42"/>
      <c r="AF67" s="34"/>
      <c r="AH67" s="34"/>
    </row>
    <row r="68" spans="1:34" x14ac:dyDescent="0.25">
      <c r="A68" s="1"/>
      <c r="B68" s="25">
        <v>43979</v>
      </c>
      <c r="C68" s="10" t="s">
        <v>313</v>
      </c>
      <c r="D68" s="1">
        <v>292</v>
      </c>
      <c r="E68" s="30">
        <v>600</v>
      </c>
      <c r="F68" s="1">
        <v>320</v>
      </c>
      <c r="G68" s="1">
        <v>25.2</v>
      </c>
      <c r="H68" s="1">
        <v>380</v>
      </c>
      <c r="I68" s="1">
        <v>11</v>
      </c>
      <c r="J68" s="1">
        <v>600</v>
      </c>
      <c r="K68" s="1">
        <v>600</v>
      </c>
      <c r="L68" s="1">
        <v>6.05</v>
      </c>
      <c r="M68" s="1">
        <v>11.45</v>
      </c>
      <c r="N68" s="1">
        <v>600</v>
      </c>
      <c r="O68" s="9"/>
      <c r="P68" s="7">
        <f t="shared" ca="1" si="13"/>
        <v>-0.23666666666666666</v>
      </c>
      <c r="Q68" s="7">
        <f t="shared" ca="1" si="22"/>
        <v>-9.4666666666666666E-3</v>
      </c>
      <c r="R68" s="33">
        <f t="shared" ref="R68:R131" ca="1" si="30">$E68*($G68-$I68)</f>
        <v>8520</v>
      </c>
      <c r="S68" s="33">
        <f t="shared" ref="S68:S131" ca="1" si="31">-(($H68-$F68)*$E68-$R68)</f>
        <v>-27480</v>
      </c>
      <c r="T68" s="33">
        <f t="shared" ca="1" si="23"/>
        <v>8520</v>
      </c>
      <c r="U68" s="7">
        <f t="shared" ref="U68:U131" ca="1" si="32">ABS($T68/$S68)</f>
        <v>0.31004366812227074</v>
      </c>
      <c r="V68" s="7">
        <f t="shared" ref="V68:V131" ca="1" si="33">mrigxl_max_drawdown($C68,INT($B68-TODAY()))</f>
        <v>-0.96352735091975983</v>
      </c>
      <c r="W68" s="33">
        <f t="shared" ca="1" si="24"/>
        <v>8520</v>
      </c>
      <c r="X68" s="7">
        <f t="shared" ca="1" si="25"/>
        <v>1</v>
      </c>
      <c r="Y68" s="7">
        <f t="shared" ca="1" si="26"/>
        <v>1.3100436681222707</v>
      </c>
      <c r="Z68" s="7">
        <f t="shared" ref="Z68:Z131" ca="1" si="34">mrigxl_avg_drawdown($C68,INT($B68-TODAY()))</f>
        <v>-0.32862017467255211</v>
      </c>
      <c r="AA68" s="33">
        <f t="shared" ca="1" si="27"/>
        <v>8520</v>
      </c>
      <c r="AB68" s="7">
        <f t="shared" ca="1" si="28"/>
        <v>1</v>
      </c>
      <c r="AC68" s="7">
        <f t="shared" ca="1" si="29"/>
        <v>1.3100436681222707</v>
      </c>
      <c r="AD68" s="40"/>
      <c r="AE68" s="42"/>
      <c r="AF68" s="34"/>
      <c r="AH68" s="34"/>
    </row>
    <row r="69" spans="1:34" x14ac:dyDescent="0.25">
      <c r="A69" s="1"/>
      <c r="B69" s="25">
        <v>43979</v>
      </c>
      <c r="C69" s="10" t="s">
        <v>339</v>
      </c>
      <c r="D69" s="1">
        <v>374</v>
      </c>
      <c r="E69" s="30">
        <v>1563</v>
      </c>
      <c r="F69" s="1">
        <v>400</v>
      </c>
      <c r="G69" s="1">
        <v>15</v>
      </c>
      <c r="H69" s="1">
        <v>420</v>
      </c>
      <c r="I69" s="1">
        <v>11</v>
      </c>
      <c r="J69" s="1">
        <v>12504</v>
      </c>
      <c r="K69" s="1">
        <v>15630</v>
      </c>
      <c r="L69" s="1">
        <v>9.4</v>
      </c>
      <c r="M69" s="1">
        <v>11</v>
      </c>
      <c r="N69" s="1">
        <v>4689</v>
      </c>
      <c r="O69" s="9"/>
      <c r="P69" s="7">
        <f t="shared" ref="P69:P132" ca="1" si="35">($G69-$I69)/($F69-$H69)</f>
        <v>-0.2</v>
      </c>
      <c r="Q69" s="7">
        <f t="shared" ca="1" si="22"/>
        <v>-8.0000000000000002E-3</v>
      </c>
      <c r="R69" s="33">
        <f t="shared" ca="1" si="30"/>
        <v>6252</v>
      </c>
      <c r="S69" s="33">
        <f t="shared" ca="1" si="31"/>
        <v>-25008</v>
      </c>
      <c r="T69" s="33">
        <f t="shared" ca="1" si="23"/>
        <v>6252</v>
      </c>
      <c r="U69" s="7">
        <f t="shared" ca="1" si="32"/>
        <v>0.25</v>
      </c>
      <c r="V69" s="7">
        <f t="shared" ca="1" si="33"/>
        <v>-0.70612860229802521</v>
      </c>
      <c r="W69" s="33">
        <f t="shared" ca="1" si="24"/>
        <v>6252</v>
      </c>
      <c r="X69" s="7">
        <f t="shared" ca="1" si="25"/>
        <v>1</v>
      </c>
      <c r="Y69" s="7">
        <f t="shared" ca="1" si="26"/>
        <v>1.25</v>
      </c>
      <c r="Z69" s="7">
        <f t="shared" ca="1" si="34"/>
        <v>-0.13681752823977666</v>
      </c>
      <c r="AA69" s="33">
        <f t="shared" ca="1" si="27"/>
        <v>6252</v>
      </c>
      <c r="AB69" s="7">
        <f t="shared" ca="1" si="28"/>
        <v>1</v>
      </c>
      <c r="AC69" s="7">
        <f t="shared" ca="1" si="29"/>
        <v>1.25</v>
      </c>
      <c r="AD69" s="40"/>
      <c r="AE69" s="42"/>
      <c r="AF69" s="34"/>
      <c r="AH69" s="34"/>
    </row>
    <row r="70" spans="1:34" x14ac:dyDescent="0.25">
      <c r="A70" s="1"/>
      <c r="B70" s="25">
        <v>43979</v>
      </c>
      <c r="C70" s="10" t="s">
        <v>356</v>
      </c>
      <c r="D70" s="1">
        <v>376.05</v>
      </c>
      <c r="E70" s="30">
        <v>900</v>
      </c>
      <c r="F70" s="1">
        <v>380</v>
      </c>
      <c r="G70" s="1">
        <v>22</v>
      </c>
      <c r="H70" s="1">
        <v>400</v>
      </c>
      <c r="I70" s="1">
        <v>16</v>
      </c>
      <c r="J70" s="1">
        <v>9000</v>
      </c>
      <c r="K70" s="1">
        <v>900</v>
      </c>
      <c r="L70" s="1">
        <v>13.5</v>
      </c>
      <c r="M70" s="1">
        <v>15.95</v>
      </c>
      <c r="N70" s="1">
        <v>9000</v>
      </c>
      <c r="O70" s="9"/>
      <c r="P70" s="7">
        <f t="shared" ca="1" si="35"/>
        <v>-0.3</v>
      </c>
      <c r="Q70" s="7">
        <f t="shared" ca="1" si="22"/>
        <v>-1.2E-2</v>
      </c>
      <c r="R70" s="33">
        <f t="shared" ca="1" si="30"/>
        <v>5400</v>
      </c>
      <c r="S70" s="33">
        <f t="shared" ca="1" si="31"/>
        <v>-12600</v>
      </c>
      <c r="T70" s="33">
        <f t="shared" ca="1" si="23"/>
        <v>5400</v>
      </c>
      <c r="U70" s="7">
        <f t="shared" ca="1" si="32"/>
        <v>0.42857142857142855</v>
      </c>
      <c r="V70" s="7">
        <f t="shared" ca="1" si="33"/>
        <v>-0.61917314176118632</v>
      </c>
      <c r="W70" s="33">
        <f t="shared" ca="1" si="24"/>
        <v>5400</v>
      </c>
      <c r="X70" s="7">
        <f t="shared" ca="1" si="25"/>
        <v>1</v>
      </c>
      <c r="Y70" s="7">
        <f t="shared" ca="1" si="26"/>
        <v>1.4285714285714286</v>
      </c>
      <c r="Z70" s="7">
        <f t="shared" ca="1" si="34"/>
        <v>-0.1195802720345838</v>
      </c>
      <c r="AA70" s="33">
        <f t="shared" ca="1" si="27"/>
        <v>5400</v>
      </c>
      <c r="AB70" s="7">
        <f t="shared" ca="1" si="28"/>
        <v>1</v>
      </c>
      <c r="AC70" s="7">
        <f t="shared" ca="1" si="29"/>
        <v>1.4285714285714286</v>
      </c>
      <c r="AD70" s="40"/>
      <c r="AE70" s="42"/>
      <c r="AF70" s="34"/>
      <c r="AH70" s="34"/>
    </row>
    <row r="71" spans="1:34" x14ac:dyDescent="0.25">
      <c r="A71" s="1"/>
      <c r="B71" s="25">
        <v>43979</v>
      </c>
      <c r="C71" s="10" t="s">
        <v>396</v>
      </c>
      <c r="D71" s="1">
        <v>146.75</v>
      </c>
      <c r="E71" s="30">
        <v>3300</v>
      </c>
      <c r="F71" s="1">
        <v>155</v>
      </c>
      <c r="G71" s="1">
        <v>8.1</v>
      </c>
      <c r="H71" s="1">
        <v>160</v>
      </c>
      <c r="I71" s="1">
        <v>6.55</v>
      </c>
      <c r="J71" s="1">
        <v>128700</v>
      </c>
      <c r="K71" s="1">
        <v>3300</v>
      </c>
      <c r="L71" s="1">
        <v>6.25</v>
      </c>
      <c r="M71" s="1">
        <v>6.45</v>
      </c>
      <c r="N71" s="1">
        <v>3300</v>
      </c>
      <c r="O71" s="9"/>
      <c r="P71" s="7">
        <f t="shared" ca="1" si="35"/>
        <v>-0.30999999999999994</v>
      </c>
      <c r="Q71" s="7">
        <f t="shared" ca="1" si="22"/>
        <v>-1.2399999999999998E-2</v>
      </c>
      <c r="R71" s="33">
        <f t="shared" ca="1" si="30"/>
        <v>5114.9999999999991</v>
      </c>
      <c r="S71" s="33">
        <f t="shared" ca="1" si="31"/>
        <v>-11385</v>
      </c>
      <c r="T71" s="33">
        <f t="shared" ca="1" si="23"/>
        <v>5114.9999999999991</v>
      </c>
      <c r="U71" s="7">
        <f t="shared" ca="1" si="32"/>
        <v>0.44927536231884052</v>
      </c>
      <c r="V71" s="7">
        <f t="shared" ca="1" si="33"/>
        <v>-0.6497954298522941</v>
      </c>
      <c r="W71" s="33">
        <f t="shared" ca="1" si="24"/>
        <v>5114.9999999999991</v>
      </c>
      <c r="X71" s="7">
        <f t="shared" ca="1" si="25"/>
        <v>1</v>
      </c>
      <c r="Y71" s="7">
        <f t="shared" ca="1" si="26"/>
        <v>1.4492753623188406</v>
      </c>
      <c r="Z71" s="7">
        <f t="shared" ca="1" si="34"/>
        <v>-0.16744814817820303</v>
      </c>
      <c r="AA71" s="33">
        <f t="shared" ca="1" si="27"/>
        <v>5114.9999999999991</v>
      </c>
      <c r="AB71" s="7">
        <f t="shared" ca="1" si="28"/>
        <v>1</v>
      </c>
      <c r="AC71" s="7">
        <f t="shared" ca="1" si="29"/>
        <v>1.4492753623188406</v>
      </c>
      <c r="AD71" s="40"/>
      <c r="AE71" s="42"/>
      <c r="AF71" s="34"/>
      <c r="AH71" s="34"/>
    </row>
    <row r="72" spans="1:34" x14ac:dyDescent="0.25">
      <c r="A72" s="1"/>
      <c r="B72" s="25">
        <v>43979</v>
      </c>
      <c r="C72" s="10" t="s">
        <v>396</v>
      </c>
      <c r="D72" s="1">
        <v>146.75</v>
      </c>
      <c r="E72" s="30">
        <v>3300</v>
      </c>
      <c r="F72" s="1">
        <v>155</v>
      </c>
      <c r="G72" s="1">
        <v>8.1</v>
      </c>
      <c r="H72" s="1">
        <v>165</v>
      </c>
      <c r="I72" s="1">
        <v>4.4000000000000004</v>
      </c>
      <c r="J72" s="1">
        <v>6600</v>
      </c>
      <c r="K72" s="1">
        <v>3300</v>
      </c>
      <c r="L72" s="1">
        <v>4.6500000000000004</v>
      </c>
      <c r="M72" s="1">
        <v>5</v>
      </c>
      <c r="N72" s="1">
        <v>3300</v>
      </c>
      <c r="O72" s="9"/>
      <c r="P72" s="7">
        <f t="shared" ca="1" si="35"/>
        <v>-0.36999999999999994</v>
      </c>
      <c r="Q72" s="7">
        <f t="shared" ca="1" si="22"/>
        <v>-1.4799999999999997E-2</v>
      </c>
      <c r="R72" s="33">
        <f t="shared" ca="1" si="30"/>
        <v>12209.999999999998</v>
      </c>
      <c r="S72" s="33">
        <f t="shared" ca="1" si="31"/>
        <v>-20790</v>
      </c>
      <c r="T72" s="33">
        <f t="shared" ca="1" si="23"/>
        <v>12209.999999999998</v>
      </c>
      <c r="U72" s="7">
        <f t="shared" ca="1" si="32"/>
        <v>0.58730158730158721</v>
      </c>
      <c r="V72" s="7">
        <f t="shared" ca="1" si="33"/>
        <v>-0.6497954298522941</v>
      </c>
      <c r="W72" s="33">
        <f t="shared" ca="1" si="24"/>
        <v>12209.999999999998</v>
      </c>
      <c r="X72" s="7">
        <f t="shared" ca="1" si="25"/>
        <v>1</v>
      </c>
      <c r="Y72" s="7">
        <f t="shared" ca="1" si="26"/>
        <v>1.5873015873015872</v>
      </c>
      <c r="Z72" s="7">
        <f t="shared" ca="1" si="34"/>
        <v>-0.16744814817820303</v>
      </c>
      <c r="AA72" s="33">
        <f t="shared" ca="1" si="27"/>
        <v>12209.999999999998</v>
      </c>
      <c r="AB72" s="7">
        <f t="shared" ca="1" si="28"/>
        <v>1</v>
      </c>
      <c r="AC72" s="7">
        <f t="shared" ca="1" si="29"/>
        <v>1.5873015873015872</v>
      </c>
      <c r="AD72" s="40"/>
      <c r="AE72" s="42"/>
      <c r="AF72" s="34"/>
      <c r="AH72" s="34"/>
    </row>
    <row r="73" spans="1:34" x14ac:dyDescent="0.25">
      <c r="A73" s="1"/>
      <c r="B73" s="25">
        <v>43979</v>
      </c>
      <c r="C73" s="10" t="s">
        <v>396</v>
      </c>
      <c r="D73" s="1">
        <v>146.75</v>
      </c>
      <c r="E73" s="30">
        <v>3300</v>
      </c>
      <c r="F73" s="1">
        <v>155</v>
      </c>
      <c r="G73" s="1">
        <v>8.1</v>
      </c>
      <c r="H73" s="1">
        <v>170</v>
      </c>
      <c r="I73" s="1">
        <v>4</v>
      </c>
      <c r="J73" s="1">
        <v>145200</v>
      </c>
      <c r="K73" s="1">
        <v>3300</v>
      </c>
      <c r="L73" s="1">
        <v>3.7</v>
      </c>
      <c r="M73" s="1">
        <v>3.9</v>
      </c>
      <c r="N73" s="1">
        <v>3300</v>
      </c>
      <c r="O73" s="9"/>
      <c r="P73" s="7">
        <f t="shared" ca="1" si="35"/>
        <v>-0.27333333333333332</v>
      </c>
      <c r="Q73" s="7">
        <f t="shared" ca="1" si="22"/>
        <v>-1.0933333333333333E-2</v>
      </c>
      <c r="R73" s="33">
        <f t="shared" ca="1" si="30"/>
        <v>13529.999999999998</v>
      </c>
      <c r="S73" s="33">
        <f t="shared" ca="1" si="31"/>
        <v>-35970</v>
      </c>
      <c r="T73" s="33">
        <f t="shared" ca="1" si="23"/>
        <v>13529.999999999998</v>
      </c>
      <c r="U73" s="7">
        <f t="shared" ca="1" si="32"/>
        <v>0.37614678899082565</v>
      </c>
      <c r="V73" s="7">
        <f t="shared" ca="1" si="33"/>
        <v>-0.6497954298522941</v>
      </c>
      <c r="W73" s="33">
        <f t="shared" ca="1" si="24"/>
        <v>13529.999999999998</v>
      </c>
      <c r="X73" s="7">
        <f t="shared" ca="1" si="25"/>
        <v>1</v>
      </c>
      <c r="Y73" s="7">
        <f t="shared" ca="1" si="26"/>
        <v>1.3761467889908257</v>
      </c>
      <c r="Z73" s="7">
        <f t="shared" ca="1" si="34"/>
        <v>-0.16744814817820303</v>
      </c>
      <c r="AA73" s="33">
        <f t="shared" ca="1" si="27"/>
        <v>13529.999999999998</v>
      </c>
      <c r="AB73" s="7">
        <f t="shared" ca="1" si="28"/>
        <v>1</v>
      </c>
      <c r="AC73" s="7">
        <f t="shared" ca="1" si="29"/>
        <v>1.3761467889908257</v>
      </c>
      <c r="AD73" s="40"/>
      <c r="AE73" s="42"/>
      <c r="AF73" s="34"/>
      <c r="AH73" s="34"/>
    </row>
    <row r="74" spans="1:34" x14ac:dyDescent="0.25">
      <c r="A74" s="1"/>
      <c r="B74" s="25">
        <v>43979</v>
      </c>
      <c r="C74" s="10" t="s">
        <v>396</v>
      </c>
      <c r="D74" s="1">
        <v>146.75</v>
      </c>
      <c r="E74" s="30">
        <v>3300</v>
      </c>
      <c r="F74" s="1">
        <v>155</v>
      </c>
      <c r="G74" s="1">
        <v>8.1</v>
      </c>
      <c r="H74" s="1">
        <v>175</v>
      </c>
      <c r="I74" s="1">
        <v>2.75</v>
      </c>
      <c r="J74" s="1">
        <v>9900</v>
      </c>
      <c r="K74" s="1">
        <v>52800</v>
      </c>
      <c r="L74" s="1">
        <v>1.85</v>
      </c>
      <c r="M74" s="1">
        <v>3.45</v>
      </c>
      <c r="N74" s="1">
        <v>52800</v>
      </c>
      <c r="O74" s="9"/>
      <c r="P74" s="7">
        <f t="shared" ca="1" si="35"/>
        <v>-0.26749999999999996</v>
      </c>
      <c r="Q74" s="7">
        <f t="shared" ca="1" si="22"/>
        <v>-1.0699999999999998E-2</v>
      </c>
      <c r="R74" s="33">
        <f t="shared" ca="1" si="30"/>
        <v>17655</v>
      </c>
      <c r="S74" s="33">
        <f t="shared" ca="1" si="31"/>
        <v>-48345</v>
      </c>
      <c r="T74" s="33">
        <f t="shared" ca="1" si="23"/>
        <v>17655</v>
      </c>
      <c r="U74" s="7">
        <f t="shared" ca="1" si="32"/>
        <v>0.3651877133105802</v>
      </c>
      <c r="V74" s="7">
        <f t="shared" ca="1" si="33"/>
        <v>-0.6497954298522941</v>
      </c>
      <c r="W74" s="33">
        <f t="shared" ca="1" si="24"/>
        <v>17655</v>
      </c>
      <c r="X74" s="7">
        <f t="shared" ca="1" si="25"/>
        <v>1</v>
      </c>
      <c r="Y74" s="7">
        <f t="shared" ca="1" si="26"/>
        <v>1.3651877133105801</v>
      </c>
      <c r="Z74" s="7">
        <f t="shared" ca="1" si="34"/>
        <v>-0.16744814817820303</v>
      </c>
      <c r="AA74" s="33">
        <f t="shared" ca="1" si="27"/>
        <v>17655</v>
      </c>
      <c r="AB74" s="7">
        <f t="shared" ca="1" si="28"/>
        <v>1</v>
      </c>
      <c r="AC74" s="7">
        <f t="shared" ca="1" si="29"/>
        <v>1.3651877133105801</v>
      </c>
      <c r="AD74" s="40"/>
      <c r="AE74" s="42"/>
      <c r="AF74" s="34"/>
      <c r="AH74" s="34"/>
    </row>
    <row r="75" spans="1:34" x14ac:dyDescent="0.25">
      <c r="A75" s="1"/>
      <c r="B75" s="25">
        <v>43979</v>
      </c>
      <c r="C75" s="10" t="s">
        <v>396</v>
      </c>
      <c r="D75" s="1">
        <v>146.75</v>
      </c>
      <c r="E75" s="30">
        <v>3300</v>
      </c>
      <c r="F75" s="1">
        <v>155</v>
      </c>
      <c r="G75" s="1">
        <v>8.1</v>
      </c>
      <c r="H75" s="1">
        <v>185</v>
      </c>
      <c r="I75" s="1">
        <v>1.9</v>
      </c>
      <c r="J75" s="1">
        <v>13200</v>
      </c>
      <c r="K75" s="1">
        <v>46200</v>
      </c>
      <c r="L75" s="1">
        <v>0.8</v>
      </c>
      <c r="M75" s="1">
        <v>1.9</v>
      </c>
      <c r="N75" s="1">
        <v>26400</v>
      </c>
      <c r="O75" s="9"/>
      <c r="P75" s="7">
        <f t="shared" ca="1" si="35"/>
        <v>-0.20666666666666664</v>
      </c>
      <c r="Q75" s="7">
        <f t="shared" ca="1" si="22"/>
        <v>-8.2666666666666652E-3</v>
      </c>
      <c r="R75" s="33">
        <f t="shared" ca="1" si="30"/>
        <v>20459.999999999996</v>
      </c>
      <c r="S75" s="33">
        <f t="shared" ca="1" si="31"/>
        <v>-78540</v>
      </c>
      <c r="T75" s="33">
        <f t="shared" ca="1" si="23"/>
        <v>20459.999999999996</v>
      </c>
      <c r="U75" s="7">
        <f t="shared" ca="1" si="32"/>
        <v>0.26050420168067223</v>
      </c>
      <c r="V75" s="7">
        <f t="shared" ca="1" si="33"/>
        <v>-0.6497954298522941</v>
      </c>
      <c r="W75" s="33">
        <f t="shared" ca="1" si="24"/>
        <v>20459.999999999996</v>
      </c>
      <c r="X75" s="7">
        <f t="shared" ca="1" si="25"/>
        <v>1</v>
      </c>
      <c r="Y75" s="7">
        <f t="shared" ca="1" si="26"/>
        <v>1.2605042016806722</v>
      </c>
      <c r="Z75" s="7">
        <f t="shared" ca="1" si="34"/>
        <v>-0.16744814817820303</v>
      </c>
      <c r="AA75" s="33">
        <f t="shared" ca="1" si="27"/>
        <v>20459.999999999996</v>
      </c>
      <c r="AB75" s="7">
        <f t="shared" ca="1" si="28"/>
        <v>1</v>
      </c>
      <c r="AC75" s="7">
        <f t="shared" ca="1" si="29"/>
        <v>1.2605042016806722</v>
      </c>
      <c r="AD75" s="40"/>
      <c r="AE75" s="42"/>
      <c r="AF75" s="34"/>
      <c r="AH75" s="34"/>
    </row>
    <row r="76" spans="1:34" x14ac:dyDescent="0.25">
      <c r="A76" s="1"/>
      <c r="B76" s="25">
        <v>43979</v>
      </c>
      <c r="C76" s="10" t="s">
        <v>458</v>
      </c>
      <c r="D76" s="1">
        <v>710.3</v>
      </c>
      <c r="E76" s="30">
        <v>1100</v>
      </c>
      <c r="F76" s="1">
        <v>760</v>
      </c>
      <c r="G76" s="1">
        <v>39.5</v>
      </c>
      <c r="H76" s="1">
        <v>780</v>
      </c>
      <c r="I76" s="1">
        <v>35</v>
      </c>
      <c r="J76" s="1">
        <v>4400</v>
      </c>
      <c r="K76" s="1">
        <v>20900</v>
      </c>
      <c r="L76" s="1">
        <v>30.75</v>
      </c>
      <c r="M76" s="1">
        <v>35.75</v>
      </c>
      <c r="N76" s="1">
        <v>19800</v>
      </c>
      <c r="O76" s="9"/>
      <c r="P76" s="7">
        <f t="shared" ca="1" si="35"/>
        <v>-0.22500000000000001</v>
      </c>
      <c r="Q76" s="7">
        <f t="shared" ca="1" si="22"/>
        <v>-9.0000000000000011E-3</v>
      </c>
      <c r="R76" s="33">
        <f t="shared" ca="1" si="30"/>
        <v>4950</v>
      </c>
      <c r="S76" s="33">
        <f t="shared" ca="1" si="31"/>
        <v>-17050</v>
      </c>
      <c r="T76" s="33">
        <f t="shared" ca="1" si="23"/>
        <v>4950</v>
      </c>
      <c r="U76" s="7">
        <f t="shared" ca="1" si="32"/>
        <v>0.29032258064516131</v>
      </c>
      <c r="V76" s="7">
        <f t="shared" ca="1" si="33"/>
        <v>-0.46727635482800267</v>
      </c>
      <c r="W76" s="33">
        <f t="shared" ca="1" si="24"/>
        <v>4950</v>
      </c>
      <c r="X76" s="7">
        <f t="shared" ca="1" si="25"/>
        <v>1</v>
      </c>
      <c r="Y76" s="7">
        <f t="shared" ca="1" si="26"/>
        <v>1.2903225806451613</v>
      </c>
      <c r="Z76" s="7">
        <f t="shared" ca="1" si="34"/>
        <v>-0.13157084854416043</v>
      </c>
      <c r="AA76" s="33">
        <f t="shared" ca="1" si="27"/>
        <v>4950</v>
      </c>
      <c r="AB76" s="7">
        <f t="shared" ca="1" si="28"/>
        <v>1</v>
      </c>
      <c r="AC76" s="7">
        <f t="shared" ca="1" si="29"/>
        <v>1.2903225806451613</v>
      </c>
      <c r="AD76" s="40"/>
      <c r="AE76" s="42"/>
      <c r="AF76" s="34"/>
      <c r="AH76" s="34"/>
    </row>
    <row r="77" spans="1:34" x14ac:dyDescent="0.25">
      <c r="A77" s="1"/>
      <c r="B77" s="25">
        <v>43979</v>
      </c>
      <c r="C77" s="10" t="s">
        <v>458</v>
      </c>
      <c r="D77" s="1">
        <v>710.3</v>
      </c>
      <c r="E77" s="30">
        <v>1100</v>
      </c>
      <c r="F77" s="1">
        <v>760</v>
      </c>
      <c r="G77" s="1">
        <v>39.5</v>
      </c>
      <c r="H77" s="1">
        <v>800</v>
      </c>
      <c r="I77" s="1">
        <v>28</v>
      </c>
      <c r="J77" s="1">
        <v>27500</v>
      </c>
      <c r="K77" s="1">
        <v>1100</v>
      </c>
      <c r="L77" s="1">
        <v>26.9</v>
      </c>
      <c r="M77" s="1">
        <v>28.6</v>
      </c>
      <c r="N77" s="1">
        <v>1100</v>
      </c>
      <c r="O77" s="9"/>
      <c r="P77" s="7">
        <f t="shared" ca="1" si="35"/>
        <v>-0.28749999999999998</v>
      </c>
      <c r="Q77" s="7">
        <f t="shared" ca="1" si="22"/>
        <v>-1.15E-2</v>
      </c>
      <c r="R77" s="33">
        <f t="shared" ca="1" si="30"/>
        <v>12650</v>
      </c>
      <c r="S77" s="33">
        <f t="shared" ca="1" si="31"/>
        <v>-31350</v>
      </c>
      <c r="T77" s="33">
        <f t="shared" ca="1" si="23"/>
        <v>12650</v>
      </c>
      <c r="U77" s="7">
        <f t="shared" ca="1" si="32"/>
        <v>0.40350877192982454</v>
      </c>
      <c r="V77" s="7">
        <f t="shared" ca="1" si="33"/>
        <v>-0.46727635482800267</v>
      </c>
      <c r="W77" s="33">
        <f t="shared" ca="1" si="24"/>
        <v>12650</v>
      </c>
      <c r="X77" s="7">
        <f t="shared" ca="1" si="25"/>
        <v>1</v>
      </c>
      <c r="Y77" s="7">
        <f t="shared" ca="1" si="26"/>
        <v>1.4035087719298245</v>
      </c>
      <c r="Z77" s="7">
        <f t="shared" ca="1" si="34"/>
        <v>-0.13157084854416043</v>
      </c>
      <c r="AA77" s="33">
        <f t="shared" ca="1" si="27"/>
        <v>12650</v>
      </c>
      <c r="AB77" s="7">
        <f t="shared" ca="1" si="28"/>
        <v>1</v>
      </c>
      <c r="AC77" s="7">
        <f t="shared" ca="1" si="29"/>
        <v>1.4035087719298245</v>
      </c>
      <c r="AD77" s="40"/>
      <c r="AE77" s="42"/>
      <c r="AF77" s="34"/>
      <c r="AH77" s="34"/>
    </row>
    <row r="78" spans="1:34" x14ac:dyDescent="0.25">
      <c r="A78" s="1"/>
      <c r="B78" s="25">
        <v>43979</v>
      </c>
      <c r="C78" s="10" t="s">
        <v>458</v>
      </c>
      <c r="D78" s="1">
        <v>710.3</v>
      </c>
      <c r="E78" s="30">
        <v>1100</v>
      </c>
      <c r="F78" s="1">
        <v>760</v>
      </c>
      <c r="G78" s="1">
        <v>39.5</v>
      </c>
      <c r="H78" s="1">
        <v>820</v>
      </c>
      <c r="I78" s="1">
        <v>21.4</v>
      </c>
      <c r="J78" s="1">
        <v>2200</v>
      </c>
      <c r="K78" s="1">
        <v>15400</v>
      </c>
      <c r="L78" s="1">
        <v>20.6</v>
      </c>
      <c r="M78" s="1">
        <v>26.1</v>
      </c>
      <c r="N78" s="1">
        <v>19800</v>
      </c>
      <c r="O78" s="9"/>
      <c r="P78" s="7">
        <f t="shared" ca="1" si="35"/>
        <v>-0.30166666666666669</v>
      </c>
      <c r="Q78" s="7">
        <f t="shared" ca="1" si="22"/>
        <v>-1.2066666666666668E-2</v>
      </c>
      <c r="R78" s="33">
        <f t="shared" ca="1" si="30"/>
        <v>19910</v>
      </c>
      <c r="S78" s="33">
        <f t="shared" ca="1" si="31"/>
        <v>-46090</v>
      </c>
      <c r="T78" s="33">
        <f t="shared" ca="1" si="23"/>
        <v>19910</v>
      </c>
      <c r="U78" s="7">
        <f t="shared" ca="1" si="32"/>
        <v>0.43198090692124103</v>
      </c>
      <c r="V78" s="7">
        <f t="shared" ca="1" si="33"/>
        <v>-0.46727635482800267</v>
      </c>
      <c r="W78" s="33">
        <f t="shared" ca="1" si="24"/>
        <v>19910</v>
      </c>
      <c r="X78" s="7">
        <f t="shared" ca="1" si="25"/>
        <v>1</v>
      </c>
      <c r="Y78" s="7">
        <f t="shared" ca="1" si="26"/>
        <v>1.431980906921241</v>
      </c>
      <c r="Z78" s="7">
        <f t="shared" ca="1" si="34"/>
        <v>-0.13157084854416043</v>
      </c>
      <c r="AA78" s="33">
        <f t="shared" ca="1" si="27"/>
        <v>19910</v>
      </c>
      <c r="AB78" s="7">
        <f t="shared" ca="1" si="28"/>
        <v>1</v>
      </c>
      <c r="AC78" s="7">
        <f t="shared" ca="1" si="29"/>
        <v>1.431980906921241</v>
      </c>
      <c r="AD78" s="40"/>
      <c r="AE78" s="42"/>
      <c r="AF78" s="34"/>
      <c r="AH78" s="34"/>
    </row>
    <row r="79" spans="1:34" x14ac:dyDescent="0.25">
      <c r="A79" s="1"/>
      <c r="B79" s="25">
        <v>43979</v>
      </c>
      <c r="C79" s="10" t="s">
        <v>458</v>
      </c>
      <c r="D79" s="1">
        <v>710.3</v>
      </c>
      <c r="E79" s="30">
        <v>1100</v>
      </c>
      <c r="F79" s="1">
        <v>760</v>
      </c>
      <c r="G79" s="1">
        <v>39.5</v>
      </c>
      <c r="H79" s="1">
        <v>900</v>
      </c>
      <c r="I79" s="1">
        <v>11.05</v>
      </c>
      <c r="J79" s="1">
        <v>16500</v>
      </c>
      <c r="K79" s="1">
        <v>5500</v>
      </c>
      <c r="L79" s="1">
        <v>8.8000000000000007</v>
      </c>
      <c r="M79" s="1">
        <v>11.4</v>
      </c>
      <c r="N79" s="1">
        <v>9900</v>
      </c>
      <c r="O79" s="9"/>
      <c r="P79" s="7">
        <f t="shared" ca="1" si="35"/>
        <v>-0.20321428571428571</v>
      </c>
      <c r="Q79" s="7">
        <f t="shared" ca="1" si="22"/>
        <v>-8.1285714285714277E-3</v>
      </c>
      <c r="R79" s="33">
        <f t="shared" ca="1" si="30"/>
        <v>31295</v>
      </c>
      <c r="S79" s="33">
        <f t="shared" ca="1" si="31"/>
        <v>-122705</v>
      </c>
      <c r="T79" s="33">
        <f t="shared" ca="1" si="23"/>
        <v>31295</v>
      </c>
      <c r="U79" s="7">
        <f t="shared" ca="1" si="32"/>
        <v>0.25504258180188255</v>
      </c>
      <c r="V79" s="7">
        <f t="shared" ca="1" si="33"/>
        <v>-0.46727635482800267</v>
      </c>
      <c r="W79" s="33">
        <f t="shared" ca="1" si="24"/>
        <v>31295</v>
      </c>
      <c r="X79" s="7">
        <f t="shared" ca="1" si="25"/>
        <v>1</v>
      </c>
      <c r="Y79" s="7">
        <f t="shared" ca="1" si="26"/>
        <v>1.2550425818018827</v>
      </c>
      <c r="Z79" s="7">
        <f t="shared" ca="1" si="34"/>
        <v>-0.13157084854416043</v>
      </c>
      <c r="AA79" s="33">
        <f t="shared" ca="1" si="27"/>
        <v>31295</v>
      </c>
      <c r="AB79" s="7">
        <f t="shared" ca="1" si="28"/>
        <v>1</v>
      </c>
      <c r="AC79" s="7">
        <f t="shared" ca="1" si="29"/>
        <v>1.2550425818018827</v>
      </c>
      <c r="AD79" s="40"/>
      <c r="AE79" s="42"/>
      <c r="AF79" s="34"/>
      <c r="AH79" s="34"/>
    </row>
    <row r="80" spans="1:34" x14ac:dyDescent="0.25">
      <c r="A80" s="1"/>
      <c r="B80" s="25">
        <v>43979</v>
      </c>
      <c r="C80" s="10" t="s">
        <v>470</v>
      </c>
      <c r="D80" s="1">
        <v>157.55000000000001</v>
      </c>
      <c r="E80" s="30">
        <v>2900</v>
      </c>
      <c r="F80" s="1">
        <v>170</v>
      </c>
      <c r="G80" s="1">
        <v>6.9</v>
      </c>
      <c r="H80" s="1">
        <v>180</v>
      </c>
      <c r="I80" s="1">
        <v>3.55</v>
      </c>
      <c r="J80" s="1">
        <v>52200</v>
      </c>
      <c r="K80" s="1">
        <v>29000</v>
      </c>
      <c r="L80" s="1">
        <v>3.75</v>
      </c>
      <c r="M80" s="1">
        <v>4.0999999999999996</v>
      </c>
      <c r="N80" s="1">
        <v>2900</v>
      </c>
      <c r="O80" s="9"/>
      <c r="P80" s="7">
        <f t="shared" ca="1" si="35"/>
        <v>-0.33500000000000008</v>
      </c>
      <c r="Q80" s="7">
        <f t="shared" ca="1" si="22"/>
        <v>-1.3400000000000002E-2</v>
      </c>
      <c r="R80" s="33">
        <f t="shared" ca="1" si="30"/>
        <v>9715.0000000000018</v>
      </c>
      <c r="S80" s="33">
        <f t="shared" ca="1" si="31"/>
        <v>-19285</v>
      </c>
      <c r="T80" s="33">
        <f t="shared" ca="1" si="23"/>
        <v>9715.0000000000018</v>
      </c>
      <c r="U80" s="7">
        <f t="shared" ca="1" si="32"/>
        <v>0.50375939849624074</v>
      </c>
      <c r="V80" s="7">
        <f t="shared" ca="1" si="33"/>
        <v>-0.33978768457406344</v>
      </c>
      <c r="W80" s="33">
        <f t="shared" ca="1" si="24"/>
        <v>9715.0000000000018</v>
      </c>
      <c r="X80" s="7">
        <f t="shared" ca="1" si="25"/>
        <v>1</v>
      </c>
      <c r="Y80" s="7">
        <f t="shared" ca="1" si="26"/>
        <v>1.5037593984962407</v>
      </c>
      <c r="Z80" s="7">
        <f t="shared" ca="1" si="34"/>
        <v>-8.7959455504048045E-2</v>
      </c>
      <c r="AA80" s="33">
        <f t="shared" ca="1" si="27"/>
        <v>9715.0000000000018</v>
      </c>
      <c r="AB80" s="7">
        <f t="shared" ca="1" si="28"/>
        <v>1</v>
      </c>
      <c r="AC80" s="7">
        <f t="shared" ca="1" si="29"/>
        <v>1.5037593984962407</v>
      </c>
      <c r="AD80" s="40"/>
      <c r="AE80" s="42"/>
      <c r="AF80" s="34"/>
      <c r="AH80" s="34"/>
    </row>
    <row r="81" spans="1:34" x14ac:dyDescent="0.25">
      <c r="A81" s="1"/>
      <c r="B81" s="25">
        <v>43979</v>
      </c>
      <c r="C81" s="10" t="s">
        <v>478</v>
      </c>
      <c r="D81" s="1">
        <v>48.65</v>
      </c>
      <c r="E81" s="30">
        <v>7000</v>
      </c>
      <c r="F81" s="1">
        <v>50</v>
      </c>
      <c r="G81" s="1">
        <v>4.5999999999999996</v>
      </c>
      <c r="H81" s="1">
        <v>52.5</v>
      </c>
      <c r="I81" s="1">
        <v>3.85</v>
      </c>
      <c r="J81" s="1">
        <v>84000</v>
      </c>
      <c r="K81" s="1">
        <v>14000</v>
      </c>
      <c r="L81" s="1">
        <v>3.65</v>
      </c>
      <c r="M81" s="1">
        <v>3.9</v>
      </c>
      <c r="N81" s="1">
        <v>7000</v>
      </c>
      <c r="O81" s="9"/>
      <c r="P81" s="7">
        <f t="shared" ca="1" si="35"/>
        <v>-0.29999999999999982</v>
      </c>
      <c r="Q81" s="7">
        <f t="shared" ca="1" si="22"/>
        <v>-1.1999999999999993E-2</v>
      </c>
      <c r="R81" s="33">
        <f t="shared" ca="1" si="30"/>
        <v>5249.9999999999973</v>
      </c>
      <c r="S81" s="33">
        <f t="shared" ca="1" si="31"/>
        <v>-12250.000000000004</v>
      </c>
      <c r="T81" s="33">
        <f t="shared" ca="1" si="23"/>
        <v>5249.9999999999973</v>
      </c>
      <c r="U81" s="7">
        <f t="shared" ca="1" si="32"/>
        <v>0.42857142857142821</v>
      </c>
      <c r="V81" s="7">
        <f t="shared" ca="1" si="33"/>
        <v>-0.85857193696042156</v>
      </c>
      <c r="W81" s="33">
        <f t="shared" ca="1" si="24"/>
        <v>5249.9999999999973</v>
      </c>
      <c r="X81" s="7">
        <f t="shared" ca="1" si="25"/>
        <v>1</v>
      </c>
      <c r="Y81" s="7">
        <f t="shared" ca="1" si="26"/>
        <v>1.4285714285714282</v>
      </c>
      <c r="Z81" s="7">
        <f t="shared" ca="1" si="34"/>
        <v>-0.19320233518178401</v>
      </c>
      <c r="AA81" s="33">
        <f t="shared" ca="1" si="27"/>
        <v>5249.9999999999973</v>
      </c>
      <c r="AB81" s="7">
        <f t="shared" ca="1" si="28"/>
        <v>1</v>
      </c>
      <c r="AC81" s="7">
        <f t="shared" ca="1" si="29"/>
        <v>1.4285714285714282</v>
      </c>
      <c r="AD81" s="40"/>
      <c r="AE81" s="42"/>
      <c r="AF81" s="34"/>
      <c r="AH81" s="34"/>
    </row>
    <row r="82" spans="1:34" x14ac:dyDescent="0.25">
      <c r="A82" s="1"/>
      <c r="B82" s="25">
        <v>43979</v>
      </c>
      <c r="C82" s="10" t="s">
        <v>478</v>
      </c>
      <c r="D82" s="1">
        <v>48.65</v>
      </c>
      <c r="E82" s="30">
        <v>7000</v>
      </c>
      <c r="F82" s="1">
        <v>50</v>
      </c>
      <c r="G82" s="1">
        <v>4.5999999999999996</v>
      </c>
      <c r="H82" s="1">
        <v>55</v>
      </c>
      <c r="I82" s="1">
        <v>3</v>
      </c>
      <c r="J82" s="1">
        <v>791000</v>
      </c>
      <c r="K82" s="1">
        <v>21000</v>
      </c>
      <c r="L82" s="1">
        <v>2.9</v>
      </c>
      <c r="M82" s="1">
        <v>3</v>
      </c>
      <c r="N82" s="1">
        <v>7000</v>
      </c>
      <c r="O82" s="9"/>
      <c r="P82" s="7">
        <f t="shared" ca="1" si="35"/>
        <v>-0.31999999999999995</v>
      </c>
      <c r="Q82" s="7">
        <f t="shared" ca="1" si="22"/>
        <v>-1.2799999999999999E-2</v>
      </c>
      <c r="R82" s="33">
        <f t="shared" ca="1" si="30"/>
        <v>11199.999999999998</v>
      </c>
      <c r="S82" s="33">
        <f t="shared" ca="1" si="31"/>
        <v>-23800</v>
      </c>
      <c r="T82" s="33">
        <f t="shared" ca="1" si="23"/>
        <v>11199.999999999998</v>
      </c>
      <c r="U82" s="7">
        <f t="shared" ca="1" si="32"/>
        <v>0.47058823529411759</v>
      </c>
      <c r="V82" s="7">
        <f t="shared" ca="1" si="33"/>
        <v>-0.85857193696042156</v>
      </c>
      <c r="W82" s="33">
        <f t="shared" ca="1" si="24"/>
        <v>11199.999999999998</v>
      </c>
      <c r="X82" s="7">
        <f t="shared" ca="1" si="25"/>
        <v>1</v>
      </c>
      <c r="Y82" s="7">
        <f t="shared" ca="1" si="26"/>
        <v>1.4705882352941175</v>
      </c>
      <c r="Z82" s="7">
        <f t="shared" ca="1" si="34"/>
        <v>-0.19320233518178401</v>
      </c>
      <c r="AA82" s="33">
        <f t="shared" ca="1" si="27"/>
        <v>11199.999999999998</v>
      </c>
      <c r="AB82" s="7">
        <f t="shared" ca="1" si="28"/>
        <v>1</v>
      </c>
      <c r="AC82" s="7">
        <f t="shared" ca="1" si="29"/>
        <v>1.4705882352941175</v>
      </c>
      <c r="AD82" s="40"/>
      <c r="AE82" s="42"/>
      <c r="AF82" s="34"/>
      <c r="AH82" s="34"/>
    </row>
    <row r="83" spans="1:34" x14ac:dyDescent="0.25">
      <c r="A83" s="1"/>
      <c r="B83" s="25">
        <v>43979</v>
      </c>
      <c r="C83" s="10" t="s">
        <v>478</v>
      </c>
      <c r="D83" s="1">
        <v>48.65</v>
      </c>
      <c r="E83" s="30">
        <v>7000</v>
      </c>
      <c r="F83" s="1">
        <v>50</v>
      </c>
      <c r="G83" s="1">
        <v>4.5999999999999996</v>
      </c>
      <c r="H83" s="1">
        <v>57.5</v>
      </c>
      <c r="I83" s="1">
        <v>2.2999999999999998</v>
      </c>
      <c r="J83" s="1">
        <v>7000</v>
      </c>
      <c r="K83" s="1">
        <v>7000</v>
      </c>
      <c r="L83" s="1">
        <v>2.25</v>
      </c>
      <c r="M83" s="1">
        <v>2.4500000000000002</v>
      </c>
      <c r="N83" s="1">
        <v>7000</v>
      </c>
      <c r="O83" s="9"/>
      <c r="P83" s="7">
        <f t="shared" ca="1" si="35"/>
        <v>-0.30666666666666664</v>
      </c>
      <c r="Q83" s="7">
        <f t="shared" ca="1" si="22"/>
        <v>-1.2266666666666665E-2</v>
      </c>
      <c r="R83" s="33">
        <f t="shared" ca="1" si="30"/>
        <v>16099.999999999998</v>
      </c>
      <c r="S83" s="33">
        <f t="shared" ca="1" si="31"/>
        <v>-36400</v>
      </c>
      <c r="T83" s="33">
        <f t="shared" ca="1" si="23"/>
        <v>16099.999999999998</v>
      </c>
      <c r="U83" s="7">
        <f t="shared" ca="1" si="32"/>
        <v>0.44230769230769224</v>
      </c>
      <c r="V83" s="7">
        <f t="shared" ca="1" si="33"/>
        <v>-0.85857193696042156</v>
      </c>
      <c r="W83" s="33">
        <f t="shared" ca="1" si="24"/>
        <v>16099.999999999998</v>
      </c>
      <c r="X83" s="7">
        <f t="shared" ca="1" si="25"/>
        <v>1</v>
      </c>
      <c r="Y83" s="7">
        <f t="shared" ca="1" si="26"/>
        <v>1.4423076923076923</v>
      </c>
      <c r="Z83" s="7">
        <f t="shared" ca="1" si="34"/>
        <v>-0.19320233518178401</v>
      </c>
      <c r="AA83" s="33">
        <f t="shared" ca="1" si="27"/>
        <v>16099.999999999998</v>
      </c>
      <c r="AB83" s="7">
        <f t="shared" ca="1" si="28"/>
        <v>1</v>
      </c>
      <c r="AC83" s="7">
        <f t="shared" ca="1" si="29"/>
        <v>1.4423076923076923</v>
      </c>
      <c r="AD83" s="40"/>
      <c r="AE83" s="42"/>
      <c r="AF83" s="34"/>
      <c r="AH83" s="34"/>
    </row>
    <row r="84" spans="1:34" x14ac:dyDescent="0.25">
      <c r="A84" s="1"/>
      <c r="B84" s="25">
        <v>43979</v>
      </c>
      <c r="C84" s="10" t="s">
        <v>478</v>
      </c>
      <c r="D84" s="1">
        <v>48.65</v>
      </c>
      <c r="E84" s="30">
        <v>7000</v>
      </c>
      <c r="F84" s="1">
        <v>50</v>
      </c>
      <c r="G84" s="1">
        <v>4.5999999999999996</v>
      </c>
      <c r="H84" s="1">
        <v>60</v>
      </c>
      <c r="I84" s="1">
        <v>1.8</v>
      </c>
      <c r="J84" s="1">
        <v>413000</v>
      </c>
      <c r="K84" s="1">
        <v>7000</v>
      </c>
      <c r="L84" s="1">
        <v>1.75</v>
      </c>
      <c r="M84" s="1">
        <v>1.8</v>
      </c>
      <c r="N84" s="1">
        <v>14000</v>
      </c>
      <c r="O84" s="9"/>
      <c r="P84" s="7">
        <f t="shared" ca="1" si="35"/>
        <v>-0.27999999999999997</v>
      </c>
      <c r="Q84" s="7">
        <f t="shared" ca="1" si="22"/>
        <v>-1.1199999999999998E-2</v>
      </c>
      <c r="R84" s="33">
        <f t="shared" ca="1" si="30"/>
        <v>19600</v>
      </c>
      <c r="S84" s="33">
        <f t="shared" ca="1" si="31"/>
        <v>-50400</v>
      </c>
      <c r="T84" s="33">
        <f t="shared" ca="1" si="23"/>
        <v>19600</v>
      </c>
      <c r="U84" s="7">
        <f t="shared" ca="1" si="32"/>
        <v>0.3888888888888889</v>
      </c>
      <c r="V84" s="7">
        <f t="shared" ca="1" si="33"/>
        <v>-0.85857193696042156</v>
      </c>
      <c r="W84" s="33">
        <f t="shared" ca="1" si="24"/>
        <v>19600</v>
      </c>
      <c r="X84" s="7">
        <f t="shared" ca="1" si="25"/>
        <v>1</v>
      </c>
      <c r="Y84" s="7">
        <f t="shared" ca="1" si="26"/>
        <v>1.3888888888888888</v>
      </c>
      <c r="Z84" s="7">
        <f t="shared" ca="1" si="34"/>
        <v>-0.19320233518178401</v>
      </c>
      <c r="AA84" s="33">
        <f t="shared" ca="1" si="27"/>
        <v>19600</v>
      </c>
      <c r="AB84" s="7">
        <f t="shared" ca="1" si="28"/>
        <v>1</v>
      </c>
      <c r="AC84" s="7">
        <f t="shared" ca="1" si="29"/>
        <v>1.3888888888888888</v>
      </c>
      <c r="AD84" s="40"/>
      <c r="AE84" s="42"/>
      <c r="AF84" s="34"/>
      <c r="AH84" s="34"/>
    </row>
    <row r="85" spans="1:34" x14ac:dyDescent="0.25">
      <c r="A85" s="1"/>
      <c r="B85" s="25">
        <v>43979</v>
      </c>
      <c r="C85" s="10" t="s">
        <v>478</v>
      </c>
      <c r="D85" s="1">
        <v>48.65</v>
      </c>
      <c r="E85" s="30">
        <v>7000</v>
      </c>
      <c r="F85" s="1">
        <v>50</v>
      </c>
      <c r="G85" s="1">
        <v>4.5999999999999996</v>
      </c>
      <c r="H85" s="1">
        <v>62.5</v>
      </c>
      <c r="I85" s="1">
        <v>1.35</v>
      </c>
      <c r="J85" s="1">
        <v>49000</v>
      </c>
      <c r="K85" s="1">
        <v>70000</v>
      </c>
      <c r="L85" s="1">
        <v>1.1000000000000001</v>
      </c>
      <c r="M85" s="1">
        <v>1.7</v>
      </c>
      <c r="N85" s="1">
        <v>112000</v>
      </c>
      <c r="O85" s="9"/>
      <c r="P85" s="7">
        <f t="shared" ca="1" si="35"/>
        <v>-0.25999999999999995</v>
      </c>
      <c r="Q85" s="7">
        <f t="shared" ca="1" si="22"/>
        <v>-1.0399999999999998E-2</v>
      </c>
      <c r="R85" s="33">
        <f t="shared" ca="1" si="30"/>
        <v>22749.999999999996</v>
      </c>
      <c r="S85" s="33">
        <f t="shared" ca="1" si="31"/>
        <v>-64750</v>
      </c>
      <c r="T85" s="33">
        <f t="shared" ca="1" si="23"/>
        <v>22749.999999999996</v>
      </c>
      <c r="U85" s="7">
        <f t="shared" ca="1" si="32"/>
        <v>0.35135135135135132</v>
      </c>
      <c r="V85" s="7">
        <f t="shared" ca="1" si="33"/>
        <v>-0.85857193696042156</v>
      </c>
      <c r="W85" s="33">
        <f t="shared" ca="1" si="24"/>
        <v>22749.999999999996</v>
      </c>
      <c r="X85" s="7">
        <f t="shared" ca="1" si="25"/>
        <v>1</v>
      </c>
      <c r="Y85" s="7">
        <f t="shared" ca="1" si="26"/>
        <v>1.3513513513513513</v>
      </c>
      <c r="Z85" s="7">
        <f t="shared" ca="1" si="34"/>
        <v>-0.19320233518178401</v>
      </c>
      <c r="AA85" s="33">
        <f t="shared" ca="1" si="27"/>
        <v>22749.999999999996</v>
      </c>
      <c r="AB85" s="7">
        <f t="shared" ca="1" si="28"/>
        <v>1</v>
      </c>
      <c r="AC85" s="7">
        <f t="shared" ca="1" si="29"/>
        <v>1.3513513513513513</v>
      </c>
      <c r="AD85" s="40"/>
      <c r="AE85" s="42"/>
      <c r="AF85" s="34"/>
      <c r="AH85" s="34"/>
    </row>
    <row r="86" spans="1:34" x14ac:dyDescent="0.25">
      <c r="A86" s="1"/>
      <c r="B86" s="25">
        <v>43979</v>
      </c>
      <c r="C86" s="10" t="s">
        <v>478</v>
      </c>
      <c r="D86" s="1">
        <v>48.65</v>
      </c>
      <c r="E86" s="30">
        <v>7000</v>
      </c>
      <c r="F86" s="1">
        <v>50</v>
      </c>
      <c r="G86" s="1">
        <v>4.5999999999999996</v>
      </c>
      <c r="H86" s="1">
        <v>65</v>
      </c>
      <c r="I86" s="1">
        <v>1.1499999999999999</v>
      </c>
      <c r="J86" s="1">
        <v>49000</v>
      </c>
      <c r="K86" s="1">
        <v>14000</v>
      </c>
      <c r="L86" s="1">
        <v>0.95</v>
      </c>
      <c r="M86" s="1">
        <v>1.1499999999999999</v>
      </c>
      <c r="N86" s="1">
        <v>28000</v>
      </c>
      <c r="O86" s="9"/>
      <c r="P86" s="7">
        <f t="shared" ca="1" si="35"/>
        <v>-0.22999999999999998</v>
      </c>
      <c r="Q86" s="7">
        <f t="shared" ca="1" si="22"/>
        <v>-9.1999999999999998E-3</v>
      </c>
      <c r="R86" s="33">
        <f t="shared" ca="1" si="30"/>
        <v>24149.999999999996</v>
      </c>
      <c r="S86" s="33">
        <f t="shared" ca="1" si="31"/>
        <v>-80850</v>
      </c>
      <c r="T86" s="33">
        <f t="shared" ca="1" si="23"/>
        <v>24149.999999999996</v>
      </c>
      <c r="U86" s="7">
        <f t="shared" ca="1" si="32"/>
        <v>0.29870129870129863</v>
      </c>
      <c r="V86" s="7">
        <f t="shared" ca="1" si="33"/>
        <v>-0.85857193696042156</v>
      </c>
      <c r="W86" s="33">
        <f t="shared" ca="1" si="24"/>
        <v>24149.999999999996</v>
      </c>
      <c r="X86" s="7">
        <f t="shared" ca="1" si="25"/>
        <v>1</v>
      </c>
      <c r="Y86" s="7">
        <f t="shared" ca="1" si="26"/>
        <v>1.2987012987012987</v>
      </c>
      <c r="Z86" s="7">
        <f t="shared" ca="1" si="34"/>
        <v>-0.19320233518178401</v>
      </c>
      <c r="AA86" s="33">
        <f t="shared" ca="1" si="27"/>
        <v>24149.999999999996</v>
      </c>
      <c r="AB86" s="7">
        <f t="shared" ca="1" si="28"/>
        <v>1</v>
      </c>
      <c r="AC86" s="7">
        <f t="shared" ca="1" si="29"/>
        <v>1.2987012987012987</v>
      </c>
      <c r="AD86" s="40"/>
      <c r="AE86" s="42"/>
      <c r="AF86" s="34"/>
      <c r="AH86" s="34"/>
    </row>
    <row r="87" spans="1:34" x14ac:dyDescent="0.25">
      <c r="A87" s="1"/>
      <c r="B87" s="25">
        <v>43979</v>
      </c>
      <c r="C87" s="10" t="s">
        <v>478</v>
      </c>
      <c r="D87" s="1">
        <v>48.65</v>
      </c>
      <c r="E87" s="30">
        <v>7000</v>
      </c>
      <c r="F87" s="1">
        <v>50</v>
      </c>
      <c r="G87" s="1">
        <v>4.5999999999999996</v>
      </c>
      <c r="H87" s="1">
        <v>70</v>
      </c>
      <c r="I87" s="1">
        <v>0.6</v>
      </c>
      <c r="J87" s="1">
        <v>7000</v>
      </c>
      <c r="K87" s="1">
        <v>7000</v>
      </c>
      <c r="L87" s="1">
        <v>0.45</v>
      </c>
      <c r="M87" s="1">
        <v>0.8</v>
      </c>
      <c r="N87" s="1">
        <v>28000</v>
      </c>
      <c r="O87" s="9"/>
      <c r="P87" s="7">
        <f t="shared" ca="1" si="35"/>
        <v>-0.19999999999999998</v>
      </c>
      <c r="Q87" s="7">
        <f t="shared" ca="1" si="22"/>
        <v>-8.0000000000000002E-3</v>
      </c>
      <c r="R87" s="33">
        <f t="shared" ca="1" si="30"/>
        <v>27999.999999999996</v>
      </c>
      <c r="S87" s="33">
        <f t="shared" ca="1" si="31"/>
        <v>-112000</v>
      </c>
      <c r="T87" s="33">
        <f t="shared" ca="1" si="23"/>
        <v>27999.999999999996</v>
      </c>
      <c r="U87" s="7">
        <f t="shared" ca="1" si="32"/>
        <v>0.24999999999999997</v>
      </c>
      <c r="V87" s="7">
        <f t="shared" ca="1" si="33"/>
        <v>-0.85857193696042156</v>
      </c>
      <c r="W87" s="33">
        <f t="shared" ca="1" si="24"/>
        <v>27999.999999999996</v>
      </c>
      <c r="X87" s="7">
        <f t="shared" ca="1" si="25"/>
        <v>1</v>
      </c>
      <c r="Y87" s="7">
        <f t="shared" ca="1" si="26"/>
        <v>1.25</v>
      </c>
      <c r="Z87" s="7">
        <f t="shared" ca="1" si="34"/>
        <v>-0.19320233518178401</v>
      </c>
      <c r="AA87" s="33">
        <f t="shared" ca="1" si="27"/>
        <v>27999.999999999996</v>
      </c>
      <c r="AB87" s="7">
        <f t="shared" ca="1" si="28"/>
        <v>1</v>
      </c>
      <c r="AC87" s="7">
        <f t="shared" ca="1" si="29"/>
        <v>1.25</v>
      </c>
      <c r="AD87" s="40"/>
      <c r="AE87" s="42"/>
      <c r="AF87" s="34"/>
      <c r="AH87" s="34"/>
    </row>
    <row r="88" spans="1:34" x14ac:dyDescent="0.25">
      <c r="A88" s="1"/>
      <c r="B88" s="25">
        <v>43979</v>
      </c>
      <c r="C88" s="10" t="s">
        <v>500</v>
      </c>
      <c r="D88" s="1">
        <v>94.85</v>
      </c>
      <c r="E88" s="30">
        <v>5334</v>
      </c>
      <c r="F88" s="1">
        <v>97.5</v>
      </c>
      <c r="G88" s="1">
        <v>3.85</v>
      </c>
      <c r="H88" s="1">
        <v>100</v>
      </c>
      <c r="I88" s="1">
        <v>2.9</v>
      </c>
      <c r="J88" s="1">
        <v>357378</v>
      </c>
      <c r="K88" s="1">
        <v>5334</v>
      </c>
      <c r="L88" s="1">
        <v>2.85</v>
      </c>
      <c r="M88" s="1">
        <v>3</v>
      </c>
      <c r="N88" s="1">
        <v>5334</v>
      </c>
      <c r="O88" s="9"/>
      <c r="P88" s="7">
        <f t="shared" ca="1" si="35"/>
        <v>-0.38000000000000006</v>
      </c>
      <c r="Q88" s="7">
        <f t="shared" ca="1" si="22"/>
        <v>-1.5200000000000002E-2</v>
      </c>
      <c r="R88" s="33">
        <f t="shared" ca="1" si="30"/>
        <v>5067.3000000000011</v>
      </c>
      <c r="S88" s="33">
        <f t="shared" ca="1" si="31"/>
        <v>-8267.6999999999989</v>
      </c>
      <c r="T88" s="33">
        <f t="shared" ca="1" si="23"/>
        <v>5067.3000000000011</v>
      </c>
      <c r="U88" s="7">
        <f t="shared" ca="1" si="32"/>
        <v>0.61290322580645185</v>
      </c>
      <c r="V88" s="7">
        <f t="shared" ca="1" si="33"/>
        <v>-0.56249348776303798</v>
      </c>
      <c r="W88" s="33">
        <f t="shared" ca="1" si="24"/>
        <v>5067.3000000000011</v>
      </c>
      <c r="X88" s="7">
        <f t="shared" ca="1" si="25"/>
        <v>1</v>
      </c>
      <c r="Y88" s="7">
        <f t="shared" ca="1" si="26"/>
        <v>1.612903225806452</v>
      </c>
      <c r="Z88" s="7">
        <f t="shared" ca="1" si="34"/>
        <v>-0.12373379163715714</v>
      </c>
      <c r="AA88" s="33">
        <f t="shared" ca="1" si="27"/>
        <v>5067.3000000000011</v>
      </c>
      <c r="AB88" s="7">
        <f t="shared" ca="1" si="28"/>
        <v>1</v>
      </c>
      <c r="AC88" s="7">
        <f t="shared" ca="1" si="29"/>
        <v>1.612903225806452</v>
      </c>
      <c r="AD88" s="40"/>
      <c r="AE88" s="42"/>
      <c r="AF88" s="34"/>
      <c r="AH88" s="34"/>
    </row>
    <row r="89" spans="1:34" x14ac:dyDescent="0.25">
      <c r="A89" s="1"/>
      <c r="B89" s="25">
        <v>43979</v>
      </c>
      <c r="C89" s="10" t="s">
        <v>500</v>
      </c>
      <c r="D89" s="1">
        <v>94.85</v>
      </c>
      <c r="E89" s="30">
        <v>5334</v>
      </c>
      <c r="F89" s="1">
        <v>97.5</v>
      </c>
      <c r="G89" s="1">
        <v>3.85</v>
      </c>
      <c r="H89" s="1">
        <v>105</v>
      </c>
      <c r="I89" s="1">
        <v>1.85</v>
      </c>
      <c r="J89" s="1">
        <v>37338</v>
      </c>
      <c r="K89" s="1">
        <v>21336</v>
      </c>
      <c r="L89" s="1">
        <v>1.55</v>
      </c>
      <c r="M89" s="1">
        <v>1.85</v>
      </c>
      <c r="N89" s="1">
        <v>5334</v>
      </c>
      <c r="O89" s="9"/>
      <c r="P89" s="7">
        <f t="shared" ca="1" si="35"/>
        <v>-0.26666666666666666</v>
      </c>
      <c r="Q89" s="7">
        <f t="shared" ca="1" si="22"/>
        <v>-1.0666666666666666E-2</v>
      </c>
      <c r="R89" s="33">
        <f t="shared" ca="1" si="30"/>
        <v>10668</v>
      </c>
      <c r="S89" s="33">
        <f t="shared" ca="1" si="31"/>
        <v>-29337</v>
      </c>
      <c r="T89" s="33">
        <f t="shared" ca="1" si="23"/>
        <v>10668</v>
      </c>
      <c r="U89" s="7">
        <f t="shared" ca="1" si="32"/>
        <v>0.36363636363636365</v>
      </c>
      <c r="V89" s="7">
        <f t="shared" ca="1" si="33"/>
        <v>-0.56249348776303798</v>
      </c>
      <c r="W89" s="33">
        <f t="shared" ca="1" si="24"/>
        <v>10668</v>
      </c>
      <c r="X89" s="7">
        <f t="shared" ca="1" si="25"/>
        <v>1</v>
      </c>
      <c r="Y89" s="7">
        <f t="shared" ca="1" si="26"/>
        <v>1.3636363636363638</v>
      </c>
      <c r="Z89" s="7">
        <f t="shared" ca="1" si="34"/>
        <v>-0.12373379163715714</v>
      </c>
      <c r="AA89" s="33">
        <f t="shared" ca="1" si="27"/>
        <v>10668</v>
      </c>
      <c r="AB89" s="7">
        <f t="shared" ca="1" si="28"/>
        <v>1</v>
      </c>
      <c r="AC89" s="7">
        <f t="shared" ca="1" si="29"/>
        <v>1.3636363636363638</v>
      </c>
      <c r="AD89" s="40"/>
      <c r="AE89" s="42"/>
      <c r="AF89" s="34"/>
      <c r="AH89" s="34"/>
    </row>
    <row r="90" spans="1:34" x14ac:dyDescent="0.25">
      <c r="A90" s="1"/>
      <c r="B90" s="25">
        <v>43979</v>
      </c>
      <c r="C90" s="10" t="s">
        <v>500</v>
      </c>
      <c r="D90" s="1">
        <v>94.85</v>
      </c>
      <c r="E90" s="30">
        <v>5334</v>
      </c>
      <c r="F90" s="1">
        <v>97.5</v>
      </c>
      <c r="G90" s="1">
        <v>3.85</v>
      </c>
      <c r="H90" s="1">
        <v>120</v>
      </c>
      <c r="I90" s="1">
        <v>0.5</v>
      </c>
      <c r="J90" s="1">
        <v>42672</v>
      </c>
      <c r="K90" s="1">
        <v>10668</v>
      </c>
      <c r="L90" s="1">
        <v>0.35</v>
      </c>
      <c r="M90" s="1">
        <v>0.5</v>
      </c>
      <c r="N90" s="1">
        <v>5334</v>
      </c>
      <c r="O90" s="9"/>
      <c r="P90" s="7">
        <f t="shared" ca="1" si="35"/>
        <v>-0.1488888888888889</v>
      </c>
      <c r="Q90" s="7">
        <f t="shared" ca="1" si="22"/>
        <v>-5.9555555555555559E-3</v>
      </c>
      <c r="R90" s="33">
        <f t="shared" ca="1" si="30"/>
        <v>17868.900000000001</v>
      </c>
      <c r="S90" s="33">
        <f t="shared" ca="1" si="31"/>
        <v>-102146.1</v>
      </c>
      <c r="T90" s="33">
        <f t="shared" ca="1" si="23"/>
        <v>17868.900000000001</v>
      </c>
      <c r="U90" s="7">
        <f t="shared" ca="1" si="32"/>
        <v>0.17493472584856398</v>
      </c>
      <c r="V90" s="7">
        <f t="shared" ca="1" si="33"/>
        <v>-0.56249348776303798</v>
      </c>
      <c r="W90" s="33">
        <f t="shared" ca="1" si="24"/>
        <v>17868.900000000001</v>
      </c>
      <c r="X90" s="7">
        <f t="shared" ca="1" si="25"/>
        <v>1</v>
      </c>
      <c r="Y90" s="7">
        <f t="shared" ca="1" si="26"/>
        <v>1.1749347258485641</v>
      </c>
      <c r="Z90" s="7">
        <f t="shared" ca="1" si="34"/>
        <v>-0.12373379163715714</v>
      </c>
      <c r="AA90" s="33">
        <f t="shared" ca="1" si="27"/>
        <v>17868.900000000001</v>
      </c>
      <c r="AB90" s="7">
        <f t="shared" ca="1" si="28"/>
        <v>1</v>
      </c>
      <c r="AC90" s="7">
        <f t="shared" ca="1" si="29"/>
        <v>1.1749347258485641</v>
      </c>
      <c r="AD90" s="40"/>
      <c r="AE90" s="42"/>
      <c r="AF90" s="34"/>
      <c r="AH90" s="34"/>
    </row>
    <row r="91" spans="1:34" x14ac:dyDescent="0.25">
      <c r="A91" s="1"/>
      <c r="B91" s="25">
        <v>43979</v>
      </c>
      <c r="C91" s="10" t="s">
        <v>545</v>
      </c>
      <c r="D91" s="1">
        <v>17.05</v>
      </c>
      <c r="E91" s="30">
        <v>45000</v>
      </c>
      <c r="F91" s="1">
        <v>18</v>
      </c>
      <c r="G91" s="1">
        <v>0.85</v>
      </c>
      <c r="H91" s="1">
        <v>20</v>
      </c>
      <c r="I91" s="1">
        <v>0.3</v>
      </c>
      <c r="J91" s="1">
        <v>1665000</v>
      </c>
      <c r="K91" s="1">
        <v>90000</v>
      </c>
      <c r="L91" s="1">
        <v>0.25</v>
      </c>
      <c r="M91" s="1">
        <v>0.35</v>
      </c>
      <c r="N91" s="1">
        <v>225000</v>
      </c>
      <c r="O91" s="9"/>
      <c r="P91" s="7">
        <f t="shared" ca="1" si="35"/>
        <v>-0.27500000000000002</v>
      </c>
      <c r="Q91" s="7">
        <f t="shared" ca="1" si="22"/>
        <v>-1.1000000000000001E-2</v>
      </c>
      <c r="R91" s="33">
        <f t="shared" ca="1" si="30"/>
        <v>24750.000000000004</v>
      </c>
      <c r="S91" s="33">
        <f t="shared" ca="1" si="31"/>
        <v>-65250</v>
      </c>
      <c r="T91" s="33">
        <f t="shared" ca="1" si="23"/>
        <v>24750.000000000004</v>
      </c>
      <c r="U91" s="7">
        <f t="shared" ca="1" si="32"/>
        <v>0.37931034482758624</v>
      </c>
      <c r="V91" s="7">
        <f t="shared" ca="1" si="33"/>
        <v>-0.46804859440993229</v>
      </c>
      <c r="W91" s="33">
        <f t="shared" ca="1" si="24"/>
        <v>24750.000000000004</v>
      </c>
      <c r="X91" s="7">
        <f t="shared" ca="1" si="25"/>
        <v>1</v>
      </c>
      <c r="Y91" s="7">
        <f t="shared" ca="1" si="26"/>
        <v>1.3793103448275863</v>
      </c>
      <c r="Z91" s="7">
        <f t="shared" ca="1" si="34"/>
        <v>-0.10859788645590134</v>
      </c>
      <c r="AA91" s="33">
        <f t="shared" ca="1" si="27"/>
        <v>24750.000000000004</v>
      </c>
      <c r="AB91" s="7">
        <f t="shared" ca="1" si="28"/>
        <v>1</v>
      </c>
      <c r="AC91" s="7">
        <f t="shared" ca="1" si="29"/>
        <v>1.3793103448275863</v>
      </c>
      <c r="AD91" s="40"/>
      <c r="AE91" s="42"/>
      <c r="AF91" s="34"/>
      <c r="AH91" s="34"/>
    </row>
    <row r="92" spans="1:34" x14ac:dyDescent="0.25">
      <c r="A92" s="1"/>
      <c r="B92" s="25">
        <v>43979</v>
      </c>
      <c r="C92" s="10" t="s">
        <v>0</v>
      </c>
      <c r="D92" s="1">
        <v>1916.15</v>
      </c>
      <c r="E92" s="30">
        <v>250</v>
      </c>
      <c r="F92" s="1">
        <v>2100</v>
      </c>
      <c r="G92" s="1">
        <v>25.9</v>
      </c>
      <c r="H92" s="1">
        <v>2200</v>
      </c>
      <c r="I92" s="1">
        <v>12.15</v>
      </c>
      <c r="J92" s="1">
        <v>27500</v>
      </c>
      <c r="K92" s="1">
        <v>250</v>
      </c>
      <c r="L92" s="1">
        <v>11.85</v>
      </c>
      <c r="M92" s="1">
        <v>12.25</v>
      </c>
      <c r="N92" s="1">
        <v>500</v>
      </c>
      <c r="O92" s="9"/>
      <c r="P92" s="7">
        <f t="shared" ca="1" si="35"/>
        <v>-0.13749999999999998</v>
      </c>
      <c r="Q92" s="7">
        <f t="shared" ca="1" si="22"/>
        <v>-5.4999999999999997E-3</v>
      </c>
      <c r="R92" s="33">
        <f t="shared" ca="1" si="30"/>
        <v>3437.4999999999995</v>
      </c>
      <c r="S92" s="33">
        <f t="shared" ca="1" si="31"/>
        <v>-21562.5</v>
      </c>
      <c r="T92" s="33">
        <f t="shared" ca="1" si="23"/>
        <v>3437.4999999999995</v>
      </c>
      <c r="U92" s="7">
        <f t="shared" ca="1" si="32"/>
        <v>0.15942028985507245</v>
      </c>
      <c r="V92" s="7">
        <f t="shared" ca="1" si="33"/>
        <v>-0.47184319352508591</v>
      </c>
      <c r="W92" s="33">
        <f t="shared" ca="1" si="24"/>
        <v>3437.4999999999995</v>
      </c>
      <c r="X92" s="7">
        <f t="shared" ca="1" si="25"/>
        <v>1</v>
      </c>
      <c r="Y92" s="7">
        <f t="shared" ca="1" si="26"/>
        <v>1.1594202898550725</v>
      </c>
      <c r="Z92" s="7">
        <f t="shared" ca="1" si="34"/>
        <v>-0.10191945272153304</v>
      </c>
      <c r="AA92" s="33">
        <f t="shared" ca="1" si="27"/>
        <v>3437.4999999999995</v>
      </c>
      <c r="AB92" s="7">
        <f t="shared" ca="1" si="28"/>
        <v>1</v>
      </c>
      <c r="AC92" s="7">
        <f t="shared" ca="1" si="29"/>
        <v>1.1594202898550725</v>
      </c>
      <c r="AD92" s="40"/>
      <c r="AE92" s="42"/>
      <c r="AF92" s="34"/>
      <c r="AH92" s="34"/>
    </row>
    <row r="93" spans="1:34" x14ac:dyDescent="0.25">
      <c r="A93" s="1"/>
      <c r="B93" s="25">
        <v>43979</v>
      </c>
      <c r="C93" s="10" t="s">
        <v>0</v>
      </c>
      <c r="D93" s="1">
        <v>1916.15</v>
      </c>
      <c r="E93" s="30">
        <v>250</v>
      </c>
      <c r="F93" s="1">
        <v>2100</v>
      </c>
      <c r="G93" s="1">
        <v>25.9</v>
      </c>
      <c r="H93" s="1">
        <v>2300</v>
      </c>
      <c r="I93" s="1">
        <v>5.05</v>
      </c>
      <c r="J93" s="1">
        <v>3000</v>
      </c>
      <c r="K93" s="1">
        <v>500</v>
      </c>
      <c r="L93" s="1">
        <v>5.0999999999999996</v>
      </c>
      <c r="M93" s="1">
        <v>6</v>
      </c>
      <c r="N93" s="1">
        <v>250</v>
      </c>
      <c r="O93" s="9"/>
      <c r="P93" s="7">
        <f t="shared" ca="1" si="35"/>
        <v>-0.10425</v>
      </c>
      <c r="Q93" s="7">
        <f t="shared" ca="1" si="22"/>
        <v>-4.1700000000000001E-3</v>
      </c>
      <c r="R93" s="33">
        <f t="shared" ca="1" si="30"/>
        <v>5212.4999999999991</v>
      </c>
      <c r="S93" s="33">
        <f t="shared" ca="1" si="31"/>
        <v>-44787.5</v>
      </c>
      <c r="T93" s="33">
        <f t="shared" ca="1" si="23"/>
        <v>5212.4999999999991</v>
      </c>
      <c r="U93" s="7">
        <f t="shared" ca="1" si="32"/>
        <v>0.11638291934133406</v>
      </c>
      <c r="V93" s="7">
        <f t="shared" ca="1" si="33"/>
        <v>-0.47184319352508591</v>
      </c>
      <c r="W93" s="33">
        <f t="shared" ca="1" si="24"/>
        <v>5212.4999999999991</v>
      </c>
      <c r="X93" s="7">
        <f t="shared" ca="1" si="25"/>
        <v>1</v>
      </c>
      <c r="Y93" s="7">
        <f t="shared" ca="1" si="26"/>
        <v>1.1163829193413342</v>
      </c>
      <c r="Z93" s="7">
        <f t="shared" ca="1" si="34"/>
        <v>-0.10191945272153304</v>
      </c>
      <c r="AA93" s="33">
        <f t="shared" ca="1" si="27"/>
        <v>5212.4999999999991</v>
      </c>
      <c r="AB93" s="7">
        <f t="shared" ca="1" si="28"/>
        <v>1</v>
      </c>
      <c r="AC93" s="7">
        <f t="shared" ca="1" si="29"/>
        <v>1.1163829193413342</v>
      </c>
      <c r="AD93" s="40"/>
      <c r="AE93" s="42"/>
      <c r="AF93" s="34"/>
      <c r="AH93" s="34"/>
    </row>
    <row r="94" spans="1:34" x14ac:dyDescent="0.25">
      <c r="A94" s="1"/>
      <c r="B94" s="25">
        <v>43979</v>
      </c>
      <c r="C94" s="10" t="s">
        <v>613</v>
      </c>
      <c r="D94" s="1">
        <v>1000</v>
      </c>
      <c r="E94" s="30">
        <v>500</v>
      </c>
      <c r="F94" s="1">
        <v>1080</v>
      </c>
      <c r="G94" s="1">
        <v>19.649999999999999</v>
      </c>
      <c r="H94" s="1">
        <v>1100</v>
      </c>
      <c r="I94" s="1">
        <v>15.3</v>
      </c>
      <c r="J94" s="1">
        <v>421000</v>
      </c>
      <c r="K94" s="1">
        <v>500</v>
      </c>
      <c r="L94" s="1">
        <v>15.1</v>
      </c>
      <c r="M94" s="1">
        <v>15.3</v>
      </c>
      <c r="N94" s="1">
        <v>500</v>
      </c>
      <c r="O94" s="9"/>
      <c r="P94" s="7">
        <f t="shared" ca="1" si="35"/>
        <v>-0.21749999999999989</v>
      </c>
      <c r="Q94" s="7">
        <f t="shared" ca="1" si="22"/>
        <v>-8.6999999999999959E-3</v>
      </c>
      <c r="R94" s="33">
        <f t="shared" ca="1" si="30"/>
        <v>2174.9999999999991</v>
      </c>
      <c r="S94" s="33">
        <f t="shared" ca="1" si="31"/>
        <v>-7825.0000000000009</v>
      </c>
      <c r="T94" s="33">
        <f t="shared" ca="1" si="23"/>
        <v>2174.9999999999991</v>
      </c>
      <c r="U94" s="7">
        <f t="shared" ca="1" si="32"/>
        <v>0.27795527156549504</v>
      </c>
      <c r="V94" s="7">
        <f t="shared" ca="1" si="33"/>
        <v>-0.70714887483697608</v>
      </c>
      <c r="W94" s="33">
        <f t="shared" ca="1" si="24"/>
        <v>2174.9999999999991</v>
      </c>
      <c r="X94" s="7">
        <f t="shared" ca="1" si="25"/>
        <v>1</v>
      </c>
      <c r="Y94" s="7">
        <f t="shared" ca="1" si="26"/>
        <v>1.2779552715654949</v>
      </c>
      <c r="Z94" s="7">
        <f t="shared" ca="1" si="34"/>
        <v>-0.17830799270287354</v>
      </c>
      <c r="AA94" s="33">
        <f t="shared" ca="1" si="27"/>
        <v>2174.9999999999991</v>
      </c>
      <c r="AB94" s="7">
        <f t="shared" ca="1" si="28"/>
        <v>1</v>
      </c>
      <c r="AC94" s="7">
        <f t="shared" ca="1" si="29"/>
        <v>1.2779552715654949</v>
      </c>
      <c r="AD94" s="40"/>
      <c r="AE94" s="42"/>
      <c r="AF94" s="34"/>
      <c r="AH94" s="34"/>
    </row>
    <row r="95" spans="1:34" x14ac:dyDescent="0.25">
      <c r="A95" s="1"/>
      <c r="B95" s="25">
        <v>43979</v>
      </c>
      <c r="C95" s="10" t="s">
        <v>613</v>
      </c>
      <c r="D95" s="1">
        <v>1000</v>
      </c>
      <c r="E95" s="30">
        <v>500</v>
      </c>
      <c r="F95" s="1">
        <v>1080</v>
      </c>
      <c r="G95" s="1">
        <v>19.649999999999999</v>
      </c>
      <c r="H95" s="1">
        <v>1120</v>
      </c>
      <c r="I95" s="1">
        <v>11.55</v>
      </c>
      <c r="J95" s="1">
        <v>33000</v>
      </c>
      <c r="K95" s="1">
        <v>500</v>
      </c>
      <c r="L95" s="1">
        <v>11.25</v>
      </c>
      <c r="M95" s="1">
        <v>12</v>
      </c>
      <c r="N95" s="1">
        <v>2000</v>
      </c>
      <c r="O95" s="9"/>
      <c r="P95" s="7">
        <f t="shared" ca="1" si="35"/>
        <v>-0.20249999999999996</v>
      </c>
      <c r="Q95" s="7">
        <f t="shared" ca="1" si="22"/>
        <v>-8.0999999999999978E-3</v>
      </c>
      <c r="R95" s="33">
        <f t="shared" ca="1" si="30"/>
        <v>4049.9999999999991</v>
      </c>
      <c r="S95" s="33">
        <f t="shared" ca="1" si="31"/>
        <v>-15950</v>
      </c>
      <c r="T95" s="33">
        <f t="shared" ca="1" si="23"/>
        <v>4049.9999999999991</v>
      </c>
      <c r="U95" s="7">
        <f t="shared" ca="1" si="32"/>
        <v>0.25391849529780558</v>
      </c>
      <c r="V95" s="7">
        <f t="shared" ca="1" si="33"/>
        <v>-0.70714887483697608</v>
      </c>
      <c r="W95" s="33">
        <f t="shared" ca="1" si="24"/>
        <v>4049.9999999999991</v>
      </c>
      <c r="X95" s="7">
        <f t="shared" ca="1" si="25"/>
        <v>1</v>
      </c>
      <c r="Y95" s="7">
        <f t="shared" ca="1" si="26"/>
        <v>1.2539184952978055</v>
      </c>
      <c r="Z95" s="7">
        <f t="shared" ca="1" si="34"/>
        <v>-0.17830799270287354</v>
      </c>
      <c r="AA95" s="33">
        <f t="shared" ca="1" si="27"/>
        <v>4049.9999999999991</v>
      </c>
      <c r="AB95" s="7">
        <f t="shared" ca="1" si="28"/>
        <v>1</v>
      </c>
      <c r="AC95" s="7">
        <f t="shared" ca="1" si="29"/>
        <v>1.2539184952978055</v>
      </c>
      <c r="AD95" s="40"/>
      <c r="AE95" s="42"/>
      <c r="AF95" s="34"/>
      <c r="AH95" s="34"/>
    </row>
    <row r="96" spans="1:34" x14ac:dyDescent="0.25">
      <c r="A96" s="1"/>
      <c r="B96" s="25">
        <v>43979</v>
      </c>
      <c r="C96" s="10" t="s">
        <v>613</v>
      </c>
      <c r="D96" s="1">
        <v>1000</v>
      </c>
      <c r="E96" s="30">
        <v>500</v>
      </c>
      <c r="F96" s="1">
        <v>1080</v>
      </c>
      <c r="G96" s="1">
        <v>19.649999999999999</v>
      </c>
      <c r="H96" s="1">
        <v>1140</v>
      </c>
      <c r="I96" s="1">
        <v>9.3000000000000007</v>
      </c>
      <c r="J96" s="1">
        <v>12000</v>
      </c>
      <c r="K96" s="1">
        <v>500</v>
      </c>
      <c r="L96" s="1">
        <v>8.4499999999999993</v>
      </c>
      <c r="M96" s="1">
        <v>9.9</v>
      </c>
      <c r="N96" s="1">
        <v>1000</v>
      </c>
      <c r="O96" s="9"/>
      <c r="P96" s="7">
        <f t="shared" ca="1" si="35"/>
        <v>-0.17249999999999996</v>
      </c>
      <c r="Q96" s="7">
        <f t="shared" ca="1" si="22"/>
        <v>-6.8999999999999981E-3</v>
      </c>
      <c r="R96" s="33">
        <f t="shared" ca="1" si="30"/>
        <v>5174.9999999999991</v>
      </c>
      <c r="S96" s="33">
        <f t="shared" ca="1" si="31"/>
        <v>-24825</v>
      </c>
      <c r="T96" s="33">
        <f t="shared" ca="1" si="23"/>
        <v>5174.9999999999991</v>
      </c>
      <c r="U96" s="7">
        <f t="shared" ca="1" si="32"/>
        <v>0.20845921450151053</v>
      </c>
      <c r="V96" s="7">
        <f t="shared" ca="1" si="33"/>
        <v>-0.70714887483697608</v>
      </c>
      <c r="W96" s="33">
        <f t="shared" ca="1" si="24"/>
        <v>5174.9999999999991</v>
      </c>
      <c r="X96" s="7">
        <f t="shared" ca="1" si="25"/>
        <v>1</v>
      </c>
      <c r="Y96" s="7">
        <f t="shared" ca="1" si="26"/>
        <v>1.2084592145015105</v>
      </c>
      <c r="Z96" s="7">
        <f t="shared" ca="1" si="34"/>
        <v>-0.17830799270287354</v>
      </c>
      <c r="AA96" s="33">
        <f t="shared" ca="1" si="27"/>
        <v>5174.9999999999991</v>
      </c>
      <c r="AB96" s="7">
        <f t="shared" ca="1" si="28"/>
        <v>1</v>
      </c>
      <c r="AC96" s="7">
        <f t="shared" ca="1" si="29"/>
        <v>1.2084592145015105</v>
      </c>
      <c r="AD96" s="40"/>
      <c r="AE96" s="42"/>
      <c r="AF96" s="34"/>
      <c r="AH96" s="34"/>
    </row>
    <row r="97" spans="1:34" x14ac:dyDescent="0.25">
      <c r="A97" s="1"/>
      <c r="B97" s="25">
        <v>43979</v>
      </c>
      <c r="C97" s="10" t="s">
        <v>613</v>
      </c>
      <c r="D97" s="1">
        <v>1000</v>
      </c>
      <c r="E97" s="30">
        <v>500</v>
      </c>
      <c r="F97" s="1">
        <v>1080</v>
      </c>
      <c r="G97" s="1">
        <v>19.649999999999999</v>
      </c>
      <c r="H97" s="1">
        <v>1160</v>
      </c>
      <c r="I97" s="1">
        <v>7.25</v>
      </c>
      <c r="J97" s="1">
        <v>10000</v>
      </c>
      <c r="K97" s="1">
        <v>2000</v>
      </c>
      <c r="L97" s="1">
        <v>5.0999999999999996</v>
      </c>
      <c r="M97" s="1">
        <v>7.5</v>
      </c>
      <c r="N97" s="1">
        <v>500</v>
      </c>
      <c r="O97" s="9"/>
      <c r="P97" s="7">
        <f t="shared" ca="1" si="35"/>
        <v>-0.15499999999999997</v>
      </c>
      <c r="Q97" s="7">
        <f t="shared" ca="1" si="22"/>
        <v>-6.1999999999999989E-3</v>
      </c>
      <c r="R97" s="33">
        <f t="shared" ca="1" si="30"/>
        <v>6199.9999999999991</v>
      </c>
      <c r="S97" s="33">
        <f t="shared" ca="1" si="31"/>
        <v>-33800</v>
      </c>
      <c r="T97" s="33">
        <f t="shared" ca="1" si="23"/>
        <v>6199.9999999999991</v>
      </c>
      <c r="U97" s="7">
        <f t="shared" ca="1" si="32"/>
        <v>0.18343195266272186</v>
      </c>
      <c r="V97" s="7">
        <f t="shared" ca="1" si="33"/>
        <v>-0.70714887483697608</v>
      </c>
      <c r="W97" s="33">
        <f t="shared" ca="1" si="24"/>
        <v>6199.9999999999991</v>
      </c>
      <c r="X97" s="7">
        <f t="shared" ca="1" si="25"/>
        <v>1</v>
      </c>
      <c r="Y97" s="7">
        <f t="shared" ca="1" si="26"/>
        <v>1.1834319526627219</v>
      </c>
      <c r="Z97" s="7">
        <f t="shared" ca="1" si="34"/>
        <v>-0.17830799270287354</v>
      </c>
      <c r="AA97" s="33">
        <f t="shared" ca="1" si="27"/>
        <v>6199.9999999999991</v>
      </c>
      <c r="AB97" s="7">
        <f t="shared" ca="1" si="28"/>
        <v>1</v>
      </c>
      <c r="AC97" s="7">
        <f t="shared" ca="1" si="29"/>
        <v>1.1834319526627219</v>
      </c>
      <c r="AD97" s="40"/>
      <c r="AE97" s="42"/>
      <c r="AF97" s="34"/>
      <c r="AH97" s="34"/>
    </row>
    <row r="98" spans="1:34" x14ac:dyDescent="0.25">
      <c r="A98" s="1"/>
      <c r="B98" s="25">
        <v>43979</v>
      </c>
      <c r="C98" s="10" t="s">
        <v>613</v>
      </c>
      <c r="D98" s="1">
        <v>1000</v>
      </c>
      <c r="E98" s="30">
        <v>500</v>
      </c>
      <c r="F98" s="1">
        <v>1080</v>
      </c>
      <c r="G98" s="1">
        <v>19.649999999999999</v>
      </c>
      <c r="H98" s="1">
        <v>1200</v>
      </c>
      <c r="I98" s="1">
        <v>4.9000000000000004</v>
      </c>
      <c r="J98" s="1">
        <v>286500</v>
      </c>
      <c r="K98" s="1">
        <v>1000</v>
      </c>
      <c r="L98" s="1">
        <v>4.7</v>
      </c>
      <c r="M98" s="1">
        <v>4.9000000000000004</v>
      </c>
      <c r="N98" s="1">
        <v>1500</v>
      </c>
      <c r="O98" s="9"/>
      <c r="P98" s="7">
        <f t="shared" ca="1" si="35"/>
        <v>-0.12291666666666665</v>
      </c>
      <c r="Q98" s="7">
        <f t="shared" ca="1" si="22"/>
        <v>-4.9166666666666655E-3</v>
      </c>
      <c r="R98" s="33">
        <f t="shared" ca="1" si="30"/>
        <v>7374.9999999999991</v>
      </c>
      <c r="S98" s="33">
        <f t="shared" ca="1" si="31"/>
        <v>-52625</v>
      </c>
      <c r="T98" s="33">
        <f t="shared" ca="1" si="23"/>
        <v>7374.9999999999991</v>
      </c>
      <c r="U98" s="7">
        <f t="shared" ca="1" si="32"/>
        <v>0.14014251781472684</v>
      </c>
      <c r="V98" s="7">
        <f t="shared" ca="1" si="33"/>
        <v>-0.70714887483697608</v>
      </c>
      <c r="W98" s="33">
        <f t="shared" ca="1" si="24"/>
        <v>7374.9999999999991</v>
      </c>
      <c r="X98" s="7">
        <f t="shared" ca="1" si="25"/>
        <v>1</v>
      </c>
      <c r="Y98" s="7">
        <f t="shared" ca="1" si="26"/>
        <v>1.1401425178147269</v>
      </c>
      <c r="Z98" s="7">
        <f t="shared" ca="1" si="34"/>
        <v>-0.17830799270287354</v>
      </c>
      <c r="AA98" s="33">
        <f t="shared" ca="1" si="27"/>
        <v>7374.9999999999991</v>
      </c>
      <c r="AB98" s="7">
        <f t="shared" ca="1" si="28"/>
        <v>1</v>
      </c>
      <c r="AC98" s="7">
        <f t="shared" ca="1" si="29"/>
        <v>1.1401425178147269</v>
      </c>
      <c r="AD98" s="40"/>
      <c r="AE98" s="42"/>
      <c r="AF98" s="34"/>
      <c r="AH98" s="34"/>
    </row>
    <row r="99" spans="1:34" x14ac:dyDescent="0.25">
      <c r="A99" s="1"/>
      <c r="B99" s="25">
        <v>43979</v>
      </c>
      <c r="C99" s="10" t="s">
        <v>636</v>
      </c>
      <c r="D99" s="1">
        <v>130</v>
      </c>
      <c r="E99" s="30">
        <v>3500</v>
      </c>
      <c r="F99" s="1">
        <v>140</v>
      </c>
      <c r="G99" s="1">
        <v>3.35</v>
      </c>
      <c r="H99" s="1">
        <v>150</v>
      </c>
      <c r="I99" s="1">
        <v>1.6</v>
      </c>
      <c r="J99" s="1">
        <v>262500</v>
      </c>
      <c r="K99" s="1">
        <v>7000</v>
      </c>
      <c r="L99" s="1">
        <v>1.6</v>
      </c>
      <c r="M99" s="1">
        <v>1.75</v>
      </c>
      <c r="N99" s="1">
        <v>3500</v>
      </c>
      <c r="O99" s="9"/>
      <c r="P99" s="7">
        <f t="shared" ca="1" si="35"/>
        <v>-0.17499999999999999</v>
      </c>
      <c r="Q99" s="7">
        <f t="shared" ca="1" si="22"/>
        <v>-6.9999999999999993E-3</v>
      </c>
      <c r="R99" s="33">
        <f t="shared" ca="1" si="30"/>
        <v>6125</v>
      </c>
      <c r="S99" s="33">
        <f t="shared" ca="1" si="31"/>
        <v>-28875</v>
      </c>
      <c r="T99" s="33">
        <f t="shared" ca="1" si="23"/>
        <v>6125</v>
      </c>
      <c r="U99" s="7">
        <f t="shared" ca="1" si="32"/>
        <v>0.21212121212121213</v>
      </c>
      <c r="V99" s="7">
        <f t="shared" ca="1" si="33"/>
        <v>-0.78985260126962986</v>
      </c>
      <c r="W99" s="33">
        <f t="shared" ca="1" si="24"/>
        <v>6125</v>
      </c>
      <c r="X99" s="7">
        <f t="shared" ca="1" si="25"/>
        <v>1</v>
      </c>
      <c r="Y99" s="7">
        <f t="shared" ca="1" si="26"/>
        <v>1.2121212121212122</v>
      </c>
      <c r="Z99" s="7">
        <f t="shared" ca="1" si="34"/>
        <v>-0.16267476476109882</v>
      </c>
      <c r="AA99" s="33">
        <f t="shared" ca="1" si="27"/>
        <v>6125</v>
      </c>
      <c r="AB99" s="7">
        <f t="shared" ca="1" si="28"/>
        <v>1</v>
      </c>
      <c r="AC99" s="7">
        <f t="shared" ca="1" si="29"/>
        <v>1.2121212121212122</v>
      </c>
      <c r="AD99" s="40"/>
      <c r="AE99" s="42"/>
      <c r="AF99" s="34"/>
      <c r="AH99" s="34"/>
    </row>
    <row r="100" spans="1:34" x14ac:dyDescent="0.25">
      <c r="A100" s="1"/>
      <c r="B100" s="25">
        <v>43979</v>
      </c>
      <c r="C100" s="10" t="s">
        <v>636</v>
      </c>
      <c r="D100" s="1">
        <v>130</v>
      </c>
      <c r="E100" s="30">
        <v>3500</v>
      </c>
      <c r="F100" s="1">
        <v>140</v>
      </c>
      <c r="G100" s="1">
        <v>3.35</v>
      </c>
      <c r="H100" s="1">
        <v>155</v>
      </c>
      <c r="I100" s="1">
        <v>1.2</v>
      </c>
      <c r="J100" s="1">
        <v>94500</v>
      </c>
      <c r="K100" s="1">
        <v>3500</v>
      </c>
      <c r="L100" s="1">
        <v>1</v>
      </c>
      <c r="M100" s="1">
        <v>1.75</v>
      </c>
      <c r="N100" s="1">
        <v>49000</v>
      </c>
      <c r="O100" s="9"/>
      <c r="P100" s="7">
        <f t="shared" ca="1" si="35"/>
        <v>-0.14333333333333337</v>
      </c>
      <c r="Q100" s="7">
        <f t="shared" ca="1" si="22"/>
        <v>-5.7333333333333351E-3</v>
      </c>
      <c r="R100" s="33">
        <f t="shared" ca="1" si="30"/>
        <v>7525.0000000000009</v>
      </c>
      <c r="S100" s="33">
        <f t="shared" ca="1" si="31"/>
        <v>-44975</v>
      </c>
      <c r="T100" s="33">
        <f t="shared" ca="1" si="23"/>
        <v>7525.0000000000009</v>
      </c>
      <c r="U100" s="7">
        <f t="shared" ca="1" si="32"/>
        <v>0.16731517509727628</v>
      </c>
      <c r="V100" s="7">
        <f t="shared" ca="1" si="33"/>
        <v>-0.78985260126962986</v>
      </c>
      <c r="W100" s="33">
        <f t="shared" ca="1" si="24"/>
        <v>7525.0000000000009</v>
      </c>
      <c r="X100" s="7">
        <f t="shared" ca="1" si="25"/>
        <v>1</v>
      </c>
      <c r="Y100" s="7">
        <f t="shared" ca="1" si="26"/>
        <v>1.1673151750972763</v>
      </c>
      <c r="Z100" s="7">
        <f t="shared" ca="1" si="34"/>
        <v>-0.16267476476109882</v>
      </c>
      <c r="AA100" s="33">
        <f t="shared" ca="1" si="27"/>
        <v>7525.0000000000009</v>
      </c>
      <c r="AB100" s="7">
        <f t="shared" ca="1" si="28"/>
        <v>1</v>
      </c>
      <c r="AC100" s="7">
        <f t="shared" ca="1" si="29"/>
        <v>1.1673151750972763</v>
      </c>
      <c r="AD100" s="40"/>
      <c r="AE100" s="42"/>
      <c r="AF100" s="34"/>
      <c r="AH100" s="34"/>
    </row>
    <row r="101" spans="1:34" x14ac:dyDescent="0.25">
      <c r="A101" s="1"/>
      <c r="B101" s="25">
        <v>43979</v>
      </c>
      <c r="C101" s="10" t="s">
        <v>671</v>
      </c>
      <c r="D101" s="1">
        <v>377.7</v>
      </c>
      <c r="E101" s="30">
        <v>1375</v>
      </c>
      <c r="F101" s="1">
        <v>400</v>
      </c>
      <c r="G101" s="1">
        <v>18.600000000000001</v>
      </c>
      <c r="H101" s="1">
        <v>410</v>
      </c>
      <c r="I101" s="1">
        <v>14.8</v>
      </c>
      <c r="J101" s="1">
        <v>305250</v>
      </c>
      <c r="K101" s="1">
        <v>1375</v>
      </c>
      <c r="L101" s="1">
        <v>14.7</v>
      </c>
      <c r="M101" s="1">
        <v>14.85</v>
      </c>
      <c r="N101" s="1">
        <v>11000</v>
      </c>
      <c r="O101" s="9"/>
      <c r="P101" s="7">
        <f t="shared" ca="1" si="35"/>
        <v>-0.38000000000000006</v>
      </c>
      <c r="Q101" s="7">
        <f t="shared" ca="1" si="22"/>
        <v>-1.5200000000000002E-2</v>
      </c>
      <c r="R101" s="33">
        <f t="shared" ca="1" si="30"/>
        <v>5225.0000000000009</v>
      </c>
      <c r="S101" s="33">
        <f t="shared" ca="1" si="31"/>
        <v>-8525</v>
      </c>
      <c r="T101" s="33">
        <f t="shared" ca="1" si="23"/>
        <v>5225.0000000000009</v>
      </c>
      <c r="U101" s="7">
        <f t="shared" ca="1" si="32"/>
        <v>0.61290322580645173</v>
      </c>
      <c r="V101" s="7">
        <f t="shared" ca="1" si="33"/>
        <v>-0.65967050218736867</v>
      </c>
      <c r="W101" s="33">
        <f t="shared" ca="1" si="24"/>
        <v>5225.0000000000009</v>
      </c>
      <c r="X101" s="7">
        <f t="shared" ca="1" si="25"/>
        <v>1</v>
      </c>
      <c r="Y101" s="7">
        <f t="shared" ca="1" si="26"/>
        <v>1.6129032258064517</v>
      </c>
      <c r="Z101" s="7">
        <f t="shared" ca="1" si="34"/>
        <v>-0.12098384297306081</v>
      </c>
      <c r="AA101" s="33">
        <f t="shared" ca="1" si="27"/>
        <v>5225.0000000000009</v>
      </c>
      <c r="AB101" s="7">
        <f t="shared" ca="1" si="28"/>
        <v>1</v>
      </c>
      <c r="AC101" s="7">
        <f t="shared" ca="1" si="29"/>
        <v>1.6129032258064517</v>
      </c>
      <c r="AD101" s="40"/>
      <c r="AE101" s="42"/>
      <c r="AF101" s="34"/>
      <c r="AH101" s="34"/>
    </row>
    <row r="102" spans="1:34" x14ac:dyDescent="0.25">
      <c r="A102" s="1"/>
      <c r="B102" s="25">
        <v>43979</v>
      </c>
      <c r="C102" s="10" t="s">
        <v>671</v>
      </c>
      <c r="D102" s="1">
        <v>377.7</v>
      </c>
      <c r="E102" s="30">
        <v>1375</v>
      </c>
      <c r="F102" s="1">
        <v>400</v>
      </c>
      <c r="G102" s="1">
        <v>18.600000000000001</v>
      </c>
      <c r="H102" s="1">
        <v>420</v>
      </c>
      <c r="I102" s="1">
        <v>11.65</v>
      </c>
      <c r="J102" s="1">
        <v>545875</v>
      </c>
      <c r="K102" s="1">
        <v>8250</v>
      </c>
      <c r="L102" s="1">
        <v>11.55</v>
      </c>
      <c r="M102" s="1">
        <v>11.7</v>
      </c>
      <c r="N102" s="1">
        <v>4125</v>
      </c>
      <c r="O102" s="9"/>
      <c r="P102" s="7">
        <f t="shared" ca="1" si="35"/>
        <v>-0.34750000000000003</v>
      </c>
      <c r="Q102" s="7">
        <f t="shared" ca="1" si="22"/>
        <v>-1.3900000000000001E-2</v>
      </c>
      <c r="R102" s="33">
        <f t="shared" ca="1" si="30"/>
        <v>9556.2500000000018</v>
      </c>
      <c r="S102" s="33">
        <f t="shared" ca="1" si="31"/>
        <v>-17943.75</v>
      </c>
      <c r="T102" s="33">
        <f t="shared" ca="1" si="23"/>
        <v>9556.2500000000018</v>
      </c>
      <c r="U102" s="7">
        <f t="shared" ca="1" si="32"/>
        <v>0.53256704980842917</v>
      </c>
      <c r="V102" s="7">
        <f t="shared" ca="1" si="33"/>
        <v>-0.65967050218736867</v>
      </c>
      <c r="W102" s="33">
        <f t="shared" ca="1" si="24"/>
        <v>9556.2500000000018</v>
      </c>
      <c r="X102" s="7">
        <f t="shared" ca="1" si="25"/>
        <v>1</v>
      </c>
      <c r="Y102" s="7">
        <f t="shared" ca="1" si="26"/>
        <v>1.5325670498084292</v>
      </c>
      <c r="Z102" s="7">
        <f t="shared" ca="1" si="34"/>
        <v>-0.12098384297306081</v>
      </c>
      <c r="AA102" s="33">
        <f t="shared" ca="1" si="27"/>
        <v>9556.2500000000018</v>
      </c>
      <c r="AB102" s="7">
        <f t="shared" ca="1" si="28"/>
        <v>1</v>
      </c>
      <c r="AC102" s="7">
        <f t="shared" ca="1" si="29"/>
        <v>1.5325670498084292</v>
      </c>
      <c r="AD102" s="40"/>
      <c r="AE102" s="42"/>
      <c r="AF102" s="34"/>
      <c r="AH102" s="34"/>
    </row>
    <row r="103" spans="1:34" x14ac:dyDescent="0.25">
      <c r="A103" s="1"/>
      <c r="B103" s="25">
        <v>43979</v>
      </c>
      <c r="C103" s="10" t="s">
        <v>671</v>
      </c>
      <c r="D103" s="1">
        <v>377.7</v>
      </c>
      <c r="E103" s="30">
        <v>1375</v>
      </c>
      <c r="F103" s="1">
        <v>400</v>
      </c>
      <c r="G103" s="1">
        <v>18.600000000000001</v>
      </c>
      <c r="H103" s="1">
        <v>430</v>
      </c>
      <c r="I103" s="1">
        <v>9.25</v>
      </c>
      <c r="J103" s="1">
        <v>123750</v>
      </c>
      <c r="K103" s="1">
        <v>1375</v>
      </c>
      <c r="L103" s="1">
        <v>9</v>
      </c>
      <c r="M103" s="1">
        <v>9.15</v>
      </c>
      <c r="N103" s="1">
        <v>5500</v>
      </c>
      <c r="O103" s="9"/>
      <c r="P103" s="7">
        <f t="shared" ca="1" si="35"/>
        <v>-0.3116666666666667</v>
      </c>
      <c r="Q103" s="7">
        <f t="shared" ca="1" si="22"/>
        <v>-1.2466666666666668E-2</v>
      </c>
      <c r="R103" s="33">
        <f t="shared" ca="1" si="30"/>
        <v>12856.250000000002</v>
      </c>
      <c r="S103" s="33">
        <f t="shared" ca="1" si="31"/>
        <v>-28393.75</v>
      </c>
      <c r="T103" s="33">
        <f t="shared" ca="1" si="23"/>
        <v>12856.250000000002</v>
      </c>
      <c r="U103" s="7">
        <f t="shared" ca="1" si="32"/>
        <v>0.45278450363196132</v>
      </c>
      <c r="V103" s="7">
        <f t="shared" ca="1" si="33"/>
        <v>-0.65967050218736867</v>
      </c>
      <c r="W103" s="33">
        <f t="shared" ca="1" si="24"/>
        <v>12856.250000000002</v>
      </c>
      <c r="X103" s="7">
        <f t="shared" ca="1" si="25"/>
        <v>1</v>
      </c>
      <c r="Y103" s="7">
        <f t="shared" ca="1" si="26"/>
        <v>1.4527845036319613</v>
      </c>
      <c r="Z103" s="7">
        <f t="shared" ca="1" si="34"/>
        <v>-0.12098384297306081</v>
      </c>
      <c r="AA103" s="33">
        <f t="shared" ca="1" si="27"/>
        <v>12856.250000000002</v>
      </c>
      <c r="AB103" s="7">
        <f t="shared" ca="1" si="28"/>
        <v>1</v>
      </c>
      <c r="AC103" s="7">
        <f t="shared" ca="1" si="29"/>
        <v>1.4527845036319613</v>
      </c>
      <c r="AD103" s="40"/>
      <c r="AE103" s="42"/>
      <c r="AF103" s="34"/>
      <c r="AH103" s="34"/>
    </row>
    <row r="104" spans="1:34" x14ac:dyDescent="0.25">
      <c r="A104" s="1"/>
      <c r="B104" s="25">
        <v>43979</v>
      </c>
      <c r="C104" s="10" t="s">
        <v>671</v>
      </c>
      <c r="D104" s="1">
        <v>377.7</v>
      </c>
      <c r="E104" s="30">
        <v>1375</v>
      </c>
      <c r="F104" s="1">
        <v>400</v>
      </c>
      <c r="G104" s="1">
        <v>18.600000000000001</v>
      </c>
      <c r="H104" s="1">
        <v>440</v>
      </c>
      <c r="I104" s="1">
        <v>7</v>
      </c>
      <c r="J104" s="1">
        <v>94875</v>
      </c>
      <c r="K104" s="1">
        <v>4125</v>
      </c>
      <c r="L104" s="1">
        <v>7</v>
      </c>
      <c r="M104" s="1">
        <v>7.05</v>
      </c>
      <c r="N104" s="1">
        <v>2750</v>
      </c>
      <c r="O104" s="9"/>
      <c r="P104" s="7">
        <f t="shared" ca="1" si="35"/>
        <v>-0.29000000000000004</v>
      </c>
      <c r="Q104" s="7">
        <f t="shared" ref="Q104:Q167" ca="1" si="36">P104/($B104-TODAY())</f>
        <v>-1.1600000000000001E-2</v>
      </c>
      <c r="R104" s="33">
        <f t="shared" ca="1" si="30"/>
        <v>15950.000000000002</v>
      </c>
      <c r="S104" s="33">
        <f t="shared" ca="1" si="31"/>
        <v>-39050</v>
      </c>
      <c r="T104" s="33">
        <f t="shared" ref="T104:T167" ca="1" si="37">R104</f>
        <v>15950.000000000002</v>
      </c>
      <c r="U104" s="7">
        <f t="shared" ca="1" si="32"/>
        <v>0.40845070422535218</v>
      </c>
      <c r="V104" s="7">
        <f t="shared" ca="1" si="33"/>
        <v>-0.65967050218736867</v>
      </c>
      <c r="W104" s="33">
        <f t="shared" ref="W104:W167" ca="1" si="38">-(MAX(($F104-MAX($D104*(1+V104),$H104)),0)*$E104-$R104)</f>
        <v>15950.000000000002</v>
      </c>
      <c r="X104" s="7">
        <f t="shared" ref="X104:X167" ca="1" si="39">W104/$R104</f>
        <v>1</v>
      </c>
      <c r="Y104" s="7">
        <f t="shared" ref="Y104:Y167" ca="1" si="40">$U104+X104</f>
        <v>1.4084507042253522</v>
      </c>
      <c r="Z104" s="7">
        <f t="shared" ca="1" si="34"/>
        <v>-0.12098384297306081</v>
      </c>
      <c r="AA104" s="33">
        <f t="shared" ref="AA104:AA167" ca="1" si="41">-(MAX(($F104-MAX($D104*(1+Z104),$H104)),0)*$E104-$R104)</f>
        <v>15950.000000000002</v>
      </c>
      <c r="AB104" s="7">
        <f t="shared" ref="AB104:AB167" ca="1" si="42">AA104/$R104</f>
        <v>1</v>
      </c>
      <c r="AC104" s="7">
        <f t="shared" ref="AC104:AC167" ca="1" si="43">$U104+AB104</f>
        <v>1.4084507042253522</v>
      </c>
      <c r="AD104" s="40"/>
      <c r="AE104" s="42"/>
      <c r="AF104" s="34"/>
      <c r="AH104" s="34"/>
    </row>
    <row r="105" spans="1:34" x14ac:dyDescent="0.25">
      <c r="A105" s="1"/>
      <c r="B105" s="25">
        <v>43979</v>
      </c>
      <c r="C105" s="10" t="s">
        <v>671</v>
      </c>
      <c r="D105" s="1">
        <v>377.7</v>
      </c>
      <c r="E105" s="30">
        <v>1375</v>
      </c>
      <c r="F105" s="1">
        <v>400</v>
      </c>
      <c r="G105" s="1">
        <v>18.600000000000001</v>
      </c>
      <c r="H105" s="1">
        <v>450</v>
      </c>
      <c r="I105" s="1">
        <v>5.5</v>
      </c>
      <c r="J105" s="1">
        <v>327250</v>
      </c>
      <c r="K105" s="1">
        <v>2750</v>
      </c>
      <c r="L105" s="1">
        <v>5.3</v>
      </c>
      <c r="M105" s="1">
        <v>5.4</v>
      </c>
      <c r="N105" s="1">
        <v>1375</v>
      </c>
      <c r="O105" s="9"/>
      <c r="P105" s="7">
        <f t="shared" ca="1" si="35"/>
        <v>-0.26200000000000001</v>
      </c>
      <c r="Q105" s="7">
        <f t="shared" ca="1" si="36"/>
        <v>-1.048E-2</v>
      </c>
      <c r="R105" s="33">
        <f t="shared" ca="1" si="30"/>
        <v>18012.500000000004</v>
      </c>
      <c r="S105" s="33">
        <f t="shared" ca="1" si="31"/>
        <v>-50737.5</v>
      </c>
      <c r="T105" s="33">
        <f t="shared" ca="1" si="37"/>
        <v>18012.500000000004</v>
      </c>
      <c r="U105" s="7">
        <f t="shared" ca="1" si="32"/>
        <v>0.35501355013550145</v>
      </c>
      <c r="V105" s="7">
        <f t="shared" ca="1" si="33"/>
        <v>-0.65967050218736867</v>
      </c>
      <c r="W105" s="33">
        <f t="shared" ca="1" si="38"/>
        <v>18012.500000000004</v>
      </c>
      <c r="X105" s="7">
        <f t="shared" ca="1" si="39"/>
        <v>1</v>
      </c>
      <c r="Y105" s="7">
        <f t="shared" ca="1" si="40"/>
        <v>1.3550135501355014</v>
      </c>
      <c r="Z105" s="7">
        <f t="shared" ca="1" si="34"/>
        <v>-0.12098384297306081</v>
      </c>
      <c r="AA105" s="33">
        <f t="shared" ca="1" si="41"/>
        <v>18012.500000000004</v>
      </c>
      <c r="AB105" s="7">
        <f t="shared" ca="1" si="42"/>
        <v>1</v>
      </c>
      <c r="AC105" s="7">
        <f t="shared" ca="1" si="43"/>
        <v>1.3550135501355014</v>
      </c>
      <c r="AD105" s="40"/>
      <c r="AE105" s="42"/>
      <c r="AF105" s="34"/>
      <c r="AH105" s="34"/>
    </row>
    <row r="106" spans="1:34" x14ac:dyDescent="0.25">
      <c r="A106" s="1"/>
      <c r="B106" s="25">
        <v>43979</v>
      </c>
      <c r="C106" s="10" t="s">
        <v>671</v>
      </c>
      <c r="D106" s="1">
        <v>377.7</v>
      </c>
      <c r="E106" s="30">
        <v>1375</v>
      </c>
      <c r="F106" s="1">
        <v>400</v>
      </c>
      <c r="G106" s="1">
        <v>18.600000000000001</v>
      </c>
      <c r="H106" s="1">
        <v>460</v>
      </c>
      <c r="I106" s="1">
        <v>4.2</v>
      </c>
      <c r="J106" s="1">
        <v>50875</v>
      </c>
      <c r="K106" s="1">
        <v>2750</v>
      </c>
      <c r="L106" s="1">
        <v>4.0999999999999996</v>
      </c>
      <c r="M106" s="1">
        <v>4.2</v>
      </c>
      <c r="N106" s="1">
        <v>1375</v>
      </c>
      <c r="O106" s="9"/>
      <c r="P106" s="7">
        <f t="shared" ca="1" si="35"/>
        <v>-0.24000000000000005</v>
      </c>
      <c r="Q106" s="7">
        <f t="shared" ca="1" si="36"/>
        <v>-9.6000000000000026E-3</v>
      </c>
      <c r="R106" s="33">
        <f t="shared" ca="1" si="30"/>
        <v>19800.000000000004</v>
      </c>
      <c r="S106" s="33">
        <f t="shared" ca="1" si="31"/>
        <v>-62700</v>
      </c>
      <c r="T106" s="33">
        <f t="shared" ca="1" si="37"/>
        <v>19800.000000000004</v>
      </c>
      <c r="U106" s="7">
        <f t="shared" ca="1" si="32"/>
        <v>0.31578947368421056</v>
      </c>
      <c r="V106" s="7">
        <f t="shared" ca="1" si="33"/>
        <v>-0.65967050218736867</v>
      </c>
      <c r="W106" s="33">
        <f t="shared" ca="1" si="38"/>
        <v>19800.000000000004</v>
      </c>
      <c r="X106" s="7">
        <f t="shared" ca="1" si="39"/>
        <v>1</v>
      </c>
      <c r="Y106" s="7">
        <f t="shared" ca="1" si="40"/>
        <v>1.3157894736842106</v>
      </c>
      <c r="Z106" s="7">
        <f t="shared" ca="1" si="34"/>
        <v>-0.12098384297306081</v>
      </c>
      <c r="AA106" s="33">
        <f t="shared" ca="1" si="41"/>
        <v>19800.000000000004</v>
      </c>
      <c r="AB106" s="7">
        <f t="shared" ca="1" si="42"/>
        <v>1</v>
      </c>
      <c r="AC106" s="7">
        <f t="shared" ca="1" si="43"/>
        <v>1.3157894736842106</v>
      </c>
      <c r="AD106" s="40"/>
      <c r="AE106" s="42"/>
      <c r="AF106" s="34"/>
      <c r="AH106" s="34"/>
    </row>
    <row r="107" spans="1:34" x14ac:dyDescent="0.25">
      <c r="A107" s="1"/>
      <c r="B107" s="25">
        <v>43979</v>
      </c>
      <c r="C107" s="10" t="s">
        <v>671</v>
      </c>
      <c r="D107" s="1">
        <v>377.7</v>
      </c>
      <c r="E107" s="30">
        <v>1375</v>
      </c>
      <c r="F107" s="1">
        <v>400</v>
      </c>
      <c r="G107" s="1">
        <v>18.600000000000001</v>
      </c>
      <c r="H107" s="1">
        <v>470</v>
      </c>
      <c r="I107" s="1">
        <v>3.35</v>
      </c>
      <c r="J107" s="1">
        <v>9625</v>
      </c>
      <c r="K107" s="1">
        <v>6875</v>
      </c>
      <c r="L107" s="1">
        <v>3.25</v>
      </c>
      <c r="M107" s="1">
        <v>3.6</v>
      </c>
      <c r="N107" s="1">
        <v>5500</v>
      </c>
      <c r="O107" s="9"/>
      <c r="P107" s="7">
        <f t="shared" ca="1" si="35"/>
        <v>-0.21785714285714289</v>
      </c>
      <c r="Q107" s="7">
        <f t="shared" ca="1" si="36"/>
        <v>-8.7142857142857161E-3</v>
      </c>
      <c r="R107" s="33">
        <f t="shared" ca="1" si="30"/>
        <v>20968.750000000004</v>
      </c>
      <c r="S107" s="33">
        <f t="shared" ca="1" si="31"/>
        <v>-75281.25</v>
      </c>
      <c r="T107" s="33">
        <f t="shared" ca="1" si="37"/>
        <v>20968.750000000004</v>
      </c>
      <c r="U107" s="7">
        <f t="shared" ca="1" si="32"/>
        <v>0.27853881278538817</v>
      </c>
      <c r="V107" s="7">
        <f t="shared" ca="1" si="33"/>
        <v>-0.65967050218736867</v>
      </c>
      <c r="W107" s="33">
        <f t="shared" ca="1" si="38"/>
        <v>20968.750000000004</v>
      </c>
      <c r="X107" s="7">
        <f t="shared" ca="1" si="39"/>
        <v>1</v>
      </c>
      <c r="Y107" s="7">
        <f t="shared" ca="1" si="40"/>
        <v>1.2785388127853881</v>
      </c>
      <c r="Z107" s="7">
        <f t="shared" ca="1" si="34"/>
        <v>-0.12098384297306081</v>
      </c>
      <c r="AA107" s="33">
        <f t="shared" ca="1" si="41"/>
        <v>20968.750000000004</v>
      </c>
      <c r="AB107" s="7">
        <f t="shared" ca="1" si="42"/>
        <v>1</v>
      </c>
      <c r="AC107" s="7">
        <f t="shared" ca="1" si="43"/>
        <v>1.2785388127853881</v>
      </c>
      <c r="AD107" s="40"/>
      <c r="AE107" s="42"/>
      <c r="AF107" s="34"/>
      <c r="AH107" s="34"/>
    </row>
    <row r="108" spans="1:34" x14ac:dyDescent="0.25">
      <c r="A108" s="1"/>
      <c r="B108" s="25">
        <v>43979</v>
      </c>
      <c r="C108" s="10" t="s">
        <v>671</v>
      </c>
      <c r="D108" s="1">
        <v>377.7</v>
      </c>
      <c r="E108" s="30">
        <v>1375</v>
      </c>
      <c r="F108" s="1">
        <v>400</v>
      </c>
      <c r="G108" s="1">
        <v>18.600000000000001</v>
      </c>
      <c r="H108" s="1">
        <v>480</v>
      </c>
      <c r="I108" s="1">
        <v>2.7</v>
      </c>
      <c r="J108" s="1">
        <v>24750</v>
      </c>
      <c r="K108" s="1">
        <v>1375</v>
      </c>
      <c r="L108" s="1">
        <v>2.2000000000000002</v>
      </c>
      <c r="M108" s="1">
        <v>2.9</v>
      </c>
      <c r="N108" s="1">
        <v>1375</v>
      </c>
      <c r="O108" s="9"/>
      <c r="P108" s="7">
        <f t="shared" ca="1" si="35"/>
        <v>-0.19875000000000004</v>
      </c>
      <c r="Q108" s="7">
        <f t="shared" ca="1" si="36"/>
        <v>-7.9500000000000022E-3</v>
      </c>
      <c r="R108" s="33">
        <f t="shared" ca="1" si="30"/>
        <v>21862.500000000004</v>
      </c>
      <c r="S108" s="33">
        <f t="shared" ca="1" si="31"/>
        <v>-88137.5</v>
      </c>
      <c r="T108" s="33">
        <f t="shared" ca="1" si="37"/>
        <v>21862.500000000004</v>
      </c>
      <c r="U108" s="7">
        <f t="shared" ca="1" si="32"/>
        <v>0.24804992199687992</v>
      </c>
      <c r="V108" s="7">
        <f t="shared" ca="1" si="33"/>
        <v>-0.65967050218736867</v>
      </c>
      <c r="W108" s="33">
        <f t="shared" ca="1" si="38"/>
        <v>21862.500000000004</v>
      </c>
      <c r="X108" s="7">
        <f t="shared" ca="1" si="39"/>
        <v>1</v>
      </c>
      <c r="Y108" s="7">
        <f t="shared" ca="1" si="40"/>
        <v>1.2480499219968799</v>
      </c>
      <c r="Z108" s="7">
        <f t="shared" ca="1" si="34"/>
        <v>-0.12098384297306081</v>
      </c>
      <c r="AA108" s="33">
        <f t="shared" ca="1" si="41"/>
        <v>21862.500000000004</v>
      </c>
      <c r="AB108" s="7">
        <f t="shared" ca="1" si="42"/>
        <v>1</v>
      </c>
      <c r="AC108" s="7">
        <f t="shared" ca="1" si="43"/>
        <v>1.2480499219968799</v>
      </c>
      <c r="AD108" s="40"/>
      <c r="AE108" s="42"/>
      <c r="AF108" s="34"/>
      <c r="AH108" s="34"/>
    </row>
    <row r="109" spans="1:34" x14ac:dyDescent="0.25">
      <c r="A109" s="1"/>
      <c r="B109" s="25">
        <v>43979</v>
      </c>
      <c r="C109" s="10" t="s">
        <v>671</v>
      </c>
      <c r="D109" s="1">
        <v>377.7</v>
      </c>
      <c r="E109" s="30">
        <v>1375</v>
      </c>
      <c r="F109" s="1">
        <v>400</v>
      </c>
      <c r="G109" s="1">
        <v>18.600000000000001</v>
      </c>
      <c r="H109" s="1">
        <v>500</v>
      </c>
      <c r="I109" s="1">
        <v>1.45</v>
      </c>
      <c r="J109" s="1">
        <v>233750</v>
      </c>
      <c r="K109" s="1">
        <v>1375</v>
      </c>
      <c r="L109" s="1">
        <v>1.45</v>
      </c>
      <c r="M109" s="1">
        <v>1.55</v>
      </c>
      <c r="N109" s="1">
        <v>2750</v>
      </c>
      <c r="O109" s="9"/>
      <c r="P109" s="7">
        <f t="shared" ca="1" si="35"/>
        <v>-0.17150000000000001</v>
      </c>
      <c r="Q109" s="7">
        <f t="shared" ca="1" si="36"/>
        <v>-6.8600000000000006E-3</v>
      </c>
      <c r="R109" s="33">
        <f t="shared" ca="1" si="30"/>
        <v>23581.250000000004</v>
      </c>
      <c r="S109" s="33">
        <f t="shared" ca="1" si="31"/>
        <v>-113918.75</v>
      </c>
      <c r="T109" s="33">
        <f t="shared" ca="1" si="37"/>
        <v>23581.250000000004</v>
      </c>
      <c r="U109" s="7">
        <f t="shared" ca="1" si="32"/>
        <v>0.20700060350030178</v>
      </c>
      <c r="V109" s="7">
        <f t="shared" ca="1" si="33"/>
        <v>-0.65967050218736867</v>
      </c>
      <c r="W109" s="33">
        <f t="shared" ca="1" si="38"/>
        <v>23581.250000000004</v>
      </c>
      <c r="X109" s="7">
        <f t="shared" ca="1" si="39"/>
        <v>1</v>
      </c>
      <c r="Y109" s="7">
        <f t="shared" ca="1" si="40"/>
        <v>1.2070006035003018</v>
      </c>
      <c r="Z109" s="7">
        <f t="shared" ca="1" si="34"/>
        <v>-0.12098384297306081</v>
      </c>
      <c r="AA109" s="33">
        <f t="shared" ca="1" si="41"/>
        <v>23581.250000000004</v>
      </c>
      <c r="AB109" s="7">
        <f t="shared" ca="1" si="42"/>
        <v>1</v>
      </c>
      <c r="AC109" s="7">
        <f t="shared" ca="1" si="43"/>
        <v>1.2070006035003018</v>
      </c>
      <c r="AD109" s="40"/>
      <c r="AE109" s="42"/>
      <c r="AF109" s="34"/>
      <c r="AH109" s="34"/>
    </row>
    <row r="110" spans="1:34" x14ac:dyDescent="0.25">
      <c r="A110" s="1"/>
      <c r="B110" s="25">
        <v>43979</v>
      </c>
      <c r="C110" s="10" t="s">
        <v>671</v>
      </c>
      <c r="D110" s="1">
        <v>377.7</v>
      </c>
      <c r="E110" s="30">
        <v>1375</v>
      </c>
      <c r="F110" s="1">
        <v>400</v>
      </c>
      <c r="G110" s="1">
        <v>18.600000000000001</v>
      </c>
      <c r="H110" s="1">
        <v>510</v>
      </c>
      <c r="I110" s="1">
        <v>0.8</v>
      </c>
      <c r="J110" s="1">
        <v>2750</v>
      </c>
      <c r="K110" s="1">
        <v>2750</v>
      </c>
      <c r="L110" s="1">
        <v>0.8</v>
      </c>
      <c r="M110" s="1">
        <v>1.8</v>
      </c>
      <c r="N110" s="1">
        <v>1375</v>
      </c>
      <c r="O110" s="9"/>
      <c r="P110" s="7">
        <f t="shared" ca="1" si="35"/>
        <v>-0.16181818181818183</v>
      </c>
      <c r="Q110" s="7">
        <f t="shared" ca="1" si="36"/>
        <v>-6.4727272727272732E-3</v>
      </c>
      <c r="R110" s="33">
        <f t="shared" ca="1" si="30"/>
        <v>24475</v>
      </c>
      <c r="S110" s="33">
        <f t="shared" ca="1" si="31"/>
        <v>-126775</v>
      </c>
      <c r="T110" s="33">
        <f t="shared" ca="1" si="37"/>
        <v>24475</v>
      </c>
      <c r="U110" s="7">
        <f t="shared" ca="1" si="32"/>
        <v>0.19305856832971802</v>
      </c>
      <c r="V110" s="7">
        <f t="shared" ca="1" si="33"/>
        <v>-0.65967050218736867</v>
      </c>
      <c r="W110" s="33">
        <f t="shared" ca="1" si="38"/>
        <v>24475</v>
      </c>
      <c r="X110" s="7">
        <f t="shared" ca="1" si="39"/>
        <v>1</v>
      </c>
      <c r="Y110" s="7">
        <f t="shared" ca="1" si="40"/>
        <v>1.1930585683297181</v>
      </c>
      <c r="Z110" s="7">
        <f t="shared" ca="1" si="34"/>
        <v>-0.12098384297306081</v>
      </c>
      <c r="AA110" s="33">
        <f t="shared" ca="1" si="41"/>
        <v>24475</v>
      </c>
      <c r="AB110" s="7">
        <f t="shared" ca="1" si="42"/>
        <v>1</v>
      </c>
      <c r="AC110" s="7">
        <f t="shared" ca="1" si="43"/>
        <v>1.1930585683297181</v>
      </c>
      <c r="AD110" s="40"/>
      <c r="AE110" s="42"/>
      <c r="AF110" s="34"/>
      <c r="AH110" s="34"/>
    </row>
    <row r="111" spans="1:34" x14ac:dyDescent="0.25">
      <c r="A111" s="1"/>
      <c r="B111" s="25">
        <v>43979</v>
      </c>
      <c r="C111" s="10" t="s">
        <v>671</v>
      </c>
      <c r="D111" s="1">
        <v>377.7</v>
      </c>
      <c r="E111" s="30">
        <v>1375</v>
      </c>
      <c r="F111" s="1">
        <v>400</v>
      </c>
      <c r="G111" s="1">
        <v>18.600000000000001</v>
      </c>
      <c r="H111" s="1">
        <v>550</v>
      </c>
      <c r="I111" s="1">
        <v>0.7</v>
      </c>
      <c r="J111" s="1">
        <v>6875</v>
      </c>
      <c r="K111" s="1">
        <v>1375</v>
      </c>
      <c r="L111" s="1">
        <v>0.5</v>
      </c>
      <c r="M111" s="1">
        <v>1</v>
      </c>
      <c r="N111" s="1">
        <v>1375</v>
      </c>
      <c r="O111" s="9"/>
      <c r="P111" s="7">
        <f t="shared" ca="1" si="35"/>
        <v>-0.11933333333333335</v>
      </c>
      <c r="Q111" s="7">
        <f t="shared" ca="1" si="36"/>
        <v>-4.7733333333333343E-3</v>
      </c>
      <c r="R111" s="33">
        <f t="shared" ca="1" si="30"/>
        <v>24612.500000000004</v>
      </c>
      <c r="S111" s="33">
        <f t="shared" ca="1" si="31"/>
        <v>-181637.5</v>
      </c>
      <c r="T111" s="33">
        <f t="shared" ca="1" si="37"/>
        <v>24612.500000000004</v>
      </c>
      <c r="U111" s="7">
        <f t="shared" ca="1" si="32"/>
        <v>0.13550340651021955</v>
      </c>
      <c r="V111" s="7">
        <f t="shared" ca="1" si="33"/>
        <v>-0.65967050218736867</v>
      </c>
      <c r="W111" s="33">
        <f t="shared" ca="1" si="38"/>
        <v>24612.500000000004</v>
      </c>
      <c r="X111" s="7">
        <f t="shared" ca="1" si="39"/>
        <v>1</v>
      </c>
      <c r="Y111" s="7">
        <f t="shared" ca="1" si="40"/>
        <v>1.1355034065102196</v>
      </c>
      <c r="Z111" s="7">
        <f t="shared" ca="1" si="34"/>
        <v>-0.12098384297306081</v>
      </c>
      <c r="AA111" s="33">
        <f t="shared" ca="1" si="41"/>
        <v>24612.500000000004</v>
      </c>
      <c r="AB111" s="7">
        <f t="shared" ca="1" si="42"/>
        <v>1</v>
      </c>
      <c r="AC111" s="7">
        <f t="shared" ca="1" si="43"/>
        <v>1.1355034065102196</v>
      </c>
      <c r="AD111" s="40"/>
      <c r="AE111" s="42"/>
      <c r="AF111" s="34"/>
      <c r="AH111" s="34"/>
    </row>
    <row r="112" spans="1:34" x14ac:dyDescent="0.25">
      <c r="A112" s="1"/>
      <c r="B112" s="25">
        <v>43979</v>
      </c>
      <c r="C112" s="10" t="s">
        <v>729</v>
      </c>
      <c r="D112" s="1">
        <v>468</v>
      </c>
      <c r="E112" s="30">
        <v>400</v>
      </c>
      <c r="F112" s="1">
        <v>500</v>
      </c>
      <c r="G112" s="1">
        <v>48.3</v>
      </c>
      <c r="H112" s="1">
        <v>520</v>
      </c>
      <c r="I112" s="1">
        <v>39.1</v>
      </c>
      <c r="J112" s="1">
        <v>58000</v>
      </c>
      <c r="K112" s="1">
        <v>400</v>
      </c>
      <c r="L112" s="1">
        <v>39.5</v>
      </c>
      <c r="M112" s="1">
        <v>39.799999999999997</v>
      </c>
      <c r="N112" s="1">
        <v>400</v>
      </c>
      <c r="O112" s="9"/>
      <c r="P112" s="7">
        <f t="shared" ca="1" si="35"/>
        <v>-0.4599999999999998</v>
      </c>
      <c r="Q112" s="7">
        <f t="shared" ca="1" si="36"/>
        <v>-1.8399999999999993E-2</v>
      </c>
      <c r="R112" s="33">
        <f t="shared" ca="1" si="30"/>
        <v>3679.9999999999982</v>
      </c>
      <c r="S112" s="33">
        <f t="shared" ca="1" si="31"/>
        <v>-4320.0000000000018</v>
      </c>
      <c r="T112" s="33">
        <f t="shared" ca="1" si="37"/>
        <v>3679.9999999999982</v>
      </c>
      <c r="U112" s="7">
        <f t="shared" ca="1" si="32"/>
        <v>0.85185185185185108</v>
      </c>
      <c r="V112" s="7">
        <f t="shared" ca="1" si="33"/>
        <v>-1.3712546646987311</v>
      </c>
      <c r="W112" s="33">
        <f t="shared" ca="1" si="38"/>
        <v>3679.9999999999982</v>
      </c>
      <c r="X112" s="7">
        <f t="shared" ca="1" si="39"/>
        <v>1</v>
      </c>
      <c r="Y112" s="7">
        <f t="shared" ca="1" si="40"/>
        <v>1.8518518518518512</v>
      </c>
      <c r="Z112" s="7">
        <f t="shared" ca="1" si="34"/>
        <v>-0.20456801035357741</v>
      </c>
      <c r="AA112" s="33">
        <f t="shared" ca="1" si="41"/>
        <v>3679.9999999999982</v>
      </c>
      <c r="AB112" s="7">
        <f t="shared" ca="1" si="42"/>
        <v>1</v>
      </c>
      <c r="AC112" s="7">
        <f t="shared" ca="1" si="43"/>
        <v>1.8518518518518512</v>
      </c>
      <c r="AD112" s="40"/>
      <c r="AE112" s="42"/>
      <c r="AF112" s="34"/>
      <c r="AH112" s="34"/>
    </row>
    <row r="113" spans="1:34" x14ac:dyDescent="0.25">
      <c r="A113" s="1"/>
      <c r="B113" s="25">
        <v>43979</v>
      </c>
      <c r="C113" s="10" t="s">
        <v>729</v>
      </c>
      <c r="D113" s="1">
        <v>468</v>
      </c>
      <c r="E113" s="30">
        <v>400</v>
      </c>
      <c r="F113" s="1">
        <v>500</v>
      </c>
      <c r="G113" s="1">
        <v>48.3</v>
      </c>
      <c r="H113" s="1">
        <v>540</v>
      </c>
      <c r="I113" s="1">
        <v>32.4</v>
      </c>
      <c r="J113" s="1">
        <v>50800</v>
      </c>
      <c r="K113" s="1">
        <v>1200</v>
      </c>
      <c r="L113" s="1">
        <v>32.200000000000003</v>
      </c>
      <c r="M113" s="1">
        <v>32.5</v>
      </c>
      <c r="N113" s="1">
        <v>400</v>
      </c>
      <c r="O113" s="9"/>
      <c r="P113" s="7">
        <f t="shared" ca="1" si="35"/>
        <v>-0.39749999999999996</v>
      </c>
      <c r="Q113" s="7">
        <f t="shared" ca="1" si="36"/>
        <v>-1.5899999999999997E-2</v>
      </c>
      <c r="R113" s="33">
        <f t="shared" ca="1" si="30"/>
        <v>6359.9999999999991</v>
      </c>
      <c r="S113" s="33">
        <f t="shared" ca="1" si="31"/>
        <v>-9640</v>
      </c>
      <c r="T113" s="33">
        <f t="shared" ca="1" si="37"/>
        <v>6359.9999999999991</v>
      </c>
      <c r="U113" s="7">
        <f t="shared" ca="1" si="32"/>
        <v>0.65975103734439822</v>
      </c>
      <c r="V113" s="7">
        <f t="shared" ca="1" si="33"/>
        <v>-1.3712546646987311</v>
      </c>
      <c r="W113" s="33">
        <f t="shared" ca="1" si="38"/>
        <v>6359.9999999999991</v>
      </c>
      <c r="X113" s="7">
        <f t="shared" ca="1" si="39"/>
        <v>1</v>
      </c>
      <c r="Y113" s="7">
        <f t="shared" ca="1" si="40"/>
        <v>1.6597510373443982</v>
      </c>
      <c r="Z113" s="7">
        <f t="shared" ca="1" si="34"/>
        <v>-0.20456801035357741</v>
      </c>
      <c r="AA113" s="33">
        <f t="shared" ca="1" si="41"/>
        <v>6359.9999999999991</v>
      </c>
      <c r="AB113" s="7">
        <f t="shared" ca="1" si="42"/>
        <v>1</v>
      </c>
      <c r="AC113" s="7">
        <f t="shared" ca="1" si="43"/>
        <v>1.6597510373443982</v>
      </c>
      <c r="AD113" s="40"/>
      <c r="AE113" s="42"/>
      <c r="AF113" s="34"/>
      <c r="AH113" s="34"/>
    </row>
    <row r="114" spans="1:34" x14ac:dyDescent="0.25">
      <c r="A114" s="1"/>
      <c r="B114" s="25">
        <v>43979</v>
      </c>
      <c r="C114" s="10" t="s">
        <v>729</v>
      </c>
      <c r="D114" s="1">
        <v>468</v>
      </c>
      <c r="E114" s="30">
        <v>400</v>
      </c>
      <c r="F114" s="1">
        <v>500</v>
      </c>
      <c r="G114" s="1">
        <v>48.3</v>
      </c>
      <c r="H114" s="1">
        <v>550</v>
      </c>
      <c r="I114" s="1">
        <v>29.2</v>
      </c>
      <c r="J114" s="1">
        <v>165200</v>
      </c>
      <c r="K114" s="1">
        <v>1200</v>
      </c>
      <c r="L114" s="1">
        <v>29.15</v>
      </c>
      <c r="M114" s="1">
        <v>29.45</v>
      </c>
      <c r="N114" s="1">
        <v>1200</v>
      </c>
      <c r="O114" s="9"/>
      <c r="P114" s="7">
        <f t="shared" ca="1" si="35"/>
        <v>-0.38199999999999995</v>
      </c>
      <c r="Q114" s="7">
        <f t="shared" ca="1" si="36"/>
        <v>-1.5279999999999998E-2</v>
      </c>
      <c r="R114" s="33">
        <f t="shared" ca="1" si="30"/>
        <v>7639.9999999999991</v>
      </c>
      <c r="S114" s="33">
        <f t="shared" ca="1" si="31"/>
        <v>-12360</v>
      </c>
      <c r="T114" s="33">
        <f t="shared" ca="1" si="37"/>
        <v>7639.9999999999991</v>
      </c>
      <c r="U114" s="7">
        <f t="shared" ca="1" si="32"/>
        <v>0.61812297734627819</v>
      </c>
      <c r="V114" s="7">
        <f t="shared" ca="1" si="33"/>
        <v>-1.3712546646987311</v>
      </c>
      <c r="W114" s="33">
        <f t="shared" ca="1" si="38"/>
        <v>7639.9999999999991</v>
      </c>
      <c r="X114" s="7">
        <f t="shared" ca="1" si="39"/>
        <v>1</v>
      </c>
      <c r="Y114" s="7">
        <f t="shared" ca="1" si="40"/>
        <v>1.6181229773462782</v>
      </c>
      <c r="Z114" s="7">
        <f t="shared" ca="1" si="34"/>
        <v>-0.20456801035357741</v>
      </c>
      <c r="AA114" s="33">
        <f t="shared" ca="1" si="41"/>
        <v>7639.9999999999991</v>
      </c>
      <c r="AB114" s="7">
        <f t="shared" ca="1" si="42"/>
        <v>1</v>
      </c>
      <c r="AC114" s="7">
        <f t="shared" ca="1" si="43"/>
        <v>1.6181229773462782</v>
      </c>
      <c r="AD114" s="40"/>
      <c r="AE114" s="42"/>
      <c r="AF114" s="34"/>
      <c r="AH114" s="34"/>
    </row>
    <row r="115" spans="1:34" x14ac:dyDescent="0.25">
      <c r="A115" s="1"/>
      <c r="B115" s="25">
        <v>43979</v>
      </c>
      <c r="C115" s="10" t="s">
        <v>729</v>
      </c>
      <c r="D115" s="1">
        <v>468</v>
      </c>
      <c r="E115" s="30">
        <v>400</v>
      </c>
      <c r="F115" s="1">
        <v>500</v>
      </c>
      <c r="G115" s="1">
        <v>48.3</v>
      </c>
      <c r="H115" s="1">
        <v>560</v>
      </c>
      <c r="I115" s="1">
        <v>25.05</v>
      </c>
      <c r="J115" s="1">
        <v>5600</v>
      </c>
      <c r="K115" s="1">
        <v>400</v>
      </c>
      <c r="L115" s="1">
        <v>26.45</v>
      </c>
      <c r="M115" s="1">
        <v>26.85</v>
      </c>
      <c r="N115" s="1">
        <v>800</v>
      </c>
      <c r="O115" s="9"/>
      <c r="P115" s="7">
        <f t="shared" ca="1" si="35"/>
        <v>-0.38749999999999996</v>
      </c>
      <c r="Q115" s="7">
        <f t="shared" ca="1" si="36"/>
        <v>-1.5499999999999998E-2</v>
      </c>
      <c r="R115" s="33">
        <f t="shared" ca="1" si="30"/>
        <v>9299.9999999999982</v>
      </c>
      <c r="S115" s="33">
        <f t="shared" ca="1" si="31"/>
        <v>-14700.000000000002</v>
      </c>
      <c r="T115" s="33">
        <f t="shared" ca="1" si="37"/>
        <v>9299.9999999999982</v>
      </c>
      <c r="U115" s="7">
        <f t="shared" ca="1" si="32"/>
        <v>0.63265306122448961</v>
      </c>
      <c r="V115" s="7">
        <f t="shared" ca="1" si="33"/>
        <v>-1.3712546646987311</v>
      </c>
      <c r="W115" s="33">
        <f t="shared" ca="1" si="38"/>
        <v>9299.9999999999982</v>
      </c>
      <c r="X115" s="7">
        <f t="shared" ca="1" si="39"/>
        <v>1</v>
      </c>
      <c r="Y115" s="7">
        <f t="shared" ca="1" si="40"/>
        <v>1.6326530612244896</v>
      </c>
      <c r="Z115" s="7">
        <f t="shared" ca="1" si="34"/>
        <v>-0.20456801035357741</v>
      </c>
      <c r="AA115" s="33">
        <f t="shared" ca="1" si="41"/>
        <v>9299.9999999999982</v>
      </c>
      <c r="AB115" s="7">
        <f t="shared" ca="1" si="42"/>
        <v>1</v>
      </c>
      <c r="AC115" s="7">
        <f t="shared" ca="1" si="43"/>
        <v>1.6326530612244896</v>
      </c>
      <c r="AD115" s="40"/>
      <c r="AE115" s="42"/>
      <c r="AF115" s="34"/>
      <c r="AH115" s="34"/>
    </row>
    <row r="116" spans="1:34" x14ac:dyDescent="0.25">
      <c r="A116" s="1"/>
      <c r="B116" s="25">
        <v>43979</v>
      </c>
      <c r="C116" s="10" t="s">
        <v>729</v>
      </c>
      <c r="D116" s="1">
        <v>468</v>
      </c>
      <c r="E116" s="30">
        <v>400</v>
      </c>
      <c r="F116" s="1">
        <v>500</v>
      </c>
      <c r="G116" s="1">
        <v>48.3</v>
      </c>
      <c r="H116" s="1">
        <v>580</v>
      </c>
      <c r="I116" s="1">
        <v>21.7</v>
      </c>
      <c r="J116" s="1">
        <v>8800</v>
      </c>
      <c r="K116" s="1">
        <v>400</v>
      </c>
      <c r="L116" s="1">
        <v>21.7</v>
      </c>
      <c r="M116" s="1">
        <v>22</v>
      </c>
      <c r="N116" s="1">
        <v>400</v>
      </c>
      <c r="O116" s="9"/>
      <c r="P116" s="7">
        <f t="shared" ca="1" si="35"/>
        <v>-0.33249999999999996</v>
      </c>
      <c r="Q116" s="7">
        <f t="shared" ca="1" si="36"/>
        <v>-1.3299999999999999E-2</v>
      </c>
      <c r="R116" s="33">
        <f t="shared" ca="1" si="30"/>
        <v>10640</v>
      </c>
      <c r="S116" s="33">
        <f t="shared" ca="1" si="31"/>
        <v>-21360</v>
      </c>
      <c r="T116" s="33">
        <f t="shared" ca="1" si="37"/>
        <v>10640</v>
      </c>
      <c r="U116" s="7">
        <f t="shared" ca="1" si="32"/>
        <v>0.49812734082397003</v>
      </c>
      <c r="V116" s="7">
        <f t="shared" ca="1" si="33"/>
        <v>-1.3712546646987311</v>
      </c>
      <c r="W116" s="33">
        <f t="shared" ca="1" si="38"/>
        <v>10640</v>
      </c>
      <c r="X116" s="7">
        <f t="shared" ca="1" si="39"/>
        <v>1</v>
      </c>
      <c r="Y116" s="7">
        <f t="shared" ca="1" si="40"/>
        <v>1.4981273408239701</v>
      </c>
      <c r="Z116" s="7">
        <f t="shared" ca="1" si="34"/>
        <v>-0.20456801035357741</v>
      </c>
      <c r="AA116" s="33">
        <f t="shared" ca="1" si="41"/>
        <v>10640</v>
      </c>
      <c r="AB116" s="7">
        <f t="shared" ca="1" si="42"/>
        <v>1</v>
      </c>
      <c r="AC116" s="7">
        <f t="shared" ca="1" si="43"/>
        <v>1.4981273408239701</v>
      </c>
      <c r="AD116" s="40"/>
      <c r="AE116" s="42"/>
      <c r="AF116" s="34"/>
      <c r="AH116" s="34"/>
    </row>
    <row r="117" spans="1:34" x14ac:dyDescent="0.25">
      <c r="A117" s="1"/>
      <c r="B117" s="25">
        <v>43979</v>
      </c>
      <c r="C117" s="10" t="s">
        <v>729</v>
      </c>
      <c r="D117" s="1">
        <v>468</v>
      </c>
      <c r="E117" s="30">
        <v>400</v>
      </c>
      <c r="F117" s="1">
        <v>500</v>
      </c>
      <c r="G117" s="1">
        <v>48.3</v>
      </c>
      <c r="H117" s="1">
        <v>600</v>
      </c>
      <c r="I117" s="1">
        <v>17.55</v>
      </c>
      <c r="J117" s="1">
        <v>286000</v>
      </c>
      <c r="K117" s="1">
        <v>400</v>
      </c>
      <c r="L117" s="1">
        <v>17.7</v>
      </c>
      <c r="M117" s="1">
        <v>17.95</v>
      </c>
      <c r="N117" s="1">
        <v>400</v>
      </c>
      <c r="O117" s="9"/>
      <c r="P117" s="7">
        <f t="shared" ca="1" si="35"/>
        <v>-0.30749999999999994</v>
      </c>
      <c r="Q117" s="7">
        <f t="shared" ca="1" si="36"/>
        <v>-1.2299999999999998E-2</v>
      </c>
      <c r="R117" s="33">
        <f t="shared" ca="1" si="30"/>
        <v>12299.999999999998</v>
      </c>
      <c r="S117" s="33">
        <f t="shared" ca="1" si="31"/>
        <v>-27700</v>
      </c>
      <c r="T117" s="33">
        <f t="shared" ca="1" si="37"/>
        <v>12299.999999999998</v>
      </c>
      <c r="U117" s="7">
        <f t="shared" ca="1" si="32"/>
        <v>0.44404332129963892</v>
      </c>
      <c r="V117" s="7">
        <f t="shared" ca="1" si="33"/>
        <v>-1.3712546646987311</v>
      </c>
      <c r="W117" s="33">
        <f t="shared" ca="1" si="38"/>
        <v>12299.999999999998</v>
      </c>
      <c r="X117" s="7">
        <f t="shared" ca="1" si="39"/>
        <v>1</v>
      </c>
      <c r="Y117" s="7">
        <f t="shared" ca="1" si="40"/>
        <v>1.4440433212996389</v>
      </c>
      <c r="Z117" s="7">
        <f t="shared" ca="1" si="34"/>
        <v>-0.20456801035357741</v>
      </c>
      <c r="AA117" s="33">
        <f t="shared" ca="1" si="41"/>
        <v>12299.999999999998</v>
      </c>
      <c r="AB117" s="7">
        <f t="shared" ca="1" si="42"/>
        <v>1</v>
      </c>
      <c r="AC117" s="7">
        <f t="shared" ca="1" si="43"/>
        <v>1.4440433212996389</v>
      </c>
      <c r="AD117" s="40"/>
      <c r="AE117" s="42"/>
      <c r="AF117" s="34"/>
      <c r="AH117" s="34"/>
    </row>
    <row r="118" spans="1:34" x14ac:dyDescent="0.25">
      <c r="A118" s="1"/>
      <c r="B118" s="25">
        <v>43979</v>
      </c>
      <c r="C118" s="10" t="s">
        <v>729</v>
      </c>
      <c r="D118" s="1">
        <v>468</v>
      </c>
      <c r="E118" s="30">
        <v>400</v>
      </c>
      <c r="F118" s="1">
        <v>500</v>
      </c>
      <c r="G118" s="1">
        <v>48.3</v>
      </c>
      <c r="H118" s="1">
        <v>650</v>
      </c>
      <c r="I118" s="1">
        <v>11.05</v>
      </c>
      <c r="J118" s="1">
        <v>16000</v>
      </c>
      <c r="K118" s="1">
        <v>800</v>
      </c>
      <c r="L118" s="1">
        <v>11.2</v>
      </c>
      <c r="M118" s="1">
        <v>11.55</v>
      </c>
      <c r="N118" s="1">
        <v>400</v>
      </c>
      <c r="O118" s="9"/>
      <c r="P118" s="7">
        <f t="shared" ca="1" si="35"/>
        <v>-0.24833333333333332</v>
      </c>
      <c r="Q118" s="7">
        <f t="shared" ca="1" si="36"/>
        <v>-9.9333333333333322E-3</v>
      </c>
      <c r="R118" s="33">
        <f t="shared" ca="1" si="30"/>
        <v>14900</v>
      </c>
      <c r="S118" s="33">
        <f t="shared" ca="1" si="31"/>
        <v>-45100</v>
      </c>
      <c r="T118" s="33">
        <f t="shared" ca="1" si="37"/>
        <v>14900</v>
      </c>
      <c r="U118" s="7">
        <f t="shared" ca="1" si="32"/>
        <v>0.3303769401330377</v>
      </c>
      <c r="V118" s="7">
        <f t="shared" ca="1" si="33"/>
        <v>-1.3712546646987311</v>
      </c>
      <c r="W118" s="33">
        <f t="shared" ca="1" si="38"/>
        <v>14900</v>
      </c>
      <c r="X118" s="7">
        <f t="shared" ca="1" si="39"/>
        <v>1</v>
      </c>
      <c r="Y118" s="7">
        <f t="shared" ca="1" si="40"/>
        <v>1.3303769401330376</v>
      </c>
      <c r="Z118" s="7">
        <f t="shared" ca="1" si="34"/>
        <v>-0.20456801035357741</v>
      </c>
      <c r="AA118" s="33">
        <f t="shared" ca="1" si="41"/>
        <v>14900</v>
      </c>
      <c r="AB118" s="7">
        <f t="shared" ca="1" si="42"/>
        <v>1</v>
      </c>
      <c r="AC118" s="7">
        <f t="shared" ca="1" si="43"/>
        <v>1.3303769401330376</v>
      </c>
      <c r="AD118" s="40"/>
      <c r="AE118" s="42"/>
      <c r="AF118" s="34"/>
      <c r="AH118" s="34"/>
    </row>
    <row r="119" spans="1:34" x14ac:dyDescent="0.25">
      <c r="A119" s="1"/>
      <c r="B119" s="25">
        <v>43979</v>
      </c>
      <c r="C119" s="10" t="s">
        <v>729</v>
      </c>
      <c r="D119" s="1">
        <v>468</v>
      </c>
      <c r="E119" s="30">
        <v>400</v>
      </c>
      <c r="F119" s="1">
        <v>500</v>
      </c>
      <c r="G119" s="1">
        <v>48.3</v>
      </c>
      <c r="H119" s="1">
        <v>700</v>
      </c>
      <c r="I119" s="1">
        <v>7.05</v>
      </c>
      <c r="J119" s="1">
        <v>104800</v>
      </c>
      <c r="K119" s="1">
        <v>400</v>
      </c>
      <c r="L119" s="1">
        <v>6.8</v>
      </c>
      <c r="M119" s="1">
        <v>7.1</v>
      </c>
      <c r="N119" s="1">
        <v>400</v>
      </c>
      <c r="O119" s="9"/>
      <c r="P119" s="7">
        <f t="shared" ca="1" si="35"/>
        <v>-0.20624999999999999</v>
      </c>
      <c r="Q119" s="7">
        <f t="shared" ca="1" si="36"/>
        <v>-8.2500000000000004E-3</v>
      </c>
      <c r="R119" s="33">
        <f t="shared" ca="1" si="30"/>
        <v>16500</v>
      </c>
      <c r="S119" s="33">
        <f t="shared" ca="1" si="31"/>
        <v>-63500</v>
      </c>
      <c r="T119" s="33">
        <f t="shared" ca="1" si="37"/>
        <v>16500</v>
      </c>
      <c r="U119" s="7">
        <f t="shared" ca="1" si="32"/>
        <v>0.25984251968503935</v>
      </c>
      <c r="V119" s="7">
        <f t="shared" ca="1" si="33"/>
        <v>-1.3712546646987311</v>
      </c>
      <c r="W119" s="33">
        <f t="shared" ca="1" si="38"/>
        <v>16500</v>
      </c>
      <c r="X119" s="7">
        <f t="shared" ca="1" si="39"/>
        <v>1</v>
      </c>
      <c r="Y119" s="7">
        <f t="shared" ca="1" si="40"/>
        <v>1.2598425196850394</v>
      </c>
      <c r="Z119" s="7">
        <f t="shared" ca="1" si="34"/>
        <v>-0.20456801035357741</v>
      </c>
      <c r="AA119" s="33">
        <f t="shared" ca="1" si="41"/>
        <v>16500</v>
      </c>
      <c r="AB119" s="7">
        <f t="shared" ca="1" si="42"/>
        <v>1</v>
      </c>
      <c r="AC119" s="7">
        <f t="shared" ca="1" si="43"/>
        <v>1.2598425196850394</v>
      </c>
      <c r="AD119" s="40"/>
      <c r="AE119" s="42"/>
      <c r="AF119" s="34"/>
      <c r="AH119" s="34"/>
    </row>
    <row r="120" spans="1:34" x14ac:dyDescent="0.25">
      <c r="A120" s="1"/>
      <c r="B120" s="25">
        <v>43979</v>
      </c>
      <c r="C120" s="10" t="s">
        <v>729</v>
      </c>
      <c r="D120" s="1">
        <v>468</v>
      </c>
      <c r="E120" s="30">
        <v>400</v>
      </c>
      <c r="F120" s="1">
        <v>500</v>
      </c>
      <c r="G120" s="1">
        <v>48.3</v>
      </c>
      <c r="H120" s="1">
        <v>800</v>
      </c>
      <c r="I120" s="1">
        <v>4.3499999999999996</v>
      </c>
      <c r="J120" s="1">
        <v>43200</v>
      </c>
      <c r="K120" s="1">
        <v>400</v>
      </c>
      <c r="L120" s="1">
        <v>4.45</v>
      </c>
      <c r="M120" s="1">
        <v>4.8499999999999996</v>
      </c>
      <c r="N120" s="1">
        <v>400</v>
      </c>
      <c r="O120" s="9"/>
      <c r="P120" s="7">
        <f t="shared" ca="1" si="35"/>
        <v>-0.14649999999999999</v>
      </c>
      <c r="Q120" s="7">
        <f t="shared" ca="1" si="36"/>
        <v>-5.8599999999999998E-3</v>
      </c>
      <c r="R120" s="33">
        <f t="shared" ca="1" si="30"/>
        <v>17580</v>
      </c>
      <c r="S120" s="33">
        <f t="shared" ca="1" si="31"/>
        <v>-102420</v>
      </c>
      <c r="T120" s="33">
        <f t="shared" ca="1" si="37"/>
        <v>17580</v>
      </c>
      <c r="U120" s="7">
        <f t="shared" ca="1" si="32"/>
        <v>0.17164616285881665</v>
      </c>
      <c r="V120" s="7">
        <f t="shared" ca="1" si="33"/>
        <v>-1.3712546646987311</v>
      </c>
      <c r="W120" s="33">
        <f t="shared" ca="1" si="38"/>
        <v>17580</v>
      </c>
      <c r="X120" s="7">
        <f t="shared" ca="1" si="39"/>
        <v>1</v>
      </c>
      <c r="Y120" s="7">
        <f t="shared" ca="1" si="40"/>
        <v>1.1716461628588166</v>
      </c>
      <c r="Z120" s="7">
        <f t="shared" ca="1" si="34"/>
        <v>-0.20456801035357741</v>
      </c>
      <c r="AA120" s="33">
        <f t="shared" ca="1" si="41"/>
        <v>17580</v>
      </c>
      <c r="AB120" s="7">
        <f t="shared" ca="1" si="42"/>
        <v>1</v>
      </c>
      <c r="AC120" s="7">
        <f t="shared" ca="1" si="43"/>
        <v>1.1716461628588166</v>
      </c>
      <c r="AD120" s="40"/>
      <c r="AE120" s="42"/>
      <c r="AF120" s="34"/>
      <c r="AH120" s="34"/>
    </row>
    <row r="121" spans="1:34" x14ac:dyDescent="0.25">
      <c r="A121" s="1"/>
      <c r="B121" s="25">
        <v>43979</v>
      </c>
      <c r="C121" s="10" t="s">
        <v>729</v>
      </c>
      <c r="D121" s="1">
        <v>468</v>
      </c>
      <c r="E121" s="30">
        <v>400</v>
      </c>
      <c r="F121" s="1">
        <v>500</v>
      </c>
      <c r="G121" s="1">
        <v>48.3</v>
      </c>
      <c r="H121" s="1">
        <v>900</v>
      </c>
      <c r="I121" s="1">
        <v>3</v>
      </c>
      <c r="J121" s="1">
        <v>7600</v>
      </c>
      <c r="K121" s="1">
        <v>400</v>
      </c>
      <c r="L121" s="1">
        <v>1.05</v>
      </c>
      <c r="M121" s="1">
        <v>3</v>
      </c>
      <c r="N121" s="1">
        <v>800</v>
      </c>
      <c r="O121" s="9"/>
      <c r="P121" s="7">
        <f t="shared" ca="1" si="35"/>
        <v>-0.11324999999999999</v>
      </c>
      <c r="Q121" s="7">
        <f t="shared" ca="1" si="36"/>
        <v>-4.5299999999999993E-3</v>
      </c>
      <c r="R121" s="33">
        <f t="shared" ca="1" si="30"/>
        <v>18120</v>
      </c>
      <c r="S121" s="33">
        <f t="shared" ca="1" si="31"/>
        <v>-141880</v>
      </c>
      <c r="T121" s="33">
        <f t="shared" ca="1" si="37"/>
        <v>18120</v>
      </c>
      <c r="U121" s="7">
        <f t="shared" ca="1" si="32"/>
        <v>0.12771356075556808</v>
      </c>
      <c r="V121" s="7">
        <f t="shared" ca="1" si="33"/>
        <v>-1.3712546646987311</v>
      </c>
      <c r="W121" s="33">
        <f t="shared" ca="1" si="38"/>
        <v>18120</v>
      </c>
      <c r="X121" s="7">
        <f t="shared" ca="1" si="39"/>
        <v>1</v>
      </c>
      <c r="Y121" s="7">
        <f t="shared" ca="1" si="40"/>
        <v>1.1277135607555682</v>
      </c>
      <c r="Z121" s="7">
        <f t="shared" ca="1" si="34"/>
        <v>-0.20456801035357741</v>
      </c>
      <c r="AA121" s="33">
        <f t="shared" ca="1" si="41"/>
        <v>18120</v>
      </c>
      <c r="AB121" s="7">
        <f t="shared" ca="1" si="42"/>
        <v>1</v>
      </c>
      <c r="AC121" s="7">
        <f t="shared" ca="1" si="43"/>
        <v>1.1277135607555682</v>
      </c>
      <c r="AD121" s="40"/>
      <c r="AE121" s="42"/>
      <c r="AF121" s="34"/>
      <c r="AH121" s="34"/>
    </row>
    <row r="122" spans="1:34" x14ac:dyDescent="0.25">
      <c r="A122" s="1"/>
      <c r="B122" s="25">
        <v>43979</v>
      </c>
      <c r="C122" s="10" t="s">
        <v>1</v>
      </c>
      <c r="D122" s="1">
        <v>181.05</v>
      </c>
      <c r="E122" s="30">
        <v>2400</v>
      </c>
      <c r="F122" s="1">
        <v>195</v>
      </c>
      <c r="G122" s="1">
        <v>3.6</v>
      </c>
      <c r="H122" s="1">
        <v>200</v>
      </c>
      <c r="I122" s="1">
        <v>2.8</v>
      </c>
      <c r="J122" s="1">
        <v>1795200</v>
      </c>
      <c r="K122" s="1">
        <v>14400</v>
      </c>
      <c r="L122" s="1">
        <v>2.75</v>
      </c>
      <c r="M122" s="1">
        <v>2.8</v>
      </c>
      <c r="N122" s="1">
        <v>7200</v>
      </c>
      <c r="O122" s="9"/>
      <c r="P122" s="7">
        <f t="shared" ca="1" si="35"/>
        <v>-0.16000000000000006</v>
      </c>
      <c r="Q122" s="7">
        <f t="shared" ca="1" si="36"/>
        <v>-6.400000000000002E-3</v>
      </c>
      <c r="R122" s="33">
        <f t="shared" ca="1" si="30"/>
        <v>1920.0000000000007</v>
      </c>
      <c r="S122" s="33">
        <f t="shared" ca="1" si="31"/>
        <v>-10080</v>
      </c>
      <c r="T122" s="33">
        <f t="shared" ca="1" si="37"/>
        <v>1920.0000000000007</v>
      </c>
      <c r="U122" s="7">
        <f t="shared" ca="1" si="32"/>
        <v>0.19047619047619055</v>
      </c>
      <c r="V122" s="7">
        <f t="shared" ca="1" si="33"/>
        <v>-0.38522775135629356</v>
      </c>
      <c r="W122" s="33">
        <f t="shared" ca="1" si="38"/>
        <v>1920.0000000000007</v>
      </c>
      <c r="X122" s="7">
        <f t="shared" ca="1" si="39"/>
        <v>1</v>
      </c>
      <c r="Y122" s="7">
        <f t="shared" ca="1" si="40"/>
        <v>1.1904761904761905</v>
      </c>
      <c r="Z122" s="7">
        <f t="shared" ca="1" si="34"/>
        <v>-8.9832515568199531E-2</v>
      </c>
      <c r="AA122" s="33">
        <f t="shared" ca="1" si="41"/>
        <v>1920.0000000000007</v>
      </c>
      <c r="AB122" s="7">
        <f t="shared" ca="1" si="42"/>
        <v>1</v>
      </c>
      <c r="AC122" s="7">
        <f t="shared" ca="1" si="43"/>
        <v>1.1904761904761905</v>
      </c>
      <c r="AD122" s="40"/>
      <c r="AE122" s="42"/>
      <c r="AF122" s="34"/>
      <c r="AH122" s="34"/>
    </row>
    <row r="123" spans="1:34" x14ac:dyDescent="0.25">
      <c r="A123" s="1"/>
      <c r="B123" s="25">
        <v>43979</v>
      </c>
      <c r="C123" s="10" t="s">
        <v>1</v>
      </c>
      <c r="D123" s="1">
        <v>181.05</v>
      </c>
      <c r="E123" s="30">
        <v>2400</v>
      </c>
      <c r="F123" s="1">
        <v>195</v>
      </c>
      <c r="G123" s="1">
        <v>3.6</v>
      </c>
      <c r="H123" s="1">
        <v>205</v>
      </c>
      <c r="I123" s="1">
        <v>2.2000000000000002</v>
      </c>
      <c r="J123" s="1">
        <v>74400</v>
      </c>
      <c r="K123" s="1">
        <v>4800</v>
      </c>
      <c r="L123" s="1">
        <v>2.1</v>
      </c>
      <c r="M123" s="1">
        <v>2.2000000000000002</v>
      </c>
      <c r="N123" s="1">
        <v>2400</v>
      </c>
      <c r="O123" s="9"/>
      <c r="P123" s="7">
        <f t="shared" ca="1" si="35"/>
        <v>-0.13999999999999999</v>
      </c>
      <c r="Q123" s="7">
        <f t="shared" ca="1" si="36"/>
        <v>-5.5999999999999991E-3</v>
      </c>
      <c r="R123" s="33">
        <f t="shared" ca="1" si="30"/>
        <v>3360</v>
      </c>
      <c r="S123" s="33">
        <f t="shared" ca="1" si="31"/>
        <v>-20640</v>
      </c>
      <c r="T123" s="33">
        <f t="shared" ca="1" si="37"/>
        <v>3360</v>
      </c>
      <c r="U123" s="7">
        <f t="shared" ca="1" si="32"/>
        <v>0.16279069767441862</v>
      </c>
      <c r="V123" s="7">
        <f t="shared" ca="1" si="33"/>
        <v>-0.38522775135629356</v>
      </c>
      <c r="W123" s="33">
        <f t="shared" ca="1" si="38"/>
        <v>3360</v>
      </c>
      <c r="X123" s="7">
        <f t="shared" ca="1" si="39"/>
        <v>1</v>
      </c>
      <c r="Y123" s="7">
        <f t="shared" ca="1" si="40"/>
        <v>1.1627906976744187</v>
      </c>
      <c r="Z123" s="7">
        <f t="shared" ca="1" si="34"/>
        <v>-8.9832515568199531E-2</v>
      </c>
      <c r="AA123" s="33">
        <f t="shared" ca="1" si="41"/>
        <v>3360</v>
      </c>
      <c r="AB123" s="7">
        <f t="shared" ca="1" si="42"/>
        <v>1</v>
      </c>
      <c r="AC123" s="7">
        <f t="shared" ca="1" si="43"/>
        <v>1.1627906976744187</v>
      </c>
      <c r="AD123" s="40"/>
      <c r="AE123" s="42"/>
      <c r="AF123" s="34"/>
      <c r="AH123" s="34"/>
    </row>
    <row r="124" spans="1:34" x14ac:dyDescent="0.25">
      <c r="A124" s="1"/>
      <c r="B124" s="25">
        <v>43979</v>
      </c>
      <c r="C124" s="10" t="s">
        <v>1</v>
      </c>
      <c r="D124" s="1">
        <v>181.05</v>
      </c>
      <c r="E124" s="30">
        <v>2400</v>
      </c>
      <c r="F124" s="1">
        <v>195</v>
      </c>
      <c r="G124" s="1">
        <v>3.6</v>
      </c>
      <c r="H124" s="1">
        <v>210</v>
      </c>
      <c r="I124" s="1">
        <v>1.7</v>
      </c>
      <c r="J124" s="1">
        <v>614400</v>
      </c>
      <c r="K124" s="1">
        <v>12000</v>
      </c>
      <c r="L124" s="1">
        <v>1.65</v>
      </c>
      <c r="M124" s="1">
        <v>1.7</v>
      </c>
      <c r="N124" s="1">
        <v>4800</v>
      </c>
      <c r="O124" s="9"/>
      <c r="P124" s="7">
        <f t="shared" ca="1" si="35"/>
        <v>-0.12666666666666668</v>
      </c>
      <c r="Q124" s="7">
        <f t="shared" ca="1" si="36"/>
        <v>-5.0666666666666672E-3</v>
      </c>
      <c r="R124" s="33">
        <f t="shared" ca="1" si="30"/>
        <v>4560</v>
      </c>
      <c r="S124" s="33">
        <f t="shared" ca="1" si="31"/>
        <v>-31440</v>
      </c>
      <c r="T124" s="33">
        <f t="shared" ca="1" si="37"/>
        <v>4560</v>
      </c>
      <c r="U124" s="7">
        <f t="shared" ca="1" si="32"/>
        <v>0.14503816793893129</v>
      </c>
      <c r="V124" s="7">
        <f t="shared" ca="1" si="33"/>
        <v>-0.38522775135629356</v>
      </c>
      <c r="W124" s="33">
        <f t="shared" ca="1" si="38"/>
        <v>4560</v>
      </c>
      <c r="X124" s="7">
        <f t="shared" ca="1" si="39"/>
        <v>1</v>
      </c>
      <c r="Y124" s="7">
        <f t="shared" ca="1" si="40"/>
        <v>1.1450381679389312</v>
      </c>
      <c r="Z124" s="7">
        <f t="shared" ca="1" si="34"/>
        <v>-8.9832515568199531E-2</v>
      </c>
      <c r="AA124" s="33">
        <f t="shared" ca="1" si="41"/>
        <v>4560</v>
      </c>
      <c r="AB124" s="7">
        <f t="shared" ca="1" si="42"/>
        <v>1</v>
      </c>
      <c r="AC124" s="7">
        <f t="shared" ca="1" si="43"/>
        <v>1.1450381679389312</v>
      </c>
      <c r="AD124" s="40"/>
      <c r="AE124" s="42"/>
      <c r="AF124" s="34"/>
      <c r="AH124" s="34"/>
    </row>
    <row r="125" spans="1:34" x14ac:dyDescent="0.25">
      <c r="A125" s="1"/>
      <c r="B125" s="25">
        <v>43979</v>
      </c>
      <c r="C125" s="10" t="s">
        <v>785</v>
      </c>
      <c r="D125" s="1">
        <v>94.45</v>
      </c>
      <c r="E125" s="30">
        <v>5000</v>
      </c>
      <c r="F125" s="1">
        <v>95</v>
      </c>
      <c r="G125" s="1">
        <v>8</v>
      </c>
      <c r="H125" s="1">
        <v>100</v>
      </c>
      <c r="I125" s="1">
        <v>6.35</v>
      </c>
      <c r="J125" s="1">
        <v>650000</v>
      </c>
      <c r="K125" s="1">
        <v>5000</v>
      </c>
      <c r="L125" s="1">
        <v>6.3</v>
      </c>
      <c r="M125" s="1">
        <v>6.4</v>
      </c>
      <c r="N125" s="1">
        <v>5000</v>
      </c>
      <c r="O125" s="9"/>
      <c r="P125" s="7">
        <f t="shared" ca="1" si="35"/>
        <v>-0.33000000000000007</v>
      </c>
      <c r="Q125" s="7">
        <f t="shared" ca="1" si="36"/>
        <v>-1.3200000000000003E-2</v>
      </c>
      <c r="R125" s="33">
        <f t="shared" ca="1" si="30"/>
        <v>8250.0000000000018</v>
      </c>
      <c r="S125" s="33">
        <f t="shared" ca="1" si="31"/>
        <v>-16750</v>
      </c>
      <c r="T125" s="33">
        <f t="shared" ca="1" si="37"/>
        <v>8250.0000000000018</v>
      </c>
      <c r="U125" s="7">
        <f t="shared" ca="1" si="32"/>
        <v>0.49253731343283591</v>
      </c>
      <c r="V125" s="7">
        <f t="shared" ca="1" si="33"/>
        <v>-1.0418729570442549</v>
      </c>
      <c r="W125" s="33">
        <f t="shared" ca="1" si="38"/>
        <v>8250.0000000000018</v>
      </c>
      <c r="X125" s="7">
        <f t="shared" ca="1" si="39"/>
        <v>1</v>
      </c>
      <c r="Y125" s="7">
        <f t="shared" ca="1" si="40"/>
        <v>1.4925373134328359</v>
      </c>
      <c r="Z125" s="7">
        <f t="shared" ca="1" si="34"/>
        <v>-0.23250241679345132</v>
      </c>
      <c r="AA125" s="33">
        <f t="shared" ca="1" si="41"/>
        <v>8250.0000000000018</v>
      </c>
      <c r="AB125" s="7">
        <f t="shared" ca="1" si="42"/>
        <v>1</v>
      </c>
      <c r="AC125" s="7">
        <f t="shared" ca="1" si="43"/>
        <v>1.4925373134328359</v>
      </c>
      <c r="AD125" s="40"/>
      <c r="AE125" s="42"/>
      <c r="AF125" s="34"/>
      <c r="AH125" s="34"/>
    </row>
    <row r="126" spans="1:34" x14ac:dyDescent="0.25">
      <c r="A126" s="1"/>
      <c r="B126" s="25">
        <v>43979</v>
      </c>
      <c r="C126" s="10" t="s">
        <v>785</v>
      </c>
      <c r="D126" s="1">
        <v>94.45</v>
      </c>
      <c r="E126" s="30">
        <v>5000</v>
      </c>
      <c r="F126" s="1">
        <v>95</v>
      </c>
      <c r="G126" s="1">
        <v>8</v>
      </c>
      <c r="H126" s="1">
        <v>105</v>
      </c>
      <c r="I126" s="1">
        <v>4.9000000000000004</v>
      </c>
      <c r="J126" s="1">
        <v>40000</v>
      </c>
      <c r="K126" s="1">
        <v>10000</v>
      </c>
      <c r="L126" s="1">
        <v>4.75</v>
      </c>
      <c r="M126" s="1">
        <v>5.25</v>
      </c>
      <c r="N126" s="1">
        <v>5000</v>
      </c>
      <c r="O126" s="9"/>
      <c r="P126" s="7">
        <f t="shared" ca="1" si="35"/>
        <v>-0.30999999999999994</v>
      </c>
      <c r="Q126" s="7">
        <f t="shared" ca="1" si="36"/>
        <v>-1.2399999999999998E-2</v>
      </c>
      <c r="R126" s="33">
        <f t="shared" ca="1" si="30"/>
        <v>15499.999999999998</v>
      </c>
      <c r="S126" s="33">
        <f t="shared" ca="1" si="31"/>
        <v>-34500</v>
      </c>
      <c r="T126" s="33">
        <f t="shared" ca="1" si="37"/>
        <v>15499.999999999998</v>
      </c>
      <c r="U126" s="7">
        <f t="shared" ca="1" si="32"/>
        <v>0.44927536231884052</v>
      </c>
      <c r="V126" s="7">
        <f t="shared" ca="1" si="33"/>
        <v>-1.0418729570442549</v>
      </c>
      <c r="W126" s="33">
        <f t="shared" ca="1" si="38"/>
        <v>15499.999999999998</v>
      </c>
      <c r="X126" s="7">
        <f t="shared" ca="1" si="39"/>
        <v>1</v>
      </c>
      <c r="Y126" s="7">
        <f t="shared" ca="1" si="40"/>
        <v>1.4492753623188406</v>
      </c>
      <c r="Z126" s="7">
        <f t="shared" ca="1" si="34"/>
        <v>-0.23250241679345132</v>
      </c>
      <c r="AA126" s="33">
        <f t="shared" ca="1" si="41"/>
        <v>15499.999999999998</v>
      </c>
      <c r="AB126" s="7">
        <f t="shared" ca="1" si="42"/>
        <v>1</v>
      </c>
      <c r="AC126" s="7">
        <f t="shared" ca="1" si="43"/>
        <v>1.4492753623188406</v>
      </c>
      <c r="AD126" s="40"/>
      <c r="AE126" s="42"/>
      <c r="AF126" s="34"/>
      <c r="AH126" s="34"/>
    </row>
    <row r="127" spans="1:34" x14ac:dyDescent="0.25">
      <c r="A127" s="1"/>
      <c r="B127" s="25">
        <v>43979</v>
      </c>
      <c r="C127" s="10" t="s">
        <v>785</v>
      </c>
      <c r="D127" s="1">
        <v>94.45</v>
      </c>
      <c r="E127" s="30">
        <v>5000</v>
      </c>
      <c r="F127" s="1">
        <v>95</v>
      </c>
      <c r="G127" s="1">
        <v>8</v>
      </c>
      <c r="H127" s="1">
        <v>110</v>
      </c>
      <c r="I127" s="1">
        <v>3.5</v>
      </c>
      <c r="J127" s="1">
        <v>120000</v>
      </c>
      <c r="K127" s="1">
        <v>5000</v>
      </c>
      <c r="L127" s="1">
        <v>3.7</v>
      </c>
      <c r="M127" s="1">
        <v>3.95</v>
      </c>
      <c r="N127" s="1">
        <v>15000</v>
      </c>
      <c r="O127" s="9"/>
      <c r="P127" s="7">
        <f t="shared" ca="1" si="35"/>
        <v>-0.3</v>
      </c>
      <c r="Q127" s="7">
        <f t="shared" ca="1" si="36"/>
        <v>-1.2E-2</v>
      </c>
      <c r="R127" s="33">
        <f t="shared" ca="1" si="30"/>
        <v>22500</v>
      </c>
      <c r="S127" s="33">
        <f t="shared" ca="1" si="31"/>
        <v>-52500</v>
      </c>
      <c r="T127" s="33">
        <f t="shared" ca="1" si="37"/>
        <v>22500</v>
      </c>
      <c r="U127" s="7">
        <f t="shared" ca="1" si="32"/>
        <v>0.42857142857142855</v>
      </c>
      <c r="V127" s="7">
        <f t="shared" ca="1" si="33"/>
        <v>-1.0418729570442549</v>
      </c>
      <c r="W127" s="33">
        <f t="shared" ca="1" si="38"/>
        <v>22500</v>
      </c>
      <c r="X127" s="7">
        <f t="shared" ca="1" si="39"/>
        <v>1</v>
      </c>
      <c r="Y127" s="7">
        <f t="shared" ca="1" si="40"/>
        <v>1.4285714285714286</v>
      </c>
      <c r="Z127" s="7">
        <f t="shared" ca="1" si="34"/>
        <v>-0.23250241679345132</v>
      </c>
      <c r="AA127" s="33">
        <f t="shared" ca="1" si="41"/>
        <v>22500</v>
      </c>
      <c r="AB127" s="7">
        <f t="shared" ca="1" si="42"/>
        <v>1</v>
      </c>
      <c r="AC127" s="7">
        <f t="shared" ca="1" si="43"/>
        <v>1.4285714285714286</v>
      </c>
      <c r="AD127" s="40"/>
      <c r="AE127" s="42"/>
      <c r="AF127" s="34"/>
      <c r="AH127" s="34"/>
    </row>
    <row r="128" spans="1:34" x14ac:dyDescent="0.25">
      <c r="A128" s="1"/>
      <c r="B128" s="25">
        <v>43979</v>
      </c>
      <c r="C128" s="10" t="s">
        <v>785</v>
      </c>
      <c r="D128" s="1">
        <v>94.45</v>
      </c>
      <c r="E128" s="30">
        <v>5000</v>
      </c>
      <c r="F128" s="1">
        <v>95</v>
      </c>
      <c r="G128" s="1">
        <v>8</v>
      </c>
      <c r="H128" s="1">
        <v>115</v>
      </c>
      <c r="I128" s="1">
        <v>2.95</v>
      </c>
      <c r="J128" s="1">
        <v>10000</v>
      </c>
      <c r="K128" s="1">
        <v>20000</v>
      </c>
      <c r="L128" s="1">
        <v>2.5</v>
      </c>
      <c r="M128" s="1">
        <v>3.3</v>
      </c>
      <c r="N128" s="1">
        <v>60000</v>
      </c>
      <c r="O128" s="9"/>
      <c r="P128" s="7">
        <f t="shared" ca="1" si="35"/>
        <v>-0.2525</v>
      </c>
      <c r="Q128" s="7">
        <f t="shared" ca="1" si="36"/>
        <v>-1.01E-2</v>
      </c>
      <c r="R128" s="33">
        <f t="shared" ca="1" si="30"/>
        <v>25250</v>
      </c>
      <c r="S128" s="33">
        <f t="shared" ca="1" si="31"/>
        <v>-74750</v>
      </c>
      <c r="T128" s="33">
        <f t="shared" ca="1" si="37"/>
        <v>25250</v>
      </c>
      <c r="U128" s="7">
        <f t="shared" ca="1" si="32"/>
        <v>0.33779264214046822</v>
      </c>
      <c r="V128" s="7">
        <f t="shared" ca="1" si="33"/>
        <v>-1.0418729570442549</v>
      </c>
      <c r="W128" s="33">
        <f t="shared" ca="1" si="38"/>
        <v>25250</v>
      </c>
      <c r="X128" s="7">
        <f t="shared" ca="1" si="39"/>
        <v>1</v>
      </c>
      <c r="Y128" s="7">
        <f t="shared" ca="1" si="40"/>
        <v>1.3377926421404682</v>
      </c>
      <c r="Z128" s="7">
        <f t="shared" ca="1" si="34"/>
        <v>-0.23250241679345132</v>
      </c>
      <c r="AA128" s="33">
        <f t="shared" ca="1" si="41"/>
        <v>25250</v>
      </c>
      <c r="AB128" s="7">
        <f t="shared" ca="1" si="42"/>
        <v>1</v>
      </c>
      <c r="AC128" s="7">
        <f t="shared" ca="1" si="43"/>
        <v>1.3377926421404682</v>
      </c>
      <c r="AD128" s="40"/>
      <c r="AE128" s="42"/>
      <c r="AF128" s="34"/>
      <c r="AH128" s="34"/>
    </row>
    <row r="129" spans="1:34" x14ac:dyDescent="0.25">
      <c r="A129" s="1"/>
      <c r="B129" s="25">
        <v>43979</v>
      </c>
      <c r="C129" s="10" t="s">
        <v>785</v>
      </c>
      <c r="D129" s="1">
        <v>94.45</v>
      </c>
      <c r="E129" s="30">
        <v>5000</v>
      </c>
      <c r="F129" s="1">
        <v>95</v>
      </c>
      <c r="G129" s="1">
        <v>8</v>
      </c>
      <c r="H129" s="1">
        <v>125</v>
      </c>
      <c r="I129" s="1">
        <v>2</v>
      </c>
      <c r="J129" s="1">
        <v>20000</v>
      </c>
      <c r="K129" s="1">
        <v>70000</v>
      </c>
      <c r="L129" s="1">
        <v>1.2</v>
      </c>
      <c r="M129" s="1">
        <v>2</v>
      </c>
      <c r="N129" s="1">
        <v>65000</v>
      </c>
      <c r="O129" s="9"/>
      <c r="P129" s="7">
        <f t="shared" ca="1" si="35"/>
        <v>-0.2</v>
      </c>
      <c r="Q129" s="7">
        <f t="shared" ca="1" si="36"/>
        <v>-8.0000000000000002E-3</v>
      </c>
      <c r="R129" s="33">
        <f t="shared" ca="1" si="30"/>
        <v>30000</v>
      </c>
      <c r="S129" s="33">
        <f t="shared" ca="1" si="31"/>
        <v>-120000</v>
      </c>
      <c r="T129" s="33">
        <f t="shared" ca="1" si="37"/>
        <v>30000</v>
      </c>
      <c r="U129" s="7">
        <f t="shared" ca="1" si="32"/>
        <v>0.25</v>
      </c>
      <c r="V129" s="7">
        <f t="shared" ca="1" si="33"/>
        <v>-1.0418729570442549</v>
      </c>
      <c r="W129" s="33">
        <f t="shared" ca="1" si="38"/>
        <v>30000</v>
      </c>
      <c r="X129" s="7">
        <f t="shared" ca="1" si="39"/>
        <v>1</v>
      </c>
      <c r="Y129" s="7">
        <f t="shared" ca="1" si="40"/>
        <v>1.25</v>
      </c>
      <c r="Z129" s="7">
        <f t="shared" ca="1" si="34"/>
        <v>-0.23250241679345132</v>
      </c>
      <c r="AA129" s="33">
        <f t="shared" ca="1" si="41"/>
        <v>30000</v>
      </c>
      <c r="AB129" s="7">
        <f t="shared" ca="1" si="42"/>
        <v>1</v>
      </c>
      <c r="AC129" s="7">
        <f t="shared" ca="1" si="43"/>
        <v>1.25</v>
      </c>
      <c r="AD129" s="40"/>
      <c r="AE129" s="42"/>
      <c r="AF129" s="34"/>
      <c r="AH129" s="34"/>
    </row>
    <row r="130" spans="1:34" x14ac:dyDescent="0.25">
      <c r="A130" s="1"/>
      <c r="B130" s="25">
        <v>43979</v>
      </c>
      <c r="C130" s="10" t="s">
        <v>785</v>
      </c>
      <c r="D130" s="1">
        <v>94.45</v>
      </c>
      <c r="E130" s="30">
        <v>5000</v>
      </c>
      <c r="F130" s="1">
        <v>95</v>
      </c>
      <c r="G130" s="1">
        <v>8</v>
      </c>
      <c r="H130" s="1">
        <v>140</v>
      </c>
      <c r="I130" s="1">
        <v>0.6</v>
      </c>
      <c r="J130" s="1">
        <v>30000</v>
      </c>
      <c r="K130" s="1">
        <v>5000</v>
      </c>
      <c r="L130" s="1">
        <v>0.5</v>
      </c>
      <c r="M130" s="1">
        <v>0.9</v>
      </c>
      <c r="N130" s="1">
        <v>5000</v>
      </c>
      <c r="O130" s="9"/>
      <c r="P130" s="7">
        <f t="shared" ca="1" si="35"/>
        <v>-0.16444444444444445</v>
      </c>
      <c r="Q130" s="7">
        <f t="shared" ca="1" si="36"/>
        <v>-6.5777777777777779E-3</v>
      </c>
      <c r="R130" s="33">
        <f t="shared" ca="1" si="30"/>
        <v>37000</v>
      </c>
      <c r="S130" s="33">
        <f t="shared" ca="1" si="31"/>
        <v>-188000</v>
      </c>
      <c r="T130" s="33">
        <f t="shared" ca="1" si="37"/>
        <v>37000</v>
      </c>
      <c r="U130" s="7">
        <f t="shared" ca="1" si="32"/>
        <v>0.19680851063829788</v>
      </c>
      <c r="V130" s="7">
        <f t="shared" ca="1" si="33"/>
        <v>-1.0418729570442549</v>
      </c>
      <c r="W130" s="33">
        <f t="shared" ca="1" si="38"/>
        <v>37000</v>
      </c>
      <c r="X130" s="7">
        <f t="shared" ca="1" si="39"/>
        <v>1</v>
      </c>
      <c r="Y130" s="7">
        <f t="shared" ca="1" si="40"/>
        <v>1.196808510638298</v>
      </c>
      <c r="Z130" s="7">
        <f t="shared" ca="1" si="34"/>
        <v>-0.23250241679345132</v>
      </c>
      <c r="AA130" s="33">
        <f t="shared" ca="1" si="41"/>
        <v>37000</v>
      </c>
      <c r="AB130" s="7">
        <f t="shared" ca="1" si="42"/>
        <v>1</v>
      </c>
      <c r="AC130" s="7">
        <f t="shared" ca="1" si="43"/>
        <v>1.196808510638298</v>
      </c>
      <c r="AD130" s="40"/>
      <c r="AE130" s="42"/>
      <c r="AF130" s="34"/>
      <c r="AH130" s="34"/>
    </row>
    <row r="131" spans="1:34" x14ac:dyDescent="0.25">
      <c r="A131" s="1"/>
      <c r="B131" s="25">
        <v>43979</v>
      </c>
      <c r="C131" s="10" t="s">
        <v>869</v>
      </c>
      <c r="D131" s="1">
        <v>1355.5</v>
      </c>
      <c r="E131" s="30">
        <v>400</v>
      </c>
      <c r="F131" s="1">
        <v>1460</v>
      </c>
      <c r="G131" s="1">
        <v>35.200000000000003</v>
      </c>
      <c r="H131" s="1">
        <v>1500</v>
      </c>
      <c r="I131" s="1">
        <v>23.7</v>
      </c>
      <c r="J131" s="1">
        <v>86400</v>
      </c>
      <c r="K131" s="1">
        <v>800</v>
      </c>
      <c r="L131" s="1">
        <v>22.85</v>
      </c>
      <c r="M131" s="1">
        <v>24.3</v>
      </c>
      <c r="N131" s="1">
        <v>800</v>
      </c>
      <c r="O131" s="9"/>
      <c r="P131" s="7">
        <f t="shared" ca="1" si="35"/>
        <v>-0.28750000000000009</v>
      </c>
      <c r="Q131" s="7">
        <f t="shared" ca="1" si="36"/>
        <v>-1.1500000000000003E-2</v>
      </c>
      <c r="R131" s="33">
        <f t="shared" ca="1" si="30"/>
        <v>4600.0000000000018</v>
      </c>
      <c r="S131" s="33">
        <f t="shared" ca="1" si="31"/>
        <v>-11399.999999999998</v>
      </c>
      <c r="T131" s="33">
        <f t="shared" ca="1" si="37"/>
        <v>4600.0000000000018</v>
      </c>
      <c r="U131" s="7">
        <f t="shared" ca="1" si="32"/>
        <v>0.40350877192982476</v>
      </c>
      <c r="V131" s="7">
        <f t="shared" ca="1" si="33"/>
        <v>-0.44563676600621244</v>
      </c>
      <c r="W131" s="33">
        <f t="shared" ca="1" si="38"/>
        <v>4600.0000000000018</v>
      </c>
      <c r="X131" s="7">
        <f t="shared" ca="1" si="39"/>
        <v>1</v>
      </c>
      <c r="Y131" s="7">
        <f t="shared" ca="1" si="40"/>
        <v>1.4035087719298247</v>
      </c>
      <c r="Z131" s="7">
        <f t="shared" ca="1" si="34"/>
        <v>-7.6483795173123911E-2</v>
      </c>
      <c r="AA131" s="33">
        <f t="shared" ca="1" si="41"/>
        <v>4600.0000000000018</v>
      </c>
      <c r="AB131" s="7">
        <f t="shared" ca="1" si="42"/>
        <v>1</v>
      </c>
      <c r="AC131" s="7">
        <f t="shared" ca="1" si="43"/>
        <v>1.4035087719298247</v>
      </c>
      <c r="AD131" s="40"/>
      <c r="AE131" s="42"/>
      <c r="AF131" s="34"/>
      <c r="AH131" s="34"/>
    </row>
    <row r="132" spans="1:34" x14ac:dyDescent="0.25">
      <c r="A132" s="1"/>
      <c r="B132" s="25">
        <v>43979</v>
      </c>
      <c r="C132" s="10" t="s">
        <v>869</v>
      </c>
      <c r="D132" s="1">
        <v>1355.5</v>
      </c>
      <c r="E132" s="30">
        <v>400</v>
      </c>
      <c r="F132" s="1">
        <v>1460</v>
      </c>
      <c r="G132" s="1">
        <v>35.200000000000003</v>
      </c>
      <c r="H132" s="1">
        <v>1520</v>
      </c>
      <c r="I132" s="1">
        <v>21</v>
      </c>
      <c r="J132" s="1">
        <v>1600</v>
      </c>
      <c r="K132" s="1">
        <v>1600</v>
      </c>
      <c r="L132" s="1">
        <v>19.45</v>
      </c>
      <c r="M132" s="1">
        <v>22</v>
      </c>
      <c r="N132" s="1">
        <v>2000</v>
      </c>
      <c r="O132" s="9"/>
      <c r="P132" s="7">
        <f t="shared" ca="1" si="35"/>
        <v>-0.23666666666666672</v>
      </c>
      <c r="Q132" s="7">
        <f t="shared" ca="1" si="36"/>
        <v>-9.4666666666666684E-3</v>
      </c>
      <c r="R132" s="33">
        <f t="shared" ref="R132:R195" ca="1" si="44">$E132*($G132-$I132)</f>
        <v>5680.0000000000009</v>
      </c>
      <c r="S132" s="33">
        <f t="shared" ref="S132:S195" ca="1" si="45">-(($H132-$F132)*$E132-$R132)</f>
        <v>-18320</v>
      </c>
      <c r="T132" s="33">
        <f t="shared" ca="1" si="37"/>
        <v>5680.0000000000009</v>
      </c>
      <c r="U132" s="7">
        <f t="shared" ref="U132:U195" ca="1" si="46">ABS($T132/$S132)</f>
        <v>0.3100436681222708</v>
      </c>
      <c r="V132" s="7">
        <f t="shared" ref="V132:V195" ca="1" si="47">mrigxl_max_drawdown($C132,INT($B132-TODAY()))</f>
        <v>-0.44563676600621244</v>
      </c>
      <c r="W132" s="33">
        <f t="shared" ca="1" si="38"/>
        <v>5680.0000000000009</v>
      </c>
      <c r="X132" s="7">
        <f t="shared" ca="1" si="39"/>
        <v>1</v>
      </c>
      <c r="Y132" s="7">
        <f t="shared" ca="1" si="40"/>
        <v>1.3100436681222707</v>
      </c>
      <c r="Z132" s="7">
        <f t="shared" ref="Z132:Z195" ca="1" si="48">mrigxl_avg_drawdown($C132,INT($B132-TODAY()))</f>
        <v>-7.6483795173123911E-2</v>
      </c>
      <c r="AA132" s="33">
        <f t="shared" ca="1" si="41"/>
        <v>5680.0000000000009</v>
      </c>
      <c r="AB132" s="7">
        <f t="shared" ca="1" si="42"/>
        <v>1</v>
      </c>
      <c r="AC132" s="7">
        <f t="shared" ca="1" si="43"/>
        <v>1.3100436681222707</v>
      </c>
      <c r="AD132" s="40"/>
      <c r="AE132" s="42"/>
      <c r="AF132" s="34"/>
      <c r="AH132" s="34"/>
    </row>
    <row r="133" spans="1:34" x14ac:dyDescent="0.25">
      <c r="A133" s="1"/>
      <c r="B133" s="25">
        <v>43979</v>
      </c>
      <c r="C133" s="10" t="s">
        <v>869</v>
      </c>
      <c r="D133" s="1">
        <v>1355.5</v>
      </c>
      <c r="E133" s="30">
        <v>400</v>
      </c>
      <c r="F133" s="1">
        <v>1460</v>
      </c>
      <c r="G133" s="1">
        <v>35.200000000000003</v>
      </c>
      <c r="H133" s="1">
        <v>1600</v>
      </c>
      <c r="I133" s="1">
        <v>10.15</v>
      </c>
      <c r="J133" s="1">
        <v>17200</v>
      </c>
      <c r="K133" s="1">
        <v>2000</v>
      </c>
      <c r="L133" s="1">
        <v>10.65</v>
      </c>
      <c r="M133" s="1">
        <v>12</v>
      </c>
      <c r="N133" s="1">
        <v>800</v>
      </c>
      <c r="O133" s="9"/>
      <c r="P133" s="7">
        <f t="shared" ref="P133:P196" ca="1" si="49">($G133-$I133)/($F133-$H133)</f>
        <v>-0.17892857142857146</v>
      </c>
      <c r="Q133" s="7">
        <f t="shared" ca="1" si="36"/>
        <v>-7.1571428571428584E-3</v>
      </c>
      <c r="R133" s="33">
        <f t="shared" ca="1" si="44"/>
        <v>10020.000000000002</v>
      </c>
      <c r="S133" s="33">
        <f t="shared" ca="1" si="45"/>
        <v>-45980</v>
      </c>
      <c r="T133" s="33">
        <f t="shared" ca="1" si="37"/>
        <v>10020.000000000002</v>
      </c>
      <c r="U133" s="7">
        <f t="shared" ca="1" si="46"/>
        <v>0.21792083514571556</v>
      </c>
      <c r="V133" s="7">
        <f t="shared" ca="1" si="47"/>
        <v>-0.44563676600621244</v>
      </c>
      <c r="W133" s="33">
        <f t="shared" ca="1" si="38"/>
        <v>10020.000000000002</v>
      </c>
      <c r="X133" s="7">
        <f t="shared" ca="1" si="39"/>
        <v>1</v>
      </c>
      <c r="Y133" s="7">
        <f t="shared" ca="1" si="40"/>
        <v>1.2179208351457156</v>
      </c>
      <c r="Z133" s="7">
        <f t="shared" ca="1" si="48"/>
        <v>-7.6483795173123911E-2</v>
      </c>
      <c r="AA133" s="33">
        <f t="shared" ca="1" si="41"/>
        <v>10020.000000000002</v>
      </c>
      <c r="AB133" s="7">
        <f t="shared" ca="1" si="42"/>
        <v>1</v>
      </c>
      <c r="AC133" s="7">
        <f t="shared" ca="1" si="43"/>
        <v>1.2179208351457156</v>
      </c>
      <c r="AD133" s="40"/>
      <c r="AE133" s="42"/>
      <c r="AF133" s="34"/>
      <c r="AH133" s="34"/>
    </row>
    <row r="134" spans="1:34" x14ac:dyDescent="0.25">
      <c r="A134" s="1"/>
      <c r="B134" s="25">
        <v>43979</v>
      </c>
      <c r="C134" s="10" t="s">
        <v>869</v>
      </c>
      <c r="D134" s="1">
        <v>1355.5</v>
      </c>
      <c r="E134" s="30">
        <v>400</v>
      </c>
      <c r="F134" s="1">
        <v>1460</v>
      </c>
      <c r="G134" s="1">
        <v>35.200000000000003</v>
      </c>
      <c r="H134" s="1">
        <v>1700</v>
      </c>
      <c r="I134" s="1">
        <v>4</v>
      </c>
      <c r="J134" s="1">
        <v>1200</v>
      </c>
      <c r="K134" s="1">
        <v>1600</v>
      </c>
      <c r="L134" s="1">
        <v>0.2</v>
      </c>
      <c r="M134" s="1">
        <v>3.75</v>
      </c>
      <c r="N134" s="1">
        <v>400</v>
      </c>
      <c r="O134" s="9"/>
      <c r="P134" s="7">
        <f t="shared" ca="1" si="49"/>
        <v>-0.13</v>
      </c>
      <c r="Q134" s="7">
        <f t="shared" ca="1" si="36"/>
        <v>-5.1999999999999998E-3</v>
      </c>
      <c r="R134" s="33">
        <f t="shared" ca="1" si="44"/>
        <v>12480.000000000002</v>
      </c>
      <c r="S134" s="33">
        <f t="shared" ca="1" si="45"/>
        <v>-83520</v>
      </c>
      <c r="T134" s="33">
        <f t="shared" ca="1" si="37"/>
        <v>12480.000000000002</v>
      </c>
      <c r="U134" s="7">
        <f t="shared" ca="1" si="46"/>
        <v>0.14942528735632185</v>
      </c>
      <c r="V134" s="7">
        <f t="shared" ca="1" si="47"/>
        <v>-0.44563676600621244</v>
      </c>
      <c r="W134" s="33">
        <f t="shared" ca="1" si="38"/>
        <v>12480.000000000002</v>
      </c>
      <c r="X134" s="7">
        <f t="shared" ca="1" si="39"/>
        <v>1</v>
      </c>
      <c r="Y134" s="7">
        <f t="shared" ca="1" si="40"/>
        <v>1.1494252873563218</v>
      </c>
      <c r="Z134" s="7">
        <f t="shared" ca="1" si="48"/>
        <v>-7.6483795173123911E-2</v>
      </c>
      <c r="AA134" s="33">
        <f t="shared" ca="1" si="41"/>
        <v>12480.000000000002</v>
      </c>
      <c r="AB134" s="7">
        <f t="shared" ca="1" si="42"/>
        <v>1</v>
      </c>
      <c r="AC134" s="7">
        <f t="shared" ca="1" si="43"/>
        <v>1.1494252873563218</v>
      </c>
      <c r="AD134" s="40"/>
      <c r="AE134" s="42"/>
      <c r="AF134" s="34"/>
      <c r="AH134" s="34"/>
    </row>
    <row r="135" spans="1:34" x14ac:dyDescent="0.25">
      <c r="A135" s="1"/>
      <c r="B135" s="25">
        <v>43979</v>
      </c>
      <c r="C135" s="10" t="s">
        <v>912</v>
      </c>
      <c r="D135" s="1">
        <v>283.25</v>
      </c>
      <c r="E135" s="30">
        <v>1300</v>
      </c>
      <c r="F135" s="1">
        <v>300</v>
      </c>
      <c r="G135" s="1">
        <v>18.100000000000001</v>
      </c>
      <c r="H135" s="1">
        <v>310</v>
      </c>
      <c r="I135" s="1">
        <v>14.5</v>
      </c>
      <c r="J135" s="1">
        <v>36400</v>
      </c>
      <c r="K135" s="1">
        <v>1300</v>
      </c>
      <c r="L135" s="1">
        <v>13.55</v>
      </c>
      <c r="M135" s="1">
        <v>15.1</v>
      </c>
      <c r="N135" s="1">
        <v>11700</v>
      </c>
      <c r="O135" s="9"/>
      <c r="P135" s="7">
        <f t="shared" ca="1" si="49"/>
        <v>-0.36000000000000015</v>
      </c>
      <c r="Q135" s="7">
        <f t="shared" ca="1" si="36"/>
        <v>-1.4400000000000007E-2</v>
      </c>
      <c r="R135" s="33">
        <f t="shared" ca="1" si="44"/>
        <v>4680.0000000000018</v>
      </c>
      <c r="S135" s="33">
        <f t="shared" ca="1" si="45"/>
        <v>-8319.9999999999982</v>
      </c>
      <c r="T135" s="33">
        <f t="shared" ca="1" si="37"/>
        <v>4680.0000000000018</v>
      </c>
      <c r="U135" s="7">
        <f t="shared" ca="1" si="46"/>
        <v>0.56250000000000033</v>
      </c>
      <c r="V135" s="7">
        <f t="shared" ca="1" si="47"/>
        <v>-0.791619754145094</v>
      </c>
      <c r="W135" s="33">
        <f t="shared" ca="1" si="38"/>
        <v>4680.0000000000018</v>
      </c>
      <c r="X135" s="7">
        <f t="shared" ca="1" si="39"/>
        <v>1</v>
      </c>
      <c r="Y135" s="7">
        <f t="shared" ca="1" si="40"/>
        <v>1.5625000000000004</v>
      </c>
      <c r="Z135" s="7">
        <f t="shared" ca="1" si="48"/>
        <v>-0.1947628483931001</v>
      </c>
      <c r="AA135" s="33">
        <f t="shared" ca="1" si="41"/>
        <v>4680.0000000000018</v>
      </c>
      <c r="AB135" s="7">
        <f t="shared" ca="1" si="42"/>
        <v>1</v>
      </c>
      <c r="AC135" s="7">
        <f t="shared" ca="1" si="43"/>
        <v>1.5625000000000004</v>
      </c>
      <c r="AD135" s="40"/>
      <c r="AE135" s="42"/>
      <c r="AF135" s="34"/>
      <c r="AH135" s="34"/>
    </row>
    <row r="136" spans="1:34" x14ac:dyDescent="0.25">
      <c r="A136" s="1"/>
      <c r="B136" s="25">
        <v>43979</v>
      </c>
      <c r="C136" s="10" t="s">
        <v>912</v>
      </c>
      <c r="D136" s="1">
        <v>283.25</v>
      </c>
      <c r="E136" s="30">
        <v>1300</v>
      </c>
      <c r="F136" s="1">
        <v>300</v>
      </c>
      <c r="G136" s="1">
        <v>18.100000000000001</v>
      </c>
      <c r="H136" s="1">
        <v>320</v>
      </c>
      <c r="I136" s="1">
        <v>11.4</v>
      </c>
      <c r="J136" s="1">
        <v>19500</v>
      </c>
      <c r="K136" s="1">
        <v>1300</v>
      </c>
      <c r="L136" s="1">
        <v>10.8</v>
      </c>
      <c r="M136" s="1">
        <v>11.9</v>
      </c>
      <c r="N136" s="1">
        <v>14300</v>
      </c>
      <c r="O136" s="9"/>
      <c r="P136" s="7">
        <f t="shared" ca="1" si="49"/>
        <v>-0.33500000000000008</v>
      </c>
      <c r="Q136" s="7">
        <f t="shared" ca="1" si="36"/>
        <v>-1.3400000000000002E-2</v>
      </c>
      <c r="R136" s="33">
        <f t="shared" ca="1" si="44"/>
        <v>8710.0000000000018</v>
      </c>
      <c r="S136" s="33">
        <f t="shared" ca="1" si="45"/>
        <v>-17290</v>
      </c>
      <c r="T136" s="33">
        <f t="shared" ca="1" si="37"/>
        <v>8710.0000000000018</v>
      </c>
      <c r="U136" s="7">
        <f t="shared" ca="1" si="46"/>
        <v>0.50375939849624074</v>
      </c>
      <c r="V136" s="7">
        <f t="shared" ca="1" si="47"/>
        <v>-0.791619754145094</v>
      </c>
      <c r="W136" s="33">
        <f t="shared" ca="1" si="38"/>
        <v>8710.0000000000018</v>
      </c>
      <c r="X136" s="7">
        <f t="shared" ca="1" si="39"/>
        <v>1</v>
      </c>
      <c r="Y136" s="7">
        <f t="shared" ca="1" si="40"/>
        <v>1.5037593984962407</v>
      </c>
      <c r="Z136" s="7">
        <f t="shared" ca="1" si="48"/>
        <v>-0.1947628483931001</v>
      </c>
      <c r="AA136" s="33">
        <f t="shared" ca="1" si="41"/>
        <v>8710.0000000000018</v>
      </c>
      <c r="AB136" s="7">
        <f t="shared" ca="1" si="42"/>
        <v>1</v>
      </c>
      <c r="AC136" s="7">
        <f t="shared" ca="1" si="43"/>
        <v>1.5037593984962407</v>
      </c>
      <c r="AD136" s="40"/>
      <c r="AE136" s="42"/>
      <c r="AF136" s="34"/>
      <c r="AH136" s="34"/>
    </row>
    <row r="137" spans="1:34" x14ac:dyDescent="0.25">
      <c r="A137" s="1"/>
      <c r="B137" s="25">
        <v>43979</v>
      </c>
      <c r="C137" s="10" t="s">
        <v>912</v>
      </c>
      <c r="D137" s="1">
        <v>283.25</v>
      </c>
      <c r="E137" s="30">
        <v>1300</v>
      </c>
      <c r="F137" s="1">
        <v>300</v>
      </c>
      <c r="G137" s="1">
        <v>18.100000000000001</v>
      </c>
      <c r="H137" s="1">
        <v>330</v>
      </c>
      <c r="I137" s="1">
        <v>8</v>
      </c>
      <c r="J137" s="1">
        <v>3900</v>
      </c>
      <c r="K137" s="1">
        <v>5200</v>
      </c>
      <c r="L137" s="1">
        <v>7.05</v>
      </c>
      <c r="M137" s="1">
        <v>9.5500000000000007</v>
      </c>
      <c r="N137" s="1">
        <v>13000</v>
      </c>
      <c r="O137" s="9"/>
      <c r="P137" s="7">
        <f t="shared" ca="1" si="49"/>
        <v>-0.33666666666666673</v>
      </c>
      <c r="Q137" s="7">
        <f t="shared" ca="1" si="36"/>
        <v>-1.3466666666666668E-2</v>
      </c>
      <c r="R137" s="33">
        <f t="shared" ca="1" si="44"/>
        <v>13130.000000000002</v>
      </c>
      <c r="S137" s="33">
        <f t="shared" ca="1" si="45"/>
        <v>-25870</v>
      </c>
      <c r="T137" s="33">
        <f t="shared" ca="1" si="37"/>
        <v>13130.000000000002</v>
      </c>
      <c r="U137" s="7">
        <f t="shared" ca="1" si="46"/>
        <v>0.50753768844221114</v>
      </c>
      <c r="V137" s="7">
        <f t="shared" ca="1" si="47"/>
        <v>-0.791619754145094</v>
      </c>
      <c r="W137" s="33">
        <f t="shared" ca="1" si="38"/>
        <v>13130.000000000002</v>
      </c>
      <c r="X137" s="7">
        <f t="shared" ca="1" si="39"/>
        <v>1</v>
      </c>
      <c r="Y137" s="7">
        <f t="shared" ca="1" si="40"/>
        <v>1.5075376884422111</v>
      </c>
      <c r="Z137" s="7">
        <f t="shared" ca="1" si="48"/>
        <v>-0.1947628483931001</v>
      </c>
      <c r="AA137" s="33">
        <f t="shared" ca="1" si="41"/>
        <v>13130.000000000002</v>
      </c>
      <c r="AB137" s="7">
        <f t="shared" ca="1" si="42"/>
        <v>1</v>
      </c>
      <c r="AC137" s="7">
        <f t="shared" ca="1" si="43"/>
        <v>1.5075376884422111</v>
      </c>
      <c r="AD137" s="40"/>
      <c r="AE137" s="42"/>
      <c r="AF137" s="34"/>
      <c r="AH137" s="34"/>
    </row>
    <row r="138" spans="1:34" x14ac:dyDescent="0.25">
      <c r="A138" s="1"/>
      <c r="B138" s="25">
        <v>43979</v>
      </c>
      <c r="C138" s="10" t="s">
        <v>912</v>
      </c>
      <c r="D138" s="1">
        <v>283.25</v>
      </c>
      <c r="E138" s="30">
        <v>1300</v>
      </c>
      <c r="F138" s="1">
        <v>300</v>
      </c>
      <c r="G138" s="1">
        <v>18.100000000000001</v>
      </c>
      <c r="H138" s="1">
        <v>340</v>
      </c>
      <c r="I138" s="1">
        <v>6.95</v>
      </c>
      <c r="J138" s="1">
        <v>40300</v>
      </c>
      <c r="K138" s="1">
        <v>1300</v>
      </c>
      <c r="L138" s="1">
        <v>6.05</v>
      </c>
      <c r="M138" s="1">
        <v>7.65</v>
      </c>
      <c r="N138" s="1">
        <v>16900</v>
      </c>
      <c r="O138" s="9"/>
      <c r="P138" s="7">
        <f t="shared" ca="1" si="49"/>
        <v>-0.27875000000000005</v>
      </c>
      <c r="Q138" s="7">
        <f t="shared" ca="1" si="36"/>
        <v>-1.1150000000000002E-2</v>
      </c>
      <c r="R138" s="33">
        <f t="shared" ca="1" si="44"/>
        <v>14495.000000000004</v>
      </c>
      <c r="S138" s="33">
        <f t="shared" ca="1" si="45"/>
        <v>-37505</v>
      </c>
      <c r="T138" s="33">
        <f t="shared" ca="1" si="37"/>
        <v>14495.000000000004</v>
      </c>
      <c r="U138" s="7">
        <f t="shared" ca="1" si="46"/>
        <v>0.38648180242634322</v>
      </c>
      <c r="V138" s="7">
        <f t="shared" ca="1" si="47"/>
        <v>-0.791619754145094</v>
      </c>
      <c r="W138" s="33">
        <f t="shared" ca="1" si="38"/>
        <v>14495.000000000004</v>
      </c>
      <c r="X138" s="7">
        <f t="shared" ca="1" si="39"/>
        <v>1</v>
      </c>
      <c r="Y138" s="7">
        <f t="shared" ca="1" si="40"/>
        <v>1.3864818024263432</v>
      </c>
      <c r="Z138" s="7">
        <f t="shared" ca="1" si="48"/>
        <v>-0.1947628483931001</v>
      </c>
      <c r="AA138" s="33">
        <f t="shared" ca="1" si="41"/>
        <v>14495.000000000004</v>
      </c>
      <c r="AB138" s="7">
        <f t="shared" ca="1" si="42"/>
        <v>1</v>
      </c>
      <c r="AC138" s="7">
        <f t="shared" ca="1" si="43"/>
        <v>1.3864818024263432</v>
      </c>
      <c r="AD138" s="40"/>
      <c r="AE138" s="42"/>
      <c r="AF138" s="34"/>
      <c r="AH138" s="34"/>
    </row>
    <row r="139" spans="1:34" x14ac:dyDescent="0.25">
      <c r="A139" s="1"/>
      <c r="B139" s="25">
        <v>43979</v>
      </c>
      <c r="C139" s="10" t="s">
        <v>912</v>
      </c>
      <c r="D139" s="1">
        <v>283.25</v>
      </c>
      <c r="E139" s="30">
        <v>1300</v>
      </c>
      <c r="F139" s="1">
        <v>300</v>
      </c>
      <c r="G139" s="1">
        <v>18.100000000000001</v>
      </c>
      <c r="H139" s="1">
        <v>350</v>
      </c>
      <c r="I139" s="1">
        <v>5</v>
      </c>
      <c r="J139" s="1">
        <v>16900</v>
      </c>
      <c r="K139" s="1">
        <v>1300</v>
      </c>
      <c r="L139" s="1">
        <v>4.2</v>
      </c>
      <c r="M139" s="1">
        <v>5.95</v>
      </c>
      <c r="N139" s="1">
        <v>15600</v>
      </c>
      <c r="O139" s="9"/>
      <c r="P139" s="7">
        <f t="shared" ca="1" si="49"/>
        <v>-0.26200000000000001</v>
      </c>
      <c r="Q139" s="7">
        <f t="shared" ca="1" si="36"/>
        <v>-1.048E-2</v>
      </c>
      <c r="R139" s="33">
        <f t="shared" ca="1" si="44"/>
        <v>17030.000000000004</v>
      </c>
      <c r="S139" s="33">
        <f t="shared" ca="1" si="45"/>
        <v>-47970</v>
      </c>
      <c r="T139" s="33">
        <f t="shared" ca="1" si="37"/>
        <v>17030.000000000004</v>
      </c>
      <c r="U139" s="7">
        <f t="shared" ca="1" si="46"/>
        <v>0.35501355013550145</v>
      </c>
      <c r="V139" s="7">
        <f t="shared" ca="1" si="47"/>
        <v>-0.791619754145094</v>
      </c>
      <c r="W139" s="33">
        <f t="shared" ca="1" si="38"/>
        <v>17030.000000000004</v>
      </c>
      <c r="X139" s="7">
        <f t="shared" ca="1" si="39"/>
        <v>1</v>
      </c>
      <c r="Y139" s="7">
        <f t="shared" ca="1" si="40"/>
        <v>1.3550135501355014</v>
      </c>
      <c r="Z139" s="7">
        <f t="shared" ca="1" si="48"/>
        <v>-0.1947628483931001</v>
      </c>
      <c r="AA139" s="33">
        <f t="shared" ca="1" si="41"/>
        <v>17030.000000000004</v>
      </c>
      <c r="AB139" s="7">
        <f t="shared" ca="1" si="42"/>
        <v>1</v>
      </c>
      <c r="AC139" s="7">
        <f t="shared" ca="1" si="43"/>
        <v>1.3550135501355014</v>
      </c>
      <c r="AD139" s="40"/>
      <c r="AE139" s="42"/>
      <c r="AF139" s="34"/>
      <c r="AH139" s="34"/>
    </row>
    <row r="140" spans="1:34" x14ac:dyDescent="0.25">
      <c r="A140" s="1"/>
      <c r="B140" s="25">
        <v>43979</v>
      </c>
      <c r="C140" s="10" t="s">
        <v>912</v>
      </c>
      <c r="D140" s="1">
        <v>283.25</v>
      </c>
      <c r="E140" s="30">
        <v>1300</v>
      </c>
      <c r="F140" s="1">
        <v>300</v>
      </c>
      <c r="G140" s="1">
        <v>18.100000000000001</v>
      </c>
      <c r="H140" s="1">
        <v>400</v>
      </c>
      <c r="I140" s="1">
        <v>1.05</v>
      </c>
      <c r="J140" s="1">
        <v>19500</v>
      </c>
      <c r="K140" s="1">
        <v>1300</v>
      </c>
      <c r="L140" s="1">
        <v>1.05</v>
      </c>
      <c r="M140" s="1">
        <v>1.9</v>
      </c>
      <c r="N140" s="1">
        <v>1300</v>
      </c>
      <c r="O140" s="9"/>
      <c r="P140" s="7">
        <f t="shared" ca="1" si="49"/>
        <v>-0.17050000000000001</v>
      </c>
      <c r="Q140" s="7">
        <f t="shared" ca="1" si="36"/>
        <v>-6.8200000000000005E-3</v>
      </c>
      <c r="R140" s="33">
        <f t="shared" ca="1" si="44"/>
        <v>22165</v>
      </c>
      <c r="S140" s="33">
        <f t="shared" ca="1" si="45"/>
        <v>-107835</v>
      </c>
      <c r="T140" s="33">
        <f t="shared" ca="1" si="37"/>
        <v>22165</v>
      </c>
      <c r="U140" s="7">
        <f t="shared" ca="1" si="46"/>
        <v>0.20554550934297769</v>
      </c>
      <c r="V140" s="7">
        <f t="shared" ca="1" si="47"/>
        <v>-0.791619754145094</v>
      </c>
      <c r="W140" s="33">
        <f t="shared" ca="1" si="38"/>
        <v>22165</v>
      </c>
      <c r="X140" s="7">
        <f t="shared" ca="1" si="39"/>
        <v>1</v>
      </c>
      <c r="Y140" s="7">
        <f t="shared" ca="1" si="40"/>
        <v>1.2055455093429777</v>
      </c>
      <c r="Z140" s="7">
        <f t="shared" ca="1" si="48"/>
        <v>-0.1947628483931001</v>
      </c>
      <c r="AA140" s="33">
        <f t="shared" ca="1" si="41"/>
        <v>22165</v>
      </c>
      <c r="AB140" s="7">
        <f t="shared" ca="1" si="42"/>
        <v>1</v>
      </c>
      <c r="AC140" s="7">
        <f t="shared" ca="1" si="43"/>
        <v>1.2055455093429777</v>
      </c>
      <c r="AD140" s="40"/>
      <c r="AE140" s="42"/>
      <c r="AF140" s="34"/>
      <c r="AH140" s="34"/>
    </row>
    <row r="141" spans="1:34" x14ac:dyDescent="0.25">
      <c r="A141" s="1"/>
      <c r="B141" s="25">
        <v>43979</v>
      </c>
      <c r="C141" s="10" t="s">
        <v>928</v>
      </c>
      <c r="D141" s="1">
        <v>897.95</v>
      </c>
      <c r="E141" s="30">
        <v>375</v>
      </c>
      <c r="F141" s="1">
        <v>980</v>
      </c>
      <c r="G141" s="1">
        <v>21</v>
      </c>
      <c r="H141" s="1">
        <v>1000</v>
      </c>
      <c r="I141" s="1">
        <v>16.25</v>
      </c>
      <c r="J141" s="1">
        <v>330375</v>
      </c>
      <c r="K141" s="1">
        <v>375</v>
      </c>
      <c r="L141" s="1">
        <v>16.2</v>
      </c>
      <c r="M141" s="1">
        <v>16.25</v>
      </c>
      <c r="N141" s="1">
        <v>375</v>
      </c>
      <c r="O141" s="9"/>
      <c r="P141" s="7">
        <f t="shared" ca="1" si="49"/>
        <v>-0.23749999999999999</v>
      </c>
      <c r="Q141" s="7">
        <f t="shared" ca="1" si="36"/>
        <v>-9.4999999999999998E-3</v>
      </c>
      <c r="R141" s="33">
        <f t="shared" ca="1" si="44"/>
        <v>1781.25</v>
      </c>
      <c r="S141" s="33">
        <f t="shared" ca="1" si="45"/>
        <v>-5718.75</v>
      </c>
      <c r="T141" s="33">
        <f t="shared" ca="1" si="37"/>
        <v>1781.25</v>
      </c>
      <c r="U141" s="7">
        <f t="shared" ca="1" si="46"/>
        <v>0.31147540983606559</v>
      </c>
      <c r="V141" s="7">
        <f t="shared" ca="1" si="47"/>
        <v>-0.60183732329600514</v>
      </c>
      <c r="W141" s="33">
        <f t="shared" ca="1" si="38"/>
        <v>1781.25</v>
      </c>
      <c r="X141" s="7">
        <f t="shared" ca="1" si="39"/>
        <v>1</v>
      </c>
      <c r="Y141" s="7">
        <f t="shared" ca="1" si="40"/>
        <v>1.3114754098360657</v>
      </c>
      <c r="Z141" s="7">
        <f t="shared" ca="1" si="48"/>
        <v>-0.1091337649647796</v>
      </c>
      <c r="AA141" s="33">
        <f t="shared" ca="1" si="41"/>
        <v>1781.25</v>
      </c>
      <c r="AB141" s="7">
        <f t="shared" ca="1" si="42"/>
        <v>1</v>
      </c>
      <c r="AC141" s="7">
        <f t="shared" ca="1" si="43"/>
        <v>1.3114754098360657</v>
      </c>
      <c r="AD141" s="40"/>
      <c r="AE141" s="42"/>
      <c r="AF141" s="34"/>
      <c r="AH141" s="34"/>
    </row>
    <row r="142" spans="1:34" x14ac:dyDescent="0.25">
      <c r="A142" s="1"/>
      <c r="B142" s="25">
        <v>43979</v>
      </c>
      <c r="C142" s="10" t="s">
        <v>928</v>
      </c>
      <c r="D142" s="1">
        <v>897.95</v>
      </c>
      <c r="E142" s="30">
        <v>375</v>
      </c>
      <c r="F142" s="1">
        <v>980</v>
      </c>
      <c r="G142" s="1">
        <v>21</v>
      </c>
      <c r="H142" s="1">
        <v>1020</v>
      </c>
      <c r="I142" s="1">
        <v>12.05</v>
      </c>
      <c r="J142" s="1">
        <v>20250</v>
      </c>
      <c r="K142" s="1">
        <v>750</v>
      </c>
      <c r="L142" s="1">
        <v>12.55</v>
      </c>
      <c r="M142" s="1">
        <v>13.3</v>
      </c>
      <c r="N142" s="1">
        <v>375</v>
      </c>
      <c r="O142" s="9"/>
      <c r="P142" s="7">
        <f t="shared" ca="1" si="49"/>
        <v>-0.22374999999999998</v>
      </c>
      <c r="Q142" s="7">
        <f t="shared" ca="1" si="36"/>
        <v>-8.9499999999999996E-3</v>
      </c>
      <c r="R142" s="33">
        <f t="shared" ca="1" si="44"/>
        <v>3356.2499999999995</v>
      </c>
      <c r="S142" s="33">
        <f t="shared" ca="1" si="45"/>
        <v>-11643.75</v>
      </c>
      <c r="T142" s="33">
        <f t="shared" ca="1" si="37"/>
        <v>3356.2499999999995</v>
      </c>
      <c r="U142" s="7">
        <f t="shared" ca="1" si="46"/>
        <v>0.28824476650563602</v>
      </c>
      <c r="V142" s="7">
        <f t="shared" ca="1" si="47"/>
        <v>-0.60183732329600514</v>
      </c>
      <c r="W142" s="33">
        <f t="shared" ca="1" si="38"/>
        <v>3356.2499999999995</v>
      </c>
      <c r="X142" s="7">
        <f t="shared" ca="1" si="39"/>
        <v>1</v>
      </c>
      <c r="Y142" s="7">
        <f t="shared" ca="1" si="40"/>
        <v>1.288244766505636</v>
      </c>
      <c r="Z142" s="7">
        <f t="shared" ca="1" si="48"/>
        <v>-0.1091337649647796</v>
      </c>
      <c r="AA142" s="33">
        <f t="shared" ca="1" si="41"/>
        <v>3356.2499999999995</v>
      </c>
      <c r="AB142" s="7">
        <f t="shared" ca="1" si="42"/>
        <v>1</v>
      </c>
      <c r="AC142" s="7">
        <f t="shared" ca="1" si="43"/>
        <v>1.288244766505636</v>
      </c>
      <c r="AD142" s="40"/>
      <c r="AE142" s="42"/>
      <c r="AF142" s="34"/>
      <c r="AH142" s="34"/>
    </row>
    <row r="143" spans="1:34" x14ac:dyDescent="0.25">
      <c r="A143" s="1"/>
      <c r="B143" s="25">
        <v>43979</v>
      </c>
      <c r="C143" s="10" t="s">
        <v>928</v>
      </c>
      <c r="D143" s="1">
        <v>897.95</v>
      </c>
      <c r="E143" s="30">
        <v>375</v>
      </c>
      <c r="F143" s="1">
        <v>980</v>
      </c>
      <c r="G143" s="1">
        <v>21</v>
      </c>
      <c r="H143" s="1">
        <v>1100</v>
      </c>
      <c r="I143" s="1">
        <v>4.45</v>
      </c>
      <c r="J143" s="1">
        <v>99000</v>
      </c>
      <c r="K143" s="1">
        <v>375</v>
      </c>
      <c r="L143" s="1">
        <v>4.4000000000000004</v>
      </c>
      <c r="M143" s="1">
        <v>4.95</v>
      </c>
      <c r="N143" s="1">
        <v>750</v>
      </c>
      <c r="O143" s="9"/>
      <c r="P143" s="7">
        <f t="shared" ca="1" si="49"/>
        <v>-0.13791666666666666</v>
      </c>
      <c r="Q143" s="7">
        <f t="shared" ca="1" si="36"/>
        <v>-5.5166666666666662E-3</v>
      </c>
      <c r="R143" s="33">
        <f t="shared" ca="1" si="44"/>
        <v>6206.25</v>
      </c>
      <c r="S143" s="33">
        <f t="shared" ca="1" si="45"/>
        <v>-38793.75</v>
      </c>
      <c r="T143" s="33">
        <f t="shared" ca="1" si="37"/>
        <v>6206.25</v>
      </c>
      <c r="U143" s="7">
        <f t="shared" ca="1" si="46"/>
        <v>0.15998066698888352</v>
      </c>
      <c r="V143" s="7">
        <f t="shared" ca="1" si="47"/>
        <v>-0.60183732329600514</v>
      </c>
      <c r="W143" s="33">
        <f t="shared" ca="1" si="38"/>
        <v>6206.25</v>
      </c>
      <c r="X143" s="7">
        <f t="shared" ca="1" si="39"/>
        <v>1</v>
      </c>
      <c r="Y143" s="7">
        <f t="shared" ca="1" si="40"/>
        <v>1.1599806669888835</v>
      </c>
      <c r="Z143" s="7">
        <f t="shared" ca="1" si="48"/>
        <v>-0.1091337649647796</v>
      </c>
      <c r="AA143" s="33">
        <f t="shared" ca="1" si="41"/>
        <v>6206.25</v>
      </c>
      <c r="AB143" s="7">
        <f t="shared" ca="1" si="42"/>
        <v>1</v>
      </c>
      <c r="AC143" s="7">
        <f t="shared" ca="1" si="43"/>
        <v>1.1599806669888835</v>
      </c>
      <c r="AD143" s="40"/>
      <c r="AE143" s="42"/>
      <c r="AF143" s="34"/>
      <c r="AH143" s="34"/>
    </row>
    <row r="144" spans="1:34" x14ac:dyDescent="0.25">
      <c r="A144" s="1"/>
      <c r="B144" s="25">
        <v>43979</v>
      </c>
      <c r="C144" s="10" t="s">
        <v>928</v>
      </c>
      <c r="D144" s="1">
        <v>897.95</v>
      </c>
      <c r="E144" s="30">
        <v>375</v>
      </c>
      <c r="F144" s="1">
        <v>980</v>
      </c>
      <c r="G144" s="1">
        <v>21</v>
      </c>
      <c r="H144" s="1">
        <v>1140</v>
      </c>
      <c r="I144" s="1">
        <v>4</v>
      </c>
      <c r="J144" s="1">
        <v>5625</v>
      </c>
      <c r="K144" s="1">
        <v>375</v>
      </c>
      <c r="L144" s="1">
        <v>2.0499999999999998</v>
      </c>
      <c r="M144" s="1">
        <v>3.95</v>
      </c>
      <c r="N144" s="1">
        <v>2250</v>
      </c>
      <c r="O144" s="9"/>
      <c r="P144" s="7">
        <f t="shared" ca="1" si="49"/>
        <v>-0.10625</v>
      </c>
      <c r="Q144" s="7">
        <f t="shared" ca="1" si="36"/>
        <v>-4.2500000000000003E-3</v>
      </c>
      <c r="R144" s="33">
        <f t="shared" ca="1" si="44"/>
        <v>6375</v>
      </c>
      <c r="S144" s="33">
        <f t="shared" ca="1" si="45"/>
        <v>-53625</v>
      </c>
      <c r="T144" s="33">
        <f t="shared" ca="1" si="37"/>
        <v>6375</v>
      </c>
      <c r="U144" s="7">
        <f t="shared" ca="1" si="46"/>
        <v>0.11888111888111888</v>
      </c>
      <c r="V144" s="7">
        <f t="shared" ca="1" si="47"/>
        <v>-0.60183732329600514</v>
      </c>
      <c r="W144" s="33">
        <f t="shared" ca="1" si="38"/>
        <v>6375</v>
      </c>
      <c r="X144" s="7">
        <f t="shared" ca="1" si="39"/>
        <v>1</v>
      </c>
      <c r="Y144" s="7">
        <f t="shared" ca="1" si="40"/>
        <v>1.118881118881119</v>
      </c>
      <c r="Z144" s="7">
        <f t="shared" ca="1" si="48"/>
        <v>-0.1091337649647796</v>
      </c>
      <c r="AA144" s="33">
        <f t="shared" ca="1" si="41"/>
        <v>6375</v>
      </c>
      <c r="AB144" s="7">
        <f t="shared" ca="1" si="42"/>
        <v>1</v>
      </c>
      <c r="AC144" s="7">
        <f t="shared" ca="1" si="43"/>
        <v>1.118881118881119</v>
      </c>
      <c r="AD144" s="40"/>
      <c r="AE144" s="42"/>
      <c r="AF144" s="34"/>
      <c r="AH144" s="34"/>
    </row>
    <row r="145" spans="1:34" x14ac:dyDescent="0.25">
      <c r="A145" s="1"/>
      <c r="B145" s="25">
        <v>43979</v>
      </c>
      <c r="C145" s="10" t="s">
        <v>983</v>
      </c>
      <c r="D145" s="1">
        <v>5343</v>
      </c>
      <c r="E145" s="30">
        <v>100</v>
      </c>
      <c r="F145" s="1">
        <v>5800</v>
      </c>
      <c r="G145" s="1">
        <v>120.05</v>
      </c>
      <c r="H145" s="1">
        <v>5900</v>
      </c>
      <c r="I145" s="1">
        <v>100.95</v>
      </c>
      <c r="J145" s="1">
        <v>5300</v>
      </c>
      <c r="K145" s="1">
        <v>100</v>
      </c>
      <c r="L145" s="1">
        <v>89.6</v>
      </c>
      <c r="M145" s="1">
        <v>107</v>
      </c>
      <c r="N145" s="1">
        <v>200</v>
      </c>
      <c r="O145" s="9"/>
      <c r="P145" s="7">
        <f t="shared" ca="1" si="49"/>
        <v>-0.19099999999999995</v>
      </c>
      <c r="Q145" s="7">
        <f t="shared" ca="1" si="36"/>
        <v>-7.6399999999999975E-3</v>
      </c>
      <c r="R145" s="33">
        <f t="shared" ca="1" si="44"/>
        <v>1909.9999999999995</v>
      </c>
      <c r="S145" s="33">
        <f t="shared" ca="1" si="45"/>
        <v>-8090</v>
      </c>
      <c r="T145" s="33">
        <f t="shared" ca="1" si="37"/>
        <v>1909.9999999999995</v>
      </c>
      <c r="U145" s="7">
        <f t="shared" ca="1" si="46"/>
        <v>0.23609394313967855</v>
      </c>
      <c r="V145" s="7">
        <f t="shared" ca="1" si="47"/>
        <v>-0.51215874734364186</v>
      </c>
      <c r="W145" s="33">
        <f t="shared" ca="1" si="38"/>
        <v>1909.9999999999995</v>
      </c>
      <c r="X145" s="7">
        <f t="shared" ca="1" si="39"/>
        <v>1</v>
      </c>
      <c r="Y145" s="7">
        <f t="shared" ca="1" si="40"/>
        <v>1.2360939431396785</v>
      </c>
      <c r="Z145" s="7">
        <f t="shared" ca="1" si="48"/>
        <v>-0.1167575504708236</v>
      </c>
      <c r="AA145" s="33">
        <f t="shared" ca="1" si="41"/>
        <v>1909.9999999999995</v>
      </c>
      <c r="AB145" s="7">
        <f t="shared" ca="1" si="42"/>
        <v>1</v>
      </c>
      <c r="AC145" s="7">
        <f t="shared" ca="1" si="43"/>
        <v>1.2360939431396785</v>
      </c>
      <c r="AD145" s="40"/>
      <c r="AE145" s="42"/>
      <c r="AF145" s="34"/>
      <c r="AH145" s="34"/>
    </row>
    <row r="146" spans="1:34" x14ac:dyDescent="0.25">
      <c r="A146" s="1"/>
      <c r="B146" s="25">
        <v>43979</v>
      </c>
      <c r="C146" s="10" t="s">
        <v>983</v>
      </c>
      <c r="D146" s="1">
        <v>5343</v>
      </c>
      <c r="E146" s="30">
        <v>100</v>
      </c>
      <c r="F146" s="1">
        <v>5800</v>
      </c>
      <c r="G146" s="1">
        <v>120.05</v>
      </c>
      <c r="H146" s="1">
        <v>6000</v>
      </c>
      <c r="I146" s="1">
        <v>80</v>
      </c>
      <c r="J146" s="1">
        <v>41800</v>
      </c>
      <c r="K146" s="1">
        <v>200</v>
      </c>
      <c r="L146" s="1">
        <v>79.95</v>
      </c>
      <c r="M146" s="1">
        <v>81.45</v>
      </c>
      <c r="N146" s="1">
        <v>500</v>
      </c>
      <c r="O146" s="9"/>
      <c r="P146" s="7">
        <f t="shared" ca="1" si="49"/>
        <v>-0.20024999999999998</v>
      </c>
      <c r="Q146" s="7">
        <f t="shared" ca="1" si="36"/>
        <v>-8.0099999999999998E-3</v>
      </c>
      <c r="R146" s="33">
        <f t="shared" ca="1" si="44"/>
        <v>4004.9999999999995</v>
      </c>
      <c r="S146" s="33">
        <f t="shared" ca="1" si="45"/>
        <v>-15995</v>
      </c>
      <c r="T146" s="33">
        <f t="shared" ca="1" si="37"/>
        <v>4004.9999999999995</v>
      </c>
      <c r="U146" s="7">
        <f t="shared" ca="1" si="46"/>
        <v>0.25039074710847137</v>
      </c>
      <c r="V146" s="7">
        <f t="shared" ca="1" si="47"/>
        <v>-0.51215874734364186</v>
      </c>
      <c r="W146" s="33">
        <f t="shared" ca="1" si="38"/>
        <v>4004.9999999999995</v>
      </c>
      <c r="X146" s="7">
        <f t="shared" ca="1" si="39"/>
        <v>1</v>
      </c>
      <c r="Y146" s="7">
        <f t="shared" ca="1" si="40"/>
        <v>1.2503907471084714</v>
      </c>
      <c r="Z146" s="7">
        <f t="shared" ca="1" si="48"/>
        <v>-0.1167575504708236</v>
      </c>
      <c r="AA146" s="33">
        <f t="shared" ca="1" si="41"/>
        <v>4004.9999999999995</v>
      </c>
      <c r="AB146" s="7">
        <f t="shared" ca="1" si="42"/>
        <v>1</v>
      </c>
      <c r="AC146" s="7">
        <f t="shared" ca="1" si="43"/>
        <v>1.2503907471084714</v>
      </c>
      <c r="AD146" s="40"/>
      <c r="AE146" s="42"/>
      <c r="AF146" s="34"/>
      <c r="AH146" s="34"/>
    </row>
    <row r="147" spans="1:34" x14ac:dyDescent="0.25">
      <c r="A147" s="1"/>
      <c r="B147" s="25">
        <v>43979</v>
      </c>
      <c r="C147" s="10" t="s">
        <v>983</v>
      </c>
      <c r="D147" s="1">
        <v>5343</v>
      </c>
      <c r="E147" s="30">
        <v>100</v>
      </c>
      <c r="F147" s="1">
        <v>5800</v>
      </c>
      <c r="G147" s="1">
        <v>120.05</v>
      </c>
      <c r="H147" s="1">
        <v>6200</v>
      </c>
      <c r="I147" s="1">
        <v>47.5</v>
      </c>
      <c r="J147" s="1">
        <v>2300</v>
      </c>
      <c r="K147" s="1">
        <v>200</v>
      </c>
      <c r="L147" s="1">
        <v>49.05</v>
      </c>
      <c r="M147" s="1">
        <v>52</v>
      </c>
      <c r="N147" s="1">
        <v>100</v>
      </c>
      <c r="O147" s="9"/>
      <c r="P147" s="7">
        <f t="shared" ca="1" si="49"/>
        <v>-0.18137499999999998</v>
      </c>
      <c r="Q147" s="7">
        <f t="shared" ca="1" si="36"/>
        <v>-7.2549999999999993E-3</v>
      </c>
      <c r="R147" s="33">
        <f t="shared" ca="1" si="44"/>
        <v>7255</v>
      </c>
      <c r="S147" s="33">
        <f t="shared" ca="1" si="45"/>
        <v>-32745</v>
      </c>
      <c r="T147" s="33">
        <f t="shared" ca="1" si="37"/>
        <v>7255</v>
      </c>
      <c r="U147" s="7">
        <f t="shared" ca="1" si="46"/>
        <v>0.22156054359444191</v>
      </c>
      <c r="V147" s="7">
        <f t="shared" ca="1" si="47"/>
        <v>-0.51215874734364186</v>
      </c>
      <c r="W147" s="33">
        <f t="shared" ca="1" si="38"/>
        <v>7255</v>
      </c>
      <c r="X147" s="7">
        <f t="shared" ca="1" si="39"/>
        <v>1</v>
      </c>
      <c r="Y147" s="7">
        <f t="shared" ca="1" si="40"/>
        <v>1.2215605435944419</v>
      </c>
      <c r="Z147" s="7">
        <f t="shared" ca="1" si="48"/>
        <v>-0.1167575504708236</v>
      </c>
      <c r="AA147" s="33">
        <f t="shared" ca="1" si="41"/>
        <v>7255</v>
      </c>
      <c r="AB147" s="7">
        <f t="shared" ca="1" si="42"/>
        <v>1</v>
      </c>
      <c r="AC147" s="7">
        <f t="shared" ca="1" si="43"/>
        <v>1.2215605435944419</v>
      </c>
      <c r="AD147" s="40"/>
      <c r="AE147" s="42"/>
      <c r="AF147" s="34"/>
      <c r="AH147" s="34"/>
    </row>
    <row r="148" spans="1:34" x14ac:dyDescent="0.25">
      <c r="A148" s="1"/>
      <c r="B148" s="25">
        <v>43979</v>
      </c>
      <c r="C148" s="10" t="s">
        <v>983</v>
      </c>
      <c r="D148" s="1">
        <v>5343</v>
      </c>
      <c r="E148" s="30">
        <v>100</v>
      </c>
      <c r="F148" s="1">
        <v>5800</v>
      </c>
      <c r="G148" s="1">
        <v>120.05</v>
      </c>
      <c r="H148" s="1">
        <v>6500</v>
      </c>
      <c r="I148" s="1">
        <v>26.5</v>
      </c>
      <c r="J148" s="1">
        <v>24900</v>
      </c>
      <c r="K148" s="1">
        <v>200</v>
      </c>
      <c r="L148" s="1">
        <v>26.1</v>
      </c>
      <c r="M148" s="1">
        <v>27.85</v>
      </c>
      <c r="N148" s="1">
        <v>100</v>
      </c>
      <c r="O148" s="9"/>
      <c r="P148" s="7">
        <f t="shared" ca="1" si="49"/>
        <v>-0.13364285714285715</v>
      </c>
      <c r="Q148" s="7">
        <f t="shared" ca="1" si="36"/>
        <v>-5.3457142857142861E-3</v>
      </c>
      <c r="R148" s="33">
        <f t="shared" ca="1" si="44"/>
        <v>9355</v>
      </c>
      <c r="S148" s="33">
        <f t="shared" ca="1" si="45"/>
        <v>-60645</v>
      </c>
      <c r="T148" s="33">
        <f t="shared" ca="1" si="37"/>
        <v>9355</v>
      </c>
      <c r="U148" s="7">
        <f t="shared" ca="1" si="46"/>
        <v>0.1542583889850771</v>
      </c>
      <c r="V148" s="7">
        <f t="shared" ca="1" si="47"/>
        <v>-0.51215874734364186</v>
      </c>
      <c r="W148" s="33">
        <f t="shared" ca="1" si="38"/>
        <v>9355</v>
      </c>
      <c r="X148" s="7">
        <f t="shared" ca="1" si="39"/>
        <v>1</v>
      </c>
      <c r="Y148" s="7">
        <f t="shared" ca="1" si="40"/>
        <v>1.154258388985077</v>
      </c>
      <c r="Z148" s="7">
        <f t="shared" ca="1" si="48"/>
        <v>-0.1167575504708236</v>
      </c>
      <c r="AA148" s="33">
        <f t="shared" ca="1" si="41"/>
        <v>9355</v>
      </c>
      <c r="AB148" s="7">
        <f t="shared" ca="1" si="42"/>
        <v>1</v>
      </c>
      <c r="AC148" s="7">
        <f t="shared" ca="1" si="43"/>
        <v>1.154258388985077</v>
      </c>
      <c r="AD148" s="40"/>
      <c r="AE148" s="42"/>
      <c r="AF148" s="34"/>
      <c r="AH148" s="34"/>
    </row>
    <row r="149" spans="1:34" x14ac:dyDescent="0.25">
      <c r="A149" s="1"/>
      <c r="B149" s="25">
        <v>43979</v>
      </c>
      <c r="C149" s="10" t="s">
        <v>995</v>
      </c>
      <c r="D149" s="1">
        <v>535.9</v>
      </c>
      <c r="E149" s="30">
        <v>1250</v>
      </c>
      <c r="F149" s="1">
        <v>580</v>
      </c>
      <c r="G149" s="1">
        <v>16.5</v>
      </c>
      <c r="H149" s="1">
        <v>600</v>
      </c>
      <c r="I149" s="1">
        <v>11.5</v>
      </c>
      <c r="J149" s="1">
        <v>87500</v>
      </c>
      <c r="K149" s="1">
        <v>1250</v>
      </c>
      <c r="L149" s="1">
        <v>11</v>
      </c>
      <c r="M149" s="1">
        <v>11.25</v>
      </c>
      <c r="N149" s="1">
        <v>1250</v>
      </c>
      <c r="O149" s="9"/>
      <c r="P149" s="7">
        <f t="shared" ca="1" si="49"/>
        <v>-0.25</v>
      </c>
      <c r="Q149" s="7">
        <f t="shared" ca="1" si="36"/>
        <v>-0.01</v>
      </c>
      <c r="R149" s="33">
        <f t="shared" ca="1" si="44"/>
        <v>6250</v>
      </c>
      <c r="S149" s="33">
        <f t="shared" ca="1" si="45"/>
        <v>-18750</v>
      </c>
      <c r="T149" s="33">
        <f t="shared" ca="1" si="37"/>
        <v>6250</v>
      </c>
      <c r="U149" s="7">
        <f t="shared" ca="1" si="46"/>
        <v>0.33333333333333331</v>
      </c>
      <c r="V149" s="7">
        <f t="shared" ca="1" si="47"/>
        <v>-0.45280994901740179</v>
      </c>
      <c r="W149" s="33">
        <f t="shared" ca="1" si="38"/>
        <v>6250</v>
      </c>
      <c r="X149" s="7">
        <f t="shared" ca="1" si="39"/>
        <v>1</v>
      </c>
      <c r="Y149" s="7">
        <f t="shared" ca="1" si="40"/>
        <v>1.3333333333333333</v>
      </c>
      <c r="Z149" s="7">
        <f t="shared" ca="1" si="48"/>
        <v>-8.3783449859423001E-2</v>
      </c>
      <c r="AA149" s="33">
        <f t="shared" ca="1" si="41"/>
        <v>6250</v>
      </c>
      <c r="AB149" s="7">
        <f t="shared" ca="1" si="42"/>
        <v>1</v>
      </c>
      <c r="AC149" s="7">
        <f t="shared" ca="1" si="43"/>
        <v>1.3333333333333333</v>
      </c>
      <c r="AD149" s="40"/>
      <c r="AE149" s="42"/>
      <c r="AF149" s="34"/>
      <c r="AH149" s="34"/>
    </row>
    <row r="150" spans="1:34" x14ac:dyDescent="0.25">
      <c r="A150" s="1"/>
      <c r="B150" s="25">
        <v>43979</v>
      </c>
      <c r="C150" s="10" t="s">
        <v>995</v>
      </c>
      <c r="D150" s="1">
        <v>535.9</v>
      </c>
      <c r="E150" s="30">
        <v>1250</v>
      </c>
      <c r="F150" s="1">
        <v>580</v>
      </c>
      <c r="G150" s="1">
        <v>16.5</v>
      </c>
      <c r="H150" s="1">
        <v>660</v>
      </c>
      <c r="I150" s="1">
        <v>5</v>
      </c>
      <c r="J150" s="1">
        <v>13750</v>
      </c>
      <c r="K150" s="1">
        <v>2500</v>
      </c>
      <c r="L150" s="1">
        <v>3.05</v>
      </c>
      <c r="M150" s="1">
        <v>5.95</v>
      </c>
      <c r="N150" s="1">
        <v>20000</v>
      </c>
      <c r="O150" s="9"/>
      <c r="P150" s="7">
        <f t="shared" ca="1" si="49"/>
        <v>-0.14374999999999999</v>
      </c>
      <c r="Q150" s="7">
        <f t="shared" ca="1" si="36"/>
        <v>-5.7499999999999999E-3</v>
      </c>
      <c r="R150" s="33">
        <f t="shared" ca="1" si="44"/>
        <v>14375</v>
      </c>
      <c r="S150" s="33">
        <f t="shared" ca="1" si="45"/>
        <v>-85625</v>
      </c>
      <c r="T150" s="33">
        <f t="shared" ca="1" si="37"/>
        <v>14375</v>
      </c>
      <c r="U150" s="7">
        <f t="shared" ca="1" si="46"/>
        <v>0.16788321167883211</v>
      </c>
      <c r="V150" s="7">
        <f t="shared" ca="1" si="47"/>
        <v>-0.45280994901740179</v>
      </c>
      <c r="W150" s="33">
        <f t="shared" ca="1" si="38"/>
        <v>14375</v>
      </c>
      <c r="X150" s="7">
        <f t="shared" ca="1" si="39"/>
        <v>1</v>
      </c>
      <c r="Y150" s="7">
        <f t="shared" ca="1" si="40"/>
        <v>1.167883211678832</v>
      </c>
      <c r="Z150" s="7">
        <f t="shared" ca="1" si="48"/>
        <v>-8.3783449859423001E-2</v>
      </c>
      <c r="AA150" s="33">
        <f t="shared" ca="1" si="41"/>
        <v>14375</v>
      </c>
      <c r="AB150" s="7">
        <f t="shared" ca="1" si="42"/>
        <v>1</v>
      </c>
      <c r="AC150" s="7">
        <f t="shared" ca="1" si="43"/>
        <v>1.167883211678832</v>
      </c>
      <c r="AD150" s="40"/>
      <c r="AE150" s="42"/>
      <c r="AF150" s="34"/>
      <c r="AH150" s="34"/>
    </row>
    <row r="151" spans="1:34" x14ac:dyDescent="0.25">
      <c r="A151" s="1"/>
      <c r="B151" s="25">
        <v>43979</v>
      </c>
      <c r="C151" s="10" t="s">
        <v>995</v>
      </c>
      <c r="D151" s="1">
        <v>535.9</v>
      </c>
      <c r="E151" s="30">
        <v>1250</v>
      </c>
      <c r="F151" s="1">
        <v>580</v>
      </c>
      <c r="G151" s="1">
        <v>16.5</v>
      </c>
      <c r="H151" s="1">
        <v>700</v>
      </c>
      <c r="I151" s="1">
        <v>1.9</v>
      </c>
      <c r="J151" s="1">
        <v>6250</v>
      </c>
      <c r="K151" s="1">
        <v>2500</v>
      </c>
      <c r="L151" s="1">
        <v>1.1000000000000001</v>
      </c>
      <c r="M151" s="1">
        <v>2</v>
      </c>
      <c r="N151" s="1">
        <v>1250</v>
      </c>
      <c r="O151" s="9"/>
      <c r="P151" s="7">
        <f t="shared" ca="1" si="49"/>
        <v>-0.12166666666666666</v>
      </c>
      <c r="Q151" s="7">
        <f t="shared" ca="1" si="36"/>
        <v>-4.8666666666666667E-3</v>
      </c>
      <c r="R151" s="33">
        <f t="shared" ca="1" si="44"/>
        <v>18250</v>
      </c>
      <c r="S151" s="33">
        <f t="shared" ca="1" si="45"/>
        <v>-131750</v>
      </c>
      <c r="T151" s="33">
        <f t="shared" ca="1" si="37"/>
        <v>18250</v>
      </c>
      <c r="U151" s="7">
        <f t="shared" ca="1" si="46"/>
        <v>0.13851992409867173</v>
      </c>
      <c r="V151" s="7">
        <f t="shared" ca="1" si="47"/>
        <v>-0.45280994901740179</v>
      </c>
      <c r="W151" s="33">
        <f t="shared" ca="1" si="38"/>
        <v>18250</v>
      </c>
      <c r="X151" s="7">
        <f t="shared" ca="1" si="39"/>
        <v>1</v>
      </c>
      <c r="Y151" s="7">
        <f t="shared" ca="1" si="40"/>
        <v>1.1385199240986716</v>
      </c>
      <c r="Z151" s="7">
        <f t="shared" ca="1" si="48"/>
        <v>-8.3783449859423001E-2</v>
      </c>
      <c r="AA151" s="33">
        <f t="shared" ca="1" si="41"/>
        <v>18250</v>
      </c>
      <c r="AB151" s="7">
        <f t="shared" ca="1" si="42"/>
        <v>1</v>
      </c>
      <c r="AC151" s="7">
        <f t="shared" ca="1" si="43"/>
        <v>1.1385199240986716</v>
      </c>
      <c r="AD151" s="40"/>
      <c r="AE151" s="42"/>
      <c r="AF151" s="34"/>
      <c r="AH151" s="34"/>
    </row>
    <row r="152" spans="1:34" x14ac:dyDescent="0.25">
      <c r="A152" s="1"/>
      <c r="B152" s="25">
        <v>43979</v>
      </c>
      <c r="C152" s="10" t="s">
        <v>1037</v>
      </c>
      <c r="D152" s="1">
        <v>88.5</v>
      </c>
      <c r="E152" s="30">
        <v>5000</v>
      </c>
      <c r="F152" s="1">
        <v>95</v>
      </c>
      <c r="G152" s="1">
        <v>7.1</v>
      </c>
      <c r="H152" s="1">
        <v>100</v>
      </c>
      <c r="I152" s="1">
        <v>5.35</v>
      </c>
      <c r="J152" s="1">
        <v>335000</v>
      </c>
      <c r="K152" s="1">
        <v>5000</v>
      </c>
      <c r="L152" s="1">
        <v>5.25</v>
      </c>
      <c r="M152" s="1">
        <v>5.35</v>
      </c>
      <c r="N152" s="1">
        <v>5000</v>
      </c>
      <c r="O152" s="9"/>
      <c r="P152" s="7">
        <f t="shared" ca="1" si="49"/>
        <v>-0.35</v>
      </c>
      <c r="Q152" s="7">
        <f t="shared" ca="1" si="36"/>
        <v>-1.3999999999999999E-2</v>
      </c>
      <c r="R152" s="33">
        <f t="shared" ca="1" si="44"/>
        <v>8750</v>
      </c>
      <c r="S152" s="33">
        <f t="shared" ca="1" si="45"/>
        <v>-16250</v>
      </c>
      <c r="T152" s="33">
        <f t="shared" ca="1" si="37"/>
        <v>8750</v>
      </c>
      <c r="U152" s="7">
        <f t="shared" ca="1" si="46"/>
        <v>0.53846153846153844</v>
      </c>
      <c r="V152" s="7">
        <f t="shared" ca="1" si="47"/>
        <v>-0.86991338485597525</v>
      </c>
      <c r="W152" s="33">
        <f t="shared" ca="1" si="38"/>
        <v>8750</v>
      </c>
      <c r="X152" s="7">
        <f t="shared" ca="1" si="39"/>
        <v>1</v>
      </c>
      <c r="Y152" s="7">
        <f t="shared" ca="1" si="40"/>
        <v>1.5384615384615383</v>
      </c>
      <c r="Z152" s="7">
        <f t="shared" ca="1" si="48"/>
        <v>-0.22569547918747704</v>
      </c>
      <c r="AA152" s="33">
        <f t="shared" ca="1" si="41"/>
        <v>8750</v>
      </c>
      <c r="AB152" s="7">
        <f t="shared" ca="1" si="42"/>
        <v>1</v>
      </c>
      <c r="AC152" s="7">
        <f t="shared" ca="1" si="43"/>
        <v>1.5384615384615383</v>
      </c>
      <c r="AD152" s="40"/>
      <c r="AE152" s="42"/>
      <c r="AF152" s="34"/>
      <c r="AH152" s="34"/>
    </row>
    <row r="153" spans="1:34" x14ac:dyDescent="0.25">
      <c r="A153" s="1"/>
      <c r="B153" s="25">
        <v>43979</v>
      </c>
      <c r="C153" s="10" t="s">
        <v>1037</v>
      </c>
      <c r="D153" s="1">
        <v>88.5</v>
      </c>
      <c r="E153" s="30">
        <v>5000</v>
      </c>
      <c r="F153" s="1">
        <v>95</v>
      </c>
      <c r="G153" s="1">
        <v>7.1</v>
      </c>
      <c r="H153" s="1">
        <v>105</v>
      </c>
      <c r="I153" s="1">
        <v>4.3499999999999996</v>
      </c>
      <c r="J153" s="1">
        <v>50000</v>
      </c>
      <c r="K153" s="1">
        <v>10000</v>
      </c>
      <c r="L153" s="1">
        <v>3.85</v>
      </c>
      <c r="M153" s="1">
        <v>4.0999999999999996</v>
      </c>
      <c r="N153" s="1">
        <v>5000</v>
      </c>
      <c r="O153" s="9"/>
      <c r="P153" s="7">
        <f t="shared" ca="1" si="49"/>
        <v>-0.27500000000000002</v>
      </c>
      <c r="Q153" s="7">
        <f t="shared" ca="1" si="36"/>
        <v>-1.1000000000000001E-2</v>
      </c>
      <c r="R153" s="33">
        <f t="shared" ca="1" si="44"/>
        <v>13750</v>
      </c>
      <c r="S153" s="33">
        <f t="shared" ca="1" si="45"/>
        <v>-36250</v>
      </c>
      <c r="T153" s="33">
        <f t="shared" ca="1" si="37"/>
        <v>13750</v>
      </c>
      <c r="U153" s="7">
        <f t="shared" ca="1" si="46"/>
        <v>0.37931034482758619</v>
      </c>
      <c r="V153" s="7">
        <f t="shared" ca="1" si="47"/>
        <v>-0.86991338485597525</v>
      </c>
      <c r="W153" s="33">
        <f t="shared" ca="1" si="38"/>
        <v>13750</v>
      </c>
      <c r="X153" s="7">
        <f t="shared" ca="1" si="39"/>
        <v>1</v>
      </c>
      <c r="Y153" s="7">
        <f t="shared" ca="1" si="40"/>
        <v>1.3793103448275863</v>
      </c>
      <c r="Z153" s="7">
        <f t="shared" ca="1" si="48"/>
        <v>-0.22569547918747704</v>
      </c>
      <c r="AA153" s="33">
        <f t="shared" ca="1" si="41"/>
        <v>13750</v>
      </c>
      <c r="AB153" s="7">
        <f t="shared" ca="1" si="42"/>
        <v>1</v>
      </c>
      <c r="AC153" s="7">
        <f t="shared" ca="1" si="43"/>
        <v>1.3793103448275863</v>
      </c>
      <c r="AD153" s="40"/>
      <c r="AE153" s="42"/>
      <c r="AF153" s="34"/>
      <c r="AH153" s="34"/>
    </row>
    <row r="154" spans="1:34" x14ac:dyDescent="0.25">
      <c r="A154" s="1"/>
      <c r="B154" s="25">
        <v>43979</v>
      </c>
      <c r="C154" s="10" t="s">
        <v>1037</v>
      </c>
      <c r="D154" s="1">
        <v>88.5</v>
      </c>
      <c r="E154" s="30">
        <v>5000</v>
      </c>
      <c r="F154" s="1">
        <v>95</v>
      </c>
      <c r="G154" s="1">
        <v>7.1</v>
      </c>
      <c r="H154" s="1">
        <v>110</v>
      </c>
      <c r="I154" s="1">
        <v>3.1</v>
      </c>
      <c r="J154" s="1">
        <v>110000</v>
      </c>
      <c r="K154" s="1">
        <v>5000</v>
      </c>
      <c r="L154" s="1">
        <v>2.85</v>
      </c>
      <c r="M154" s="1">
        <v>3.2</v>
      </c>
      <c r="N154" s="1">
        <v>5000</v>
      </c>
      <c r="O154" s="9"/>
      <c r="P154" s="7">
        <f t="shared" ca="1" si="49"/>
        <v>-0.26666666666666666</v>
      </c>
      <c r="Q154" s="7">
        <f t="shared" ca="1" si="36"/>
        <v>-1.0666666666666666E-2</v>
      </c>
      <c r="R154" s="33">
        <f t="shared" ca="1" si="44"/>
        <v>19999.999999999996</v>
      </c>
      <c r="S154" s="33">
        <f t="shared" ca="1" si="45"/>
        <v>-55000</v>
      </c>
      <c r="T154" s="33">
        <f t="shared" ca="1" si="37"/>
        <v>19999.999999999996</v>
      </c>
      <c r="U154" s="7">
        <f t="shared" ca="1" si="46"/>
        <v>0.36363636363636359</v>
      </c>
      <c r="V154" s="7">
        <f t="shared" ca="1" si="47"/>
        <v>-0.86991338485597525</v>
      </c>
      <c r="W154" s="33">
        <f t="shared" ca="1" si="38"/>
        <v>19999.999999999996</v>
      </c>
      <c r="X154" s="7">
        <f t="shared" ca="1" si="39"/>
        <v>1</v>
      </c>
      <c r="Y154" s="7">
        <f t="shared" ca="1" si="40"/>
        <v>1.3636363636363635</v>
      </c>
      <c r="Z154" s="7">
        <f t="shared" ca="1" si="48"/>
        <v>-0.22569547918747704</v>
      </c>
      <c r="AA154" s="33">
        <f t="shared" ca="1" si="41"/>
        <v>19999.999999999996</v>
      </c>
      <c r="AB154" s="7">
        <f t="shared" ca="1" si="42"/>
        <v>1</v>
      </c>
      <c r="AC154" s="7">
        <f t="shared" ca="1" si="43"/>
        <v>1.3636363636363635</v>
      </c>
      <c r="AD154" s="40"/>
      <c r="AE154" s="42"/>
      <c r="AF154" s="34"/>
      <c r="AH154" s="34"/>
    </row>
    <row r="155" spans="1:34" x14ac:dyDescent="0.25">
      <c r="A155" s="1"/>
      <c r="B155" s="25">
        <v>43979</v>
      </c>
      <c r="C155" s="10" t="s">
        <v>1037</v>
      </c>
      <c r="D155" s="1">
        <v>88.5</v>
      </c>
      <c r="E155" s="30">
        <v>5000</v>
      </c>
      <c r="F155" s="1">
        <v>95</v>
      </c>
      <c r="G155" s="1">
        <v>7.1</v>
      </c>
      <c r="H155" s="1">
        <v>115</v>
      </c>
      <c r="I155" s="1">
        <v>2.25</v>
      </c>
      <c r="J155" s="1">
        <v>5000</v>
      </c>
      <c r="K155" s="1">
        <v>5000</v>
      </c>
      <c r="L155" s="1">
        <v>2.0499999999999998</v>
      </c>
      <c r="M155" s="1">
        <v>2.6</v>
      </c>
      <c r="N155" s="1">
        <v>40000</v>
      </c>
      <c r="O155" s="9"/>
      <c r="P155" s="7">
        <f t="shared" ca="1" si="49"/>
        <v>-0.24249999999999999</v>
      </c>
      <c r="Q155" s="7">
        <f t="shared" ca="1" si="36"/>
        <v>-9.7000000000000003E-3</v>
      </c>
      <c r="R155" s="33">
        <f t="shared" ca="1" si="44"/>
        <v>24250</v>
      </c>
      <c r="S155" s="33">
        <f t="shared" ca="1" si="45"/>
        <v>-75750</v>
      </c>
      <c r="T155" s="33">
        <f t="shared" ca="1" si="37"/>
        <v>24250</v>
      </c>
      <c r="U155" s="7">
        <f t="shared" ca="1" si="46"/>
        <v>0.32013201320132012</v>
      </c>
      <c r="V155" s="7">
        <f t="shared" ca="1" si="47"/>
        <v>-0.86991338485597525</v>
      </c>
      <c r="W155" s="33">
        <f t="shared" ca="1" si="38"/>
        <v>24250</v>
      </c>
      <c r="X155" s="7">
        <f t="shared" ca="1" si="39"/>
        <v>1</v>
      </c>
      <c r="Y155" s="7">
        <f t="shared" ca="1" si="40"/>
        <v>1.3201320132013201</v>
      </c>
      <c r="Z155" s="7">
        <f t="shared" ca="1" si="48"/>
        <v>-0.22569547918747704</v>
      </c>
      <c r="AA155" s="33">
        <f t="shared" ca="1" si="41"/>
        <v>24250</v>
      </c>
      <c r="AB155" s="7">
        <f t="shared" ca="1" si="42"/>
        <v>1</v>
      </c>
      <c r="AC155" s="7">
        <f t="shared" ca="1" si="43"/>
        <v>1.3201320132013201</v>
      </c>
      <c r="AD155" s="40"/>
      <c r="AE155" s="42"/>
      <c r="AF155" s="34"/>
      <c r="AH155" s="34"/>
    </row>
    <row r="156" spans="1:34" x14ac:dyDescent="0.25">
      <c r="A156" s="1"/>
      <c r="B156" s="25">
        <v>43979</v>
      </c>
      <c r="C156" s="10" t="s">
        <v>1037</v>
      </c>
      <c r="D156" s="1">
        <v>88.5</v>
      </c>
      <c r="E156" s="30">
        <v>5000</v>
      </c>
      <c r="F156" s="1">
        <v>95</v>
      </c>
      <c r="G156" s="1">
        <v>7.1</v>
      </c>
      <c r="H156" s="1">
        <v>120</v>
      </c>
      <c r="I156" s="1">
        <v>1.75</v>
      </c>
      <c r="J156" s="1">
        <v>250000</v>
      </c>
      <c r="K156" s="1">
        <v>65000</v>
      </c>
      <c r="L156" s="1">
        <v>1.7</v>
      </c>
      <c r="M156" s="1">
        <v>1.95</v>
      </c>
      <c r="N156" s="1">
        <v>15000</v>
      </c>
      <c r="O156" s="9"/>
      <c r="P156" s="7">
        <f t="shared" ca="1" si="49"/>
        <v>-0.214</v>
      </c>
      <c r="Q156" s="7">
        <f t="shared" ca="1" si="36"/>
        <v>-8.5599999999999999E-3</v>
      </c>
      <c r="R156" s="33">
        <f t="shared" ca="1" si="44"/>
        <v>26750</v>
      </c>
      <c r="S156" s="33">
        <f t="shared" ca="1" si="45"/>
        <v>-98250</v>
      </c>
      <c r="T156" s="33">
        <f t="shared" ca="1" si="37"/>
        <v>26750</v>
      </c>
      <c r="U156" s="7">
        <f t="shared" ca="1" si="46"/>
        <v>0.27226463104325699</v>
      </c>
      <c r="V156" s="7">
        <f t="shared" ca="1" si="47"/>
        <v>-0.86991338485597525</v>
      </c>
      <c r="W156" s="33">
        <f t="shared" ca="1" si="38"/>
        <v>26750</v>
      </c>
      <c r="X156" s="7">
        <f t="shared" ca="1" si="39"/>
        <v>1</v>
      </c>
      <c r="Y156" s="7">
        <f t="shared" ca="1" si="40"/>
        <v>1.272264631043257</v>
      </c>
      <c r="Z156" s="7">
        <f t="shared" ca="1" si="48"/>
        <v>-0.22569547918747704</v>
      </c>
      <c r="AA156" s="33">
        <f t="shared" ca="1" si="41"/>
        <v>26750</v>
      </c>
      <c r="AB156" s="7">
        <f t="shared" ca="1" si="42"/>
        <v>1</v>
      </c>
      <c r="AC156" s="7">
        <f t="shared" ca="1" si="43"/>
        <v>1.272264631043257</v>
      </c>
      <c r="AD156" s="40"/>
      <c r="AE156" s="42"/>
      <c r="AF156" s="34"/>
      <c r="AH156" s="34"/>
    </row>
    <row r="157" spans="1:34" x14ac:dyDescent="0.25">
      <c r="A157" s="1"/>
      <c r="B157" s="25">
        <v>43979</v>
      </c>
      <c r="C157" s="10" t="s">
        <v>1037</v>
      </c>
      <c r="D157" s="1">
        <v>88.5</v>
      </c>
      <c r="E157" s="30">
        <v>5000</v>
      </c>
      <c r="F157" s="1">
        <v>95</v>
      </c>
      <c r="G157" s="1">
        <v>7.1</v>
      </c>
      <c r="H157" s="1">
        <v>125</v>
      </c>
      <c r="I157" s="1">
        <v>2.6</v>
      </c>
      <c r="J157" s="1">
        <v>5000</v>
      </c>
      <c r="K157" s="1">
        <v>5000</v>
      </c>
      <c r="L157" s="1">
        <v>0.4</v>
      </c>
      <c r="M157" s="1">
        <v>2.0499999999999998</v>
      </c>
      <c r="N157" s="1">
        <v>90000</v>
      </c>
      <c r="O157" s="9"/>
      <c r="P157" s="7">
        <f t="shared" ca="1" si="49"/>
        <v>-0.15</v>
      </c>
      <c r="Q157" s="7">
        <f t="shared" ca="1" si="36"/>
        <v>-6.0000000000000001E-3</v>
      </c>
      <c r="R157" s="33">
        <f t="shared" ca="1" si="44"/>
        <v>22500</v>
      </c>
      <c r="S157" s="33">
        <f t="shared" ca="1" si="45"/>
        <v>-127500</v>
      </c>
      <c r="T157" s="33">
        <f t="shared" ca="1" si="37"/>
        <v>22500</v>
      </c>
      <c r="U157" s="7">
        <f t="shared" ca="1" si="46"/>
        <v>0.17647058823529413</v>
      </c>
      <c r="V157" s="7">
        <f t="shared" ca="1" si="47"/>
        <v>-0.86991338485597525</v>
      </c>
      <c r="W157" s="33">
        <f t="shared" ca="1" si="38"/>
        <v>22500</v>
      </c>
      <c r="X157" s="7">
        <f t="shared" ca="1" si="39"/>
        <v>1</v>
      </c>
      <c r="Y157" s="7">
        <f t="shared" ca="1" si="40"/>
        <v>1.1764705882352942</v>
      </c>
      <c r="Z157" s="7">
        <f t="shared" ca="1" si="48"/>
        <v>-0.22569547918747704</v>
      </c>
      <c r="AA157" s="33">
        <f t="shared" ca="1" si="41"/>
        <v>22500</v>
      </c>
      <c r="AB157" s="7">
        <f t="shared" ca="1" si="42"/>
        <v>1</v>
      </c>
      <c r="AC157" s="7">
        <f t="shared" ca="1" si="43"/>
        <v>1.1764705882352942</v>
      </c>
      <c r="AD157" s="40"/>
      <c r="AE157" s="42"/>
      <c r="AF157" s="34"/>
      <c r="AH157" s="34"/>
    </row>
    <row r="158" spans="1:34" x14ac:dyDescent="0.25">
      <c r="A158" s="1"/>
      <c r="B158" s="25">
        <v>43979</v>
      </c>
      <c r="C158" s="10" t="s">
        <v>1037</v>
      </c>
      <c r="D158" s="1">
        <v>88.5</v>
      </c>
      <c r="E158" s="30">
        <v>5000</v>
      </c>
      <c r="F158" s="1">
        <v>95</v>
      </c>
      <c r="G158" s="1">
        <v>7.1</v>
      </c>
      <c r="H158" s="1">
        <v>130</v>
      </c>
      <c r="I158" s="1">
        <v>1</v>
      </c>
      <c r="J158" s="1">
        <v>15000</v>
      </c>
      <c r="K158" s="1">
        <v>5000</v>
      </c>
      <c r="L158" s="1">
        <v>0.85</v>
      </c>
      <c r="M158" s="1">
        <v>1</v>
      </c>
      <c r="N158" s="1">
        <v>15000</v>
      </c>
      <c r="O158" s="9"/>
      <c r="P158" s="7">
        <f t="shared" ca="1" si="49"/>
        <v>-0.17428571428571427</v>
      </c>
      <c r="Q158" s="7">
        <f t="shared" ca="1" si="36"/>
        <v>-6.9714285714285703E-3</v>
      </c>
      <c r="R158" s="33">
        <f t="shared" ca="1" si="44"/>
        <v>30500</v>
      </c>
      <c r="S158" s="33">
        <f t="shared" ca="1" si="45"/>
        <v>-144500</v>
      </c>
      <c r="T158" s="33">
        <f t="shared" ca="1" si="37"/>
        <v>30500</v>
      </c>
      <c r="U158" s="7">
        <f t="shared" ca="1" si="46"/>
        <v>0.21107266435986158</v>
      </c>
      <c r="V158" s="7">
        <f t="shared" ca="1" si="47"/>
        <v>-0.86991338485597525</v>
      </c>
      <c r="W158" s="33">
        <f t="shared" ca="1" si="38"/>
        <v>30500</v>
      </c>
      <c r="X158" s="7">
        <f t="shared" ca="1" si="39"/>
        <v>1</v>
      </c>
      <c r="Y158" s="7">
        <f t="shared" ca="1" si="40"/>
        <v>1.2110726643598615</v>
      </c>
      <c r="Z158" s="7">
        <f t="shared" ca="1" si="48"/>
        <v>-0.22569547918747704</v>
      </c>
      <c r="AA158" s="33">
        <f t="shared" ca="1" si="41"/>
        <v>30500</v>
      </c>
      <c r="AB158" s="7">
        <f t="shared" ca="1" si="42"/>
        <v>1</v>
      </c>
      <c r="AC158" s="7">
        <f t="shared" ca="1" si="43"/>
        <v>1.2110726643598615</v>
      </c>
      <c r="AD158" s="40"/>
      <c r="AE158" s="42"/>
      <c r="AF158" s="34"/>
      <c r="AH158" s="34"/>
    </row>
    <row r="159" spans="1:34" x14ac:dyDescent="0.25">
      <c r="A159" s="1"/>
      <c r="B159" s="25">
        <v>43979</v>
      </c>
      <c r="C159" s="10" t="s">
        <v>1037</v>
      </c>
      <c r="D159" s="1">
        <v>88.5</v>
      </c>
      <c r="E159" s="30">
        <v>5000</v>
      </c>
      <c r="F159" s="1">
        <v>95</v>
      </c>
      <c r="G159" s="1">
        <v>7.1</v>
      </c>
      <c r="H159" s="1">
        <v>135</v>
      </c>
      <c r="I159" s="1">
        <v>1.1000000000000001</v>
      </c>
      <c r="J159" s="1">
        <v>5000</v>
      </c>
      <c r="K159" s="1">
        <v>5000</v>
      </c>
      <c r="L159" s="1">
        <v>0.55000000000000004</v>
      </c>
      <c r="M159" s="1">
        <v>0.8</v>
      </c>
      <c r="N159" s="1">
        <v>5000</v>
      </c>
      <c r="O159" s="9"/>
      <c r="P159" s="7">
        <f t="shared" ca="1" si="49"/>
        <v>-0.15</v>
      </c>
      <c r="Q159" s="7">
        <f t="shared" ca="1" si="36"/>
        <v>-6.0000000000000001E-3</v>
      </c>
      <c r="R159" s="33">
        <f t="shared" ca="1" si="44"/>
        <v>30000</v>
      </c>
      <c r="S159" s="33">
        <f t="shared" ca="1" si="45"/>
        <v>-170000</v>
      </c>
      <c r="T159" s="33">
        <f t="shared" ca="1" si="37"/>
        <v>30000</v>
      </c>
      <c r="U159" s="7">
        <f t="shared" ca="1" si="46"/>
        <v>0.17647058823529413</v>
      </c>
      <c r="V159" s="7">
        <f t="shared" ca="1" si="47"/>
        <v>-0.86991338485597525</v>
      </c>
      <c r="W159" s="33">
        <f t="shared" ca="1" si="38"/>
        <v>30000</v>
      </c>
      <c r="X159" s="7">
        <f t="shared" ca="1" si="39"/>
        <v>1</v>
      </c>
      <c r="Y159" s="7">
        <f t="shared" ca="1" si="40"/>
        <v>1.1764705882352942</v>
      </c>
      <c r="Z159" s="7">
        <f t="shared" ca="1" si="48"/>
        <v>-0.22569547918747704</v>
      </c>
      <c r="AA159" s="33">
        <f t="shared" ca="1" si="41"/>
        <v>30000</v>
      </c>
      <c r="AB159" s="7">
        <f t="shared" ca="1" si="42"/>
        <v>1</v>
      </c>
      <c r="AC159" s="7">
        <f t="shared" ca="1" si="43"/>
        <v>1.1764705882352942</v>
      </c>
      <c r="AD159" s="40"/>
      <c r="AE159" s="42"/>
      <c r="AF159" s="34"/>
      <c r="AH159" s="34"/>
    </row>
    <row r="160" spans="1:34" x14ac:dyDescent="0.25">
      <c r="A160" s="1"/>
      <c r="B160" s="25">
        <v>43979</v>
      </c>
      <c r="C160" s="10" t="s">
        <v>1037</v>
      </c>
      <c r="D160" s="1">
        <v>88.5</v>
      </c>
      <c r="E160" s="30">
        <v>5000</v>
      </c>
      <c r="F160" s="1">
        <v>95</v>
      </c>
      <c r="G160" s="1">
        <v>7.1</v>
      </c>
      <c r="H160" s="1">
        <v>150</v>
      </c>
      <c r="I160" s="1">
        <v>0.5</v>
      </c>
      <c r="J160" s="1">
        <v>30000</v>
      </c>
      <c r="K160" s="1">
        <v>5000</v>
      </c>
      <c r="L160" s="1">
        <v>0.3</v>
      </c>
      <c r="M160" s="1">
        <v>0.45</v>
      </c>
      <c r="N160" s="1">
        <v>15000</v>
      </c>
      <c r="O160" s="9"/>
      <c r="P160" s="7">
        <f t="shared" ca="1" si="49"/>
        <v>-0.12</v>
      </c>
      <c r="Q160" s="7">
        <f t="shared" ca="1" si="36"/>
        <v>-4.7999999999999996E-3</v>
      </c>
      <c r="R160" s="33">
        <f t="shared" ca="1" si="44"/>
        <v>33000</v>
      </c>
      <c r="S160" s="33">
        <f t="shared" ca="1" si="45"/>
        <v>-242000</v>
      </c>
      <c r="T160" s="33">
        <f t="shared" ca="1" si="37"/>
        <v>33000</v>
      </c>
      <c r="U160" s="7">
        <f t="shared" ca="1" si="46"/>
        <v>0.13636363636363635</v>
      </c>
      <c r="V160" s="7">
        <f t="shared" ca="1" si="47"/>
        <v>-0.86991338485597525</v>
      </c>
      <c r="W160" s="33">
        <f t="shared" ca="1" si="38"/>
        <v>33000</v>
      </c>
      <c r="X160" s="7">
        <f t="shared" ca="1" si="39"/>
        <v>1</v>
      </c>
      <c r="Y160" s="7">
        <f t="shared" ca="1" si="40"/>
        <v>1.1363636363636362</v>
      </c>
      <c r="Z160" s="7">
        <f t="shared" ca="1" si="48"/>
        <v>-0.22569547918747704</v>
      </c>
      <c r="AA160" s="33">
        <f t="shared" ca="1" si="41"/>
        <v>33000</v>
      </c>
      <c r="AB160" s="7">
        <f t="shared" ca="1" si="42"/>
        <v>1</v>
      </c>
      <c r="AC160" s="7">
        <f t="shared" ca="1" si="43"/>
        <v>1.1363636363636362</v>
      </c>
      <c r="AD160" s="40"/>
      <c r="AE160" s="42"/>
      <c r="AF160" s="34"/>
      <c r="AH160" s="34"/>
    </row>
    <row r="161" spans="1:34" x14ac:dyDescent="0.25">
      <c r="A161" s="1"/>
      <c r="B161" s="25">
        <v>43979</v>
      </c>
      <c r="C161" s="10" t="s">
        <v>1071</v>
      </c>
      <c r="D161" s="1">
        <v>31.75</v>
      </c>
      <c r="E161" s="30">
        <v>11700</v>
      </c>
      <c r="F161" s="1">
        <v>34</v>
      </c>
      <c r="G161" s="1">
        <v>1.35</v>
      </c>
      <c r="H161" s="1">
        <v>35</v>
      </c>
      <c r="I161" s="1">
        <v>1</v>
      </c>
      <c r="J161" s="1">
        <v>1029600</v>
      </c>
      <c r="K161" s="1">
        <v>11700</v>
      </c>
      <c r="L161" s="1">
        <v>0.95</v>
      </c>
      <c r="M161" s="1">
        <v>1</v>
      </c>
      <c r="N161" s="1">
        <v>46800</v>
      </c>
      <c r="O161" s="9"/>
      <c r="P161" s="7">
        <f t="shared" ca="1" si="49"/>
        <v>-0.35000000000000009</v>
      </c>
      <c r="Q161" s="7">
        <f t="shared" ca="1" si="36"/>
        <v>-1.4000000000000004E-2</v>
      </c>
      <c r="R161" s="33">
        <f t="shared" ca="1" si="44"/>
        <v>4095.0000000000009</v>
      </c>
      <c r="S161" s="33">
        <f t="shared" ca="1" si="45"/>
        <v>-7604.9999999999991</v>
      </c>
      <c r="T161" s="33">
        <f t="shared" ca="1" si="37"/>
        <v>4095.0000000000009</v>
      </c>
      <c r="U161" s="7">
        <f t="shared" ca="1" si="46"/>
        <v>0.53846153846153866</v>
      </c>
      <c r="V161" s="7">
        <f t="shared" ca="1" si="47"/>
        <v>-0.43466426280042653</v>
      </c>
      <c r="W161" s="33">
        <f t="shared" ca="1" si="38"/>
        <v>4095.0000000000009</v>
      </c>
      <c r="X161" s="7">
        <f t="shared" ca="1" si="39"/>
        <v>1</v>
      </c>
      <c r="Y161" s="7">
        <f t="shared" ca="1" si="40"/>
        <v>1.5384615384615388</v>
      </c>
      <c r="Z161" s="7">
        <f t="shared" ca="1" si="48"/>
        <v>-0.10762688427394347</v>
      </c>
      <c r="AA161" s="33">
        <f t="shared" ca="1" si="41"/>
        <v>4095.0000000000009</v>
      </c>
      <c r="AB161" s="7">
        <f t="shared" ca="1" si="42"/>
        <v>1</v>
      </c>
      <c r="AC161" s="7">
        <f t="shared" ca="1" si="43"/>
        <v>1.5384615384615388</v>
      </c>
      <c r="AD161" s="40"/>
      <c r="AE161" s="42"/>
      <c r="AF161" s="34"/>
      <c r="AH161" s="34"/>
    </row>
    <row r="162" spans="1:34" x14ac:dyDescent="0.25">
      <c r="A162" s="1"/>
      <c r="B162" s="25">
        <v>43979</v>
      </c>
      <c r="C162" s="10" t="s">
        <v>1071</v>
      </c>
      <c r="D162" s="1">
        <v>31.75</v>
      </c>
      <c r="E162" s="30">
        <v>11700</v>
      </c>
      <c r="F162" s="1">
        <v>34</v>
      </c>
      <c r="G162" s="1">
        <v>1.35</v>
      </c>
      <c r="H162" s="1">
        <v>36</v>
      </c>
      <c r="I162" s="1">
        <v>0.7</v>
      </c>
      <c r="J162" s="1">
        <v>210600</v>
      </c>
      <c r="K162" s="1">
        <v>11700</v>
      </c>
      <c r="L162" s="1">
        <v>0.7</v>
      </c>
      <c r="M162" s="1">
        <v>0.8</v>
      </c>
      <c r="N162" s="1">
        <v>23400</v>
      </c>
      <c r="O162" s="9"/>
      <c r="P162" s="7">
        <f t="shared" ca="1" si="49"/>
        <v>-0.32500000000000007</v>
      </c>
      <c r="Q162" s="7">
        <f t="shared" ca="1" si="36"/>
        <v>-1.3000000000000003E-2</v>
      </c>
      <c r="R162" s="33">
        <f t="shared" ca="1" si="44"/>
        <v>7605.0000000000018</v>
      </c>
      <c r="S162" s="33">
        <f t="shared" ca="1" si="45"/>
        <v>-15794.999999999998</v>
      </c>
      <c r="T162" s="33">
        <f t="shared" ca="1" si="37"/>
        <v>7605.0000000000018</v>
      </c>
      <c r="U162" s="7">
        <f t="shared" ca="1" si="46"/>
        <v>0.48148148148148168</v>
      </c>
      <c r="V162" s="7">
        <f t="shared" ca="1" si="47"/>
        <v>-0.43466426280042653</v>
      </c>
      <c r="W162" s="33">
        <f t="shared" ca="1" si="38"/>
        <v>7605.0000000000018</v>
      </c>
      <c r="X162" s="7">
        <f t="shared" ca="1" si="39"/>
        <v>1</v>
      </c>
      <c r="Y162" s="7">
        <f t="shared" ca="1" si="40"/>
        <v>1.4814814814814816</v>
      </c>
      <c r="Z162" s="7">
        <f t="shared" ca="1" si="48"/>
        <v>-0.10762688427394347</v>
      </c>
      <c r="AA162" s="33">
        <f t="shared" ca="1" si="41"/>
        <v>7605.0000000000018</v>
      </c>
      <c r="AB162" s="7">
        <f t="shared" ca="1" si="42"/>
        <v>1</v>
      </c>
      <c r="AC162" s="7">
        <f t="shared" ca="1" si="43"/>
        <v>1.4814814814814816</v>
      </c>
      <c r="AD162" s="40"/>
      <c r="AE162" s="42"/>
      <c r="AF162" s="34"/>
      <c r="AH162" s="34"/>
    </row>
    <row r="163" spans="1:34" x14ac:dyDescent="0.25">
      <c r="A163" s="1"/>
      <c r="B163" s="25">
        <v>43979</v>
      </c>
      <c r="C163" s="10" t="s">
        <v>1071</v>
      </c>
      <c r="D163" s="1">
        <v>31.75</v>
      </c>
      <c r="E163" s="30">
        <v>11700</v>
      </c>
      <c r="F163" s="1">
        <v>34</v>
      </c>
      <c r="G163" s="1">
        <v>1.35</v>
      </c>
      <c r="H163" s="1">
        <v>38</v>
      </c>
      <c r="I163" s="1">
        <v>0.4</v>
      </c>
      <c r="J163" s="1">
        <v>70200</v>
      </c>
      <c r="K163" s="1">
        <v>11700</v>
      </c>
      <c r="L163" s="1">
        <v>0.35</v>
      </c>
      <c r="M163" s="1">
        <v>0.45</v>
      </c>
      <c r="N163" s="1">
        <v>46800</v>
      </c>
      <c r="O163" s="9"/>
      <c r="P163" s="7">
        <f t="shared" ca="1" si="49"/>
        <v>-0.23750000000000002</v>
      </c>
      <c r="Q163" s="7">
        <f t="shared" ca="1" si="36"/>
        <v>-9.5000000000000015E-3</v>
      </c>
      <c r="R163" s="33">
        <f t="shared" ca="1" si="44"/>
        <v>11115</v>
      </c>
      <c r="S163" s="33">
        <f t="shared" ca="1" si="45"/>
        <v>-35685</v>
      </c>
      <c r="T163" s="33">
        <f t="shared" ca="1" si="37"/>
        <v>11115</v>
      </c>
      <c r="U163" s="7">
        <f t="shared" ca="1" si="46"/>
        <v>0.31147540983606559</v>
      </c>
      <c r="V163" s="7">
        <f t="shared" ca="1" si="47"/>
        <v>-0.43466426280042653</v>
      </c>
      <c r="W163" s="33">
        <f t="shared" ca="1" si="38"/>
        <v>11115</v>
      </c>
      <c r="X163" s="7">
        <f t="shared" ca="1" si="39"/>
        <v>1</v>
      </c>
      <c r="Y163" s="7">
        <f t="shared" ca="1" si="40"/>
        <v>1.3114754098360657</v>
      </c>
      <c r="Z163" s="7">
        <f t="shared" ca="1" si="48"/>
        <v>-0.10762688427394347</v>
      </c>
      <c r="AA163" s="33">
        <f t="shared" ca="1" si="41"/>
        <v>11115</v>
      </c>
      <c r="AB163" s="7">
        <f t="shared" ca="1" si="42"/>
        <v>1</v>
      </c>
      <c r="AC163" s="7">
        <f t="shared" ca="1" si="43"/>
        <v>1.3114754098360657</v>
      </c>
      <c r="AD163" s="40"/>
      <c r="AE163" s="42"/>
      <c r="AF163" s="34"/>
      <c r="AH163" s="34"/>
    </row>
    <row r="164" spans="1:34" x14ac:dyDescent="0.25">
      <c r="A164" s="1"/>
      <c r="B164" s="25">
        <v>43979</v>
      </c>
      <c r="C164" s="10" t="s">
        <v>1071</v>
      </c>
      <c r="D164" s="1">
        <v>31.75</v>
      </c>
      <c r="E164" s="30">
        <v>11700</v>
      </c>
      <c r="F164" s="1">
        <v>34</v>
      </c>
      <c r="G164" s="1">
        <v>1.35</v>
      </c>
      <c r="H164" s="1">
        <v>40</v>
      </c>
      <c r="I164" s="1">
        <v>0.3</v>
      </c>
      <c r="J164" s="1">
        <v>432900</v>
      </c>
      <c r="K164" s="1">
        <v>327600</v>
      </c>
      <c r="L164" s="1">
        <v>0.2</v>
      </c>
      <c r="M164" s="1">
        <v>0.3</v>
      </c>
      <c r="N164" s="1">
        <v>81900</v>
      </c>
      <c r="O164" s="9"/>
      <c r="P164" s="7">
        <f t="shared" ca="1" si="49"/>
        <v>-0.17500000000000002</v>
      </c>
      <c r="Q164" s="7">
        <f t="shared" ca="1" si="36"/>
        <v>-7.000000000000001E-3</v>
      </c>
      <c r="R164" s="33">
        <f t="shared" ca="1" si="44"/>
        <v>12285</v>
      </c>
      <c r="S164" s="33">
        <f t="shared" ca="1" si="45"/>
        <v>-57915</v>
      </c>
      <c r="T164" s="33">
        <f t="shared" ca="1" si="37"/>
        <v>12285</v>
      </c>
      <c r="U164" s="7">
        <f t="shared" ca="1" si="46"/>
        <v>0.21212121212121213</v>
      </c>
      <c r="V164" s="7">
        <f t="shared" ca="1" si="47"/>
        <v>-0.43466426280042653</v>
      </c>
      <c r="W164" s="33">
        <f t="shared" ca="1" si="38"/>
        <v>12285</v>
      </c>
      <c r="X164" s="7">
        <f t="shared" ca="1" si="39"/>
        <v>1</v>
      </c>
      <c r="Y164" s="7">
        <f t="shared" ca="1" si="40"/>
        <v>1.2121212121212122</v>
      </c>
      <c r="Z164" s="7">
        <f t="shared" ca="1" si="48"/>
        <v>-0.10762688427394347</v>
      </c>
      <c r="AA164" s="33">
        <f t="shared" ca="1" si="41"/>
        <v>12285</v>
      </c>
      <c r="AB164" s="7">
        <f t="shared" ca="1" si="42"/>
        <v>1</v>
      </c>
      <c r="AC164" s="7">
        <f t="shared" ca="1" si="43"/>
        <v>1.2121212121212122</v>
      </c>
      <c r="AD164" s="40"/>
      <c r="AE164" s="42"/>
      <c r="AF164" s="34"/>
      <c r="AH164" s="34"/>
    </row>
    <row r="165" spans="1:34" x14ac:dyDescent="0.25">
      <c r="A165" s="1"/>
      <c r="B165" s="25">
        <v>43979</v>
      </c>
      <c r="C165" s="10" t="s">
        <v>17</v>
      </c>
      <c r="D165" s="1">
        <v>80.599999999999994</v>
      </c>
      <c r="E165" s="30">
        <v>6000</v>
      </c>
      <c r="F165" s="1">
        <v>90</v>
      </c>
      <c r="G165" s="1">
        <v>1.4</v>
      </c>
      <c r="H165" s="1">
        <v>95</v>
      </c>
      <c r="I165" s="1">
        <v>0.75</v>
      </c>
      <c r="J165" s="1">
        <v>30000</v>
      </c>
      <c r="K165" s="1">
        <v>6000</v>
      </c>
      <c r="L165" s="1">
        <v>0.7</v>
      </c>
      <c r="M165" s="1">
        <v>0.85</v>
      </c>
      <c r="N165" s="1">
        <v>6000</v>
      </c>
      <c r="O165" s="9"/>
      <c r="P165" s="7">
        <f t="shared" ca="1" si="49"/>
        <v>-0.12999999999999998</v>
      </c>
      <c r="Q165" s="7">
        <f t="shared" ca="1" si="36"/>
        <v>-5.1999999999999989E-3</v>
      </c>
      <c r="R165" s="33">
        <f t="shared" ca="1" si="44"/>
        <v>3899.9999999999995</v>
      </c>
      <c r="S165" s="33">
        <f t="shared" ca="1" si="45"/>
        <v>-26100</v>
      </c>
      <c r="T165" s="33">
        <f t="shared" ca="1" si="37"/>
        <v>3899.9999999999995</v>
      </c>
      <c r="U165" s="7">
        <f t="shared" ca="1" si="46"/>
        <v>0.14942528735632182</v>
      </c>
      <c r="V165" s="7">
        <f t="shared" ca="1" si="47"/>
        <v>-0.59795594689298481</v>
      </c>
      <c r="W165" s="33">
        <f t="shared" ca="1" si="38"/>
        <v>3899.9999999999995</v>
      </c>
      <c r="X165" s="7">
        <f t="shared" ca="1" si="39"/>
        <v>1</v>
      </c>
      <c r="Y165" s="7">
        <f t="shared" ca="1" si="40"/>
        <v>1.1494252873563218</v>
      </c>
      <c r="Z165" s="7">
        <f t="shared" ca="1" si="48"/>
        <v>-0.19160382151221578</v>
      </c>
      <c r="AA165" s="33">
        <f t="shared" ca="1" si="41"/>
        <v>3899.9999999999995</v>
      </c>
      <c r="AB165" s="7">
        <f t="shared" ca="1" si="42"/>
        <v>1</v>
      </c>
      <c r="AC165" s="7">
        <f t="shared" ca="1" si="43"/>
        <v>1.1494252873563218</v>
      </c>
      <c r="AD165" s="40"/>
      <c r="AE165" s="42"/>
      <c r="AF165" s="34"/>
      <c r="AH165" s="34"/>
    </row>
    <row r="166" spans="1:34" x14ac:dyDescent="0.25">
      <c r="A166" s="1"/>
      <c r="B166" s="25">
        <v>43979</v>
      </c>
      <c r="C166" s="10" t="s">
        <v>1123</v>
      </c>
      <c r="D166" s="1">
        <v>95.95</v>
      </c>
      <c r="E166" s="30">
        <v>4800</v>
      </c>
      <c r="F166" s="1">
        <v>105</v>
      </c>
      <c r="G166" s="1">
        <v>1.5</v>
      </c>
      <c r="H166" s="1">
        <v>110</v>
      </c>
      <c r="I166" s="1">
        <v>0.75</v>
      </c>
      <c r="J166" s="1">
        <v>297600</v>
      </c>
      <c r="K166" s="1">
        <v>14400</v>
      </c>
      <c r="L166" s="1">
        <v>0.7</v>
      </c>
      <c r="M166" s="1">
        <v>0.8</v>
      </c>
      <c r="N166" s="1">
        <v>9600</v>
      </c>
      <c r="O166" s="9"/>
      <c r="P166" s="7">
        <f t="shared" ca="1" si="49"/>
        <v>-0.15</v>
      </c>
      <c r="Q166" s="7">
        <f t="shared" ca="1" si="36"/>
        <v>-6.0000000000000001E-3</v>
      </c>
      <c r="R166" s="33">
        <f t="shared" ca="1" si="44"/>
        <v>3600</v>
      </c>
      <c r="S166" s="33">
        <f t="shared" ca="1" si="45"/>
        <v>-20400</v>
      </c>
      <c r="T166" s="33">
        <f t="shared" ca="1" si="37"/>
        <v>3600</v>
      </c>
      <c r="U166" s="7">
        <f t="shared" ca="1" si="46"/>
        <v>0.17647058823529413</v>
      </c>
      <c r="V166" s="7">
        <f t="shared" ca="1" si="47"/>
        <v>-0.42448037422165191</v>
      </c>
      <c r="W166" s="33">
        <f t="shared" ca="1" si="38"/>
        <v>3600</v>
      </c>
      <c r="X166" s="7">
        <f t="shared" ca="1" si="39"/>
        <v>1</v>
      </c>
      <c r="Y166" s="7">
        <f t="shared" ca="1" si="40"/>
        <v>1.1764705882352942</v>
      </c>
      <c r="Z166" s="7">
        <f t="shared" ca="1" si="48"/>
        <v>-7.7515991017653676E-2</v>
      </c>
      <c r="AA166" s="33">
        <f t="shared" ca="1" si="41"/>
        <v>3600</v>
      </c>
      <c r="AB166" s="7">
        <f t="shared" ca="1" si="42"/>
        <v>1</v>
      </c>
      <c r="AC166" s="7">
        <f t="shared" ca="1" si="43"/>
        <v>1.1764705882352942</v>
      </c>
      <c r="AD166" s="40"/>
      <c r="AE166" s="42"/>
      <c r="AF166" s="34"/>
      <c r="AH166" s="34"/>
    </row>
    <row r="167" spans="1:34" x14ac:dyDescent="0.25">
      <c r="A167" s="1"/>
      <c r="B167" s="25">
        <v>43979</v>
      </c>
      <c r="C167" s="10" t="s">
        <v>1139</v>
      </c>
      <c r="D167" s="1">
        <v>79.75</v>
      </c>
      <c r="E167" s="30">
        <v>4100</v>
      </c>
      <c r="F167" s="1">
        <v>85</v>
      </c>
      <c r="G167" s="1">
        <v>1.4</v>
      </c>
      <c r="H167" s="1">
        <v>95</v>
      </c>
      <c r="I167" s="1">
        <v>0.3</v>
      </c>
      <c r="J167" s="1">
        <v>28700</v>
      </c>
      <c r="K167" s="1">
        <v>8200</v>
      </c>
      <c r="L167" s="1">
        <v>0.35</v>
      </c>
      <c r="M167" s="1">
        <v>0.55000000000000004</v>
      </c>
      <c r="N167" s="1">
        <v>4100</v>
      </c>
      <c r="O167" s="9"/>
      <c r="P167" s="7">
        <f t="shared" ca="1" si="49"/>
        <v>-0.10999999999999999</v>
      </c>
      <c r="Q167" s="7">
        <f t="shared" ca="1" si="36"/>
        <v>-4.3999999999999994E-3</v>
      </c>
      <c r="R167" s="33">
        <f t="shared" ca="1" si="44"/>
        <v>4509.9999999999991</v>
      </c>
      <c r="S167" s="33">
        <f t="shared" ca="1" si="45"/>
        <v>-36490</v>
      </c>
      <c r="T167" s="33">
        <f t="shared" ca="1" si="37"/>
        <v>4509.9999999999991</v>
      </c>
      <c r="U167" s="7">
        <f t="shared" ca="1" si="46"/>
        <v>0.1235955056179775</v>
      </c>
      <c r="V167" s="7">
        <f t="shared" ca="1" si="47"/>
        <v>-0.58081799558602576</v>
      </c>
      <c r="W167" s="33">
        <f t="shared" ca="1" si="38"/>
        <v>4509.9999999999991</v>
      </c>
      <c r="X167" s="7">
        <f t="shared" ca="1" si="39"/>
        <v>1</v>
      </c>
      <c r="Y167" s="7">
        <f t="shared" ca="1" si="40"/>
        <v>1.1235955056179776</v>
      </c>
      <c r="Z167" s="7">
        <f t="shared" ca="1" si="48"/>
        <v>-0.15438888836733589</v>
      </c>
      <c r="AA167" s="33">
        <f t="shared" ca="1" si="41"/>
        <v>4509.9999999999991</v>
      </c>
      <c r="AB167" s="7">
        <f t="shared" ca="1" si="42"/>
        <v>1</v>
      </c>
      <c r="AC167" s="7">
        <f t="shared" ca="1" si="43"/>
        <v>1.1235955056179776</v>
      </c>
      <c r="AD167" s="40"/>
      <c r="AE167" s="42"/>
      <c r="AF167" s="34"/>
      <c r="AH167" s="34"/>
    </row>
    <row r="168" spans="1:34" x14ac:dyDescent="0.25">
      <c r="A168" s="1"/>
      <c r="B168" s="25">
        <v>43979</v>
      </c>
      <c r="C168" s="10" t="s">
        <v>1190</v>
      </c>
      <c r="D168" s="1">
        <v>242.3</v>
      </c>
      <c r="E168" s="30">
        <v>3000</v>
      </c>
      <c r="F168" s="1">
        <v>260</v>
      </c>
      <c r="G168" s="1">
        <v>5.7</v>
      </c>
      <c r="H168" s="1">
        <v>280</v>
      </c>
      <c r="I168" s="1">
        <v>2</v>
      </c>
      <c r="J168" s="1">
        <v>15000</v>
      </c>
      <c r="K168" s="1">
        <v>54000</v>
      </c>
      <c r="L168" s="1">
        <v>0.75</v>
      </c>
      <c r="M168" s="1">
        <v>2.25</v>
      </c>
      <c r="N168" s="1">
        <v>3000</v>
      </c>
      <c r="O168" s="9"/>
      <c r="P168" s="7">
        <f t="shared" ca="1" si="49"/>
        <v>-0.185</v>
      </c>
      <c r="Q168" s="7">
        <f t="shared" ref="Q168:Q231" ca="1" si="50">P168/($B168-TODAY())</f>
        <v>-7.4000000000000003E-3</v>
      </c>
      <c r="R168" s="33">
        <f t="shared" ca="1" si="44"/>
        <v>11100</v>
      </c>
      <c r="S168" s="33">
        <f t="shared" ca="1" si="45"/>
        <v>-48900</v>
      </c>
      <c r="T168" s="33">
        <f t="shared" ref="T168:T231" ca="1" si="51">R168</f>
        <v>11100</v>
      </c>
      <c r="U168" s="7">
        <f t="shared" ca="1" si="46"/>
        <v>0.22699386503067484</v>
      </c>
      <c r="V168" s="7">
        <f t="shared" ca="1" si="47"/>
        <v>-0.40121761481877122</v>
      </c>
      <c r="W168" s="33">
        <f t="shared" ref="W168:W231" ca="1" si="52">-(MAX(($F168-MAX($D168*(1+V168),$H168)),0)*$E168-$R168)</f>
        <v>11100</v>
      </c>
      <c r="X168" s="7">
        <f t="shared" ref="X168:X231" ca="1" si="53">W168/$R168</f>
        <v>1</v>
      </c>
      <c r="Y168" s="7">
        <f t="shared" ref="Y168:Y231" ca="1" si="54">$U168+X168</f>
        <v>1.2269938650306749</v>
      </c>
      <c r="Z168" s="7">
        <f t="shared" ca="1" si="48"/>
        <v>-7.0108008972711591E-2</v>
      </c>
      <c r="AA168" s="33">
        <f t="shared" ref="AA168:AA231" ca="1" si="55">-(MAX(($F168-MAX($D168*(1+Z168),$H168)),0)*$E168-$R168)</f>
        <v>11100</v>
      </c>
      <c r="AB168" s="7">
        <f t="shared" ref="AB168:AB231" ca="1" si="56">AA168/$R168</f>
        <v>1</v>
      </c>
      <c r="AC168" s="7">
        <f t="shared" ref="AC168:AC231" ca="1" si="57">$U168+AB168</f>
        <v>1.2269938650306749</v>
      </c>
      <c r="AD168" s="40"/>
      <c r="AE168" s="42"/>
      <c r="AF168" s="34"/>
      <c r="AH168" s="34"/>
    </row>
    <row r="169" spans="1:34" x14ac:dyDescent="0.25">
      <c r="A169" s="1"/>
      <c r="B169" s="25">
        <v>43979</v>
      </c>
      <c r="C169" s="10" t="s">
        <v>21</v>
      </c>
      <c r="D169" s="1">
        <v>95.5</v>
      </c>
      <c r="E169" s="30">
        <v>6200</v>
      </c>
      <c r="F169" s="1">
        <v>105</v>
      </c>
      <c r="G169" s="1">
        <v>2.75</v>
      </c>
      <c r="H169" s="1">
        <v>110</v>
      </c>
      <c r="I169" s="1">
        <v>1.8</v>
      </c>
      <c r="J169" s="1">
        <v>198400</v>
      </c>
      <c r="K169" s="1">
        <v>18600</v>
      </c>
      <c r="L169" s="1">
        <v>1.7</v>
      </c>
      <c r="M169" s="1">
        <v>1.85</v>
      </c>
      <c r="N169" s="1">
        <v>6200</v>
      </c>
      <c r="O169" s="9"/>
      <c r="P169" s="7">
        <f t="shared" ca="1" si="49"/>
        <v>-0.19</v>
      </c>
      <c r="Q169" s="7">
        <f t="shared" ca="1" si="50"/>
        <v>-7.6E-3</v>
      </c>
      <c r="R169" s="33">
        <f t="shared" ca="1" si="44"/>
        <v>5890</v>
      </c>
      <c r="S169" s="33">
        <f t="shared" ca="1" si="45"/>
        <v>-25110</v>
      </c>
      <c r="T169" s="33">
        <f t="shared" ca="1" si="51"/>
        <v>5890</v>
      </c>
      <c r="U169" s="7">
        <f t="shared" ca="1" si="46"/>
        <v>0.23456790123456789</v>
      </c>
      <c r="V169" s="7">
        <f t="shared" ca="1" si="47"/>
        <v>-0.46092163197364261</v>
      </c>
      <c r="W169" s="33">
        <f t="shared" ca="1" si="52"/>
        <v>5890</v>
      </c>
      <c r="X169" s="7">
        <f t="shared" ca="1" si="53"/>
        <v>1</v>
      </c>
      <c r="Y169" s="7">
        <f t="shared" ca="1" si="54"/>
        <v>1.2345679012345678</v>
      </c>
      <c r="Z169" s="7">
        <f t="shared" ca="1" si="48"/>
        <v>-0.12942205861982006</v>
      </c>
      <c r="AA169" s="33">
        <f t="shared" ca="1" si="55"/>
        <v>5890</v>
      </c>
      <c r="AB169" s="7">
        <f t="shared" ca="1" si="56"/>
        <v>1</v>
      </c>
      <c r="AC169" s="7">
        <f t="shared" ca="1" si="57"/>
        <v>1.2345679012345678</v>
      </c>
      <c r="AD169" s="40"/>
      <c r="AE169" s="42"/>
      <c r="AF169" s="34"/>
      <c r="AH169" s="34"/>
    </row>
    <row r="170" spans="1:34" x14ac:dyDescent="0.25">
      <c r="A170" s="1"/>
      <c r="B170" s="25">
        <v>43979</v>
      </c>
      <c r="C170" s="10" t="s">
        <v>21</v>
      </c>
      <c r="D170" s="1">
        <v>95.5</v>
      </c>
      <c r="E170" s="30">
        <v>6200</v>
      </c>
      <c r="F170" s="1">
        <v>105</v>
      </c>
      <c r="G170" s="1">
        <v>2.75</v>
      </c>
      <c r="H170" s="1">
        <v>120</v>
      </c>
      <c r="I170" s="1">
        <v>0.7</v>
      </c>
      <c r="J170" s="1">
        <v>68200</v>
      </c>
      <c r="K170" s="1">
        <v>18600</v>
      </c>
      <c r="L170" s="1">
        <v>0.55000000000000004</v>
      </c>
      <c r="M170" s="1">
        <v>0.85</v>
      </c>
      <c r="N170" s="1">
        <v>12400</v>
      </c>
      <c r="O170" s="9"/>
      <c r="P170" s="7">
        <f t="shared" ca="1" si="49"/>
        <v>-0.13666666666666666</v>
      </c>
      <c r="Q170" s="7">
        <f t="shared" ca="1" si="50"/>
        <v>-5.4666666666666665E-3</v>
      </c>
      <c r="R170" s="33">
        <f t="shared" ca="1" si="44"/>
        <v>12709.999999999998</v>
      </c>
      <c r="S170" s="33">
        <f t="shared" ca="1" si="45"/>
        <v>-80290</v>
      </c>
      <c r="T170" s="33">
        <f t="shared" ca="1" si="51"/>
        <v>12709.999999999998</v>
      </c>
      <c r="U170" s="7">
        <f t="shared" ca="1" si="46"/>
        <v>0.15830115830115829</v>
      </c>
      <c r="V170" s="7">
        <f t="shared" ca="1" si="47"/>
        <v>-0.46092163197364261</v>
      </c>
      <c r="W170" s="33">
        <f t="shared" ca="1" si="52"/>
        <v>12709.999999999998</v>
      </c>
      <c r="X170" s="7">
        <f t="shared" ca="1" si="53"/>
        <v>1</v>
      </c>
      <c r="Y170" s="7">
        <f t="shared" ca="1" si="54"/>
        <v>1.1583011583011582</v>
      </c>
      <c r="Z170" s="7">
        <f t="shared" ca="1" si="48"/>
        <v>-0.12942205861982006</v>
      </c>
      <c r="AA170" s="33">
        <f t="shared" ca="1" si="55"/>
        <v>12709.999999999998</v>
      </c>
      <c r="AB170" s="7">
        <f t="shared" ca="1" si="56"/>
        <v>1</v>
      </c>
      <c r="AC170" s="7">
        <f t="shared" ca="1" si="57"/>
        <v>1.1583011583011582</v>
      </c>
      <c r="AD170" s="40"/>
      <c r="AE170" s="42"/>
      <c r="AF170" s="34"/>
      <c r="AH170" s="34"/>
    </row>
    <row r="171" spans="1:34" x14ac:dyDescent="0.25">
      <c r="A171" s="1"/>
      <c r="B171" s="25">
        <v>43979</v>
      </c>
      <c r="C171" s="10" t="s">
        <v>1210</v>
      </c>
      <c r="D171" s="1">
        <v>32.4</v>
      </c>
      <c r="E171" s="30">
        <v>8300</v>
      </c>
      <c r="F171" s="1">
        <v>36</v>
      </c>
      <c r="G171" s="1">
        <v>1.9</v>
      </c>
      <c r="H171" s="1">
        <v>37</v>
      </c>
      <c r="I171" s="1">
        <v>1.55</v>
      </c>
      <c r="J171" s="1">
        <v>74700</v>
      </c>
      <c r="K171" s="1">
        <v>8300</v>
      </c>
      <c r="L171" s="1">
        <v>1.5</v>
      </c>
      <c r="M171" s="1">
        <v>1.6</v>
      </c>
      <c r="N171" s="1">
        <v>8300</v>
      </c>
      <c r="O171" s="9"/>
      <c r="P171" s="7">
        <f t="shared" ca="1" si="49"/>
        <v>-0.34999999999999987</v>
      </c>
      <c r="Q171" s="7">
        <f t="shared" ca="1" si="50"/>
        <v>-1.3999999999999995E-2</v>
      </c>
      <c r="R171" s="33">
        <f t="shared" ca="1" si="44"/>
        <v>2904.9999999999991</v>
      </c>
      <c r="S171" s="33">
        <f t="shared" ca="1" si="45"/>
        <v>-5395.0000000000009</v>
      </c>
      <c r="T171" s="33">
        <f t="shared" ca="1" si="51"/>
        <v>2904.9999999999991</v>
      </c>
      <c r="U171" s="7">
        <f t="shared" ca="1" si="46"/>
        <v>0.53846153846153821</v>
      </c>
      <c r="V171" s="7">
        <f t="shared" ca="1" si="47"/>
        <v>-0.53019242625684082</v>
      </c>
      <c r="W171" s="33">
        <f t="shared" ca="1" si="52"/>
        <v>2904.9999999999991</v>
      </c>
      <c r="X171" s="7">
        <f t="shared" ca="1" si="53"/>
        <v>1</v>
      </c>
      <c r="Y171" s="7">
        <f t="shared" ca="1" si="54"/>
        <v>1.5384615384615383</v>
      </c>
      <c r="Z171" s="7">
        <f t="shared" ca="1" si="48"/>
        <v>-0.1398509121759616</v>
      </c>
      <c r="AA171" s="33">
        <f t="shared" ca="1" si="55"/>
        <v>2904.9999999999991</v>
      </c>
      <c r="AB171" s="7">
        <f t="shared" ca="1" si="56"/>
        <v>1</v>
      </c>
      <c r="AC171" s="7">
        <f t="shared" ca="1" si="57"/>
        <v>1.5384615384615383</v>
      </c>
      <c r="AD171" s="40"/>
      <c r="AE171" s="42"/>
      <c r="AF171" s="34"/>
      <c r="AH171" s="34"/>
    </row>
    <row r="172" spans="1:34" x14ac:dyDescent="0.25">
      <c r="A172" s="1"/>
      <c r="B172" s="25">
        <v>43979</v>
      </c>
      <c r="C172" s="10" t="s">
        <v>1210</v>
      </c>
      <c r="D172" s="1">
        <v>32.4</v>
      </c>
      <c r="E172" s="30">
        <v>8300</v>
      </c>
      <c r="F172" s="1">
        <v>36</v>
      </c>
      <c r="G172" s="1">
        <v>1.9</v>
      </c>
      <c r="H172" s="1">
        <v>38</v>
      </c>
      <c r="I172" s="1">
        <v>1.25</v>
      </c>
      <c r="J172" s="1">
        <v>91300</v>
      </c>
      <c r="K172" s="1">
        <v>8300</v>
      </c>
      <c r="L172" s="1">
        <v>1.2</v>
      </c>
      <c r="M172" s="1">
        <v>1.4</v>
      </c>
      <c r="N172" s="1">
        <v>8300</v>
      </c>
      <c r="O172" s="9"/>
      <c r="P172" s="7">
        <f t="shared" ca="1" si="49"/>
        <v>-0.32499999999999996</v>
      </c>
      <c r="Q172" s="7">
        <f t="shared" ca="1" si="50"/>
        <v>-1.2999999999999998E-2</v>
      </c>
      <c r="R172" s="33">
        <f t="shared" ca="1" si="44"/>
        <v>5394.9999999999991</v>
      </c>
      <c r="S172" s="33">
        <f t="shared" ca="1" si="45"/>
        <v>-11205</v>
      </c>
      <c r="T172" s="33">
        <f t="shared" ca="1" si="51"/>
        <v>5394.9999999999991</v>
      </c>
      <c r="U172" s="7">
        <f t="shared" ca="1" si="46"/>
        <v>0.4814814814814814</v>
      </c>
      <c r="V172" s="7">
        <f t="shared" ca="1" si="47"/>
        <v>-0.53019242625684082</v>
      </c>
      <c r="W172" s="33">
        <f t="shared" ca="1" si="52"/>
        <v>5394.9999999999991</v>
      </c>
      <c r="X172" s="7">
        <f t="shared" ca="1" si="53"/>
        <v>1</v>
      </c>
      <c r="Y172" s="7">
        <f t="shared" ca="1" si="54"/>
        <v>1.4814814814814814</v>
      </c>
      <c r="Z172" s="7">
        <f t="shared" ca="1" si="48"/>
        <v>-0.1398509121759616</v>
      </c>
      <c r="AA172" s="33">
        <f t="shared" ca="1" si="55"/>
        <v>5394.9999999999991</v>
      </c>
      <c r="AB172" s="7">
        <f t="shared" ca="1" si="56"/>
        <v>1</v>
      </c>
      <c r="AC172" s="7">
        <f t="shared" ca="1" si="57"/>
        <v>1.4814814814814814</v>
      </c>
      <c r="AD172" s="40"/>
      <c r="AE172" s="42"/>
      <c r="AF172" s="34"/>
      <c r="AH172" s="34"/>
    </row>
    <row r="173" spans="1:34" x14ac:dyDescent="0.25">
      <c r="A173" s="1"/>
      <c r="B173" s="25">
        <v>43979</v>
      </c>
      <c r="C173" s="10" t="s">
        <v>1210</v>
      </c>
      <c r="D173" s="1">
        <v>32.4</v>
      </c>
      <c r="E173" s="30">
        <v>8300</v>
      </c>
      <c r="F173" s="1">
        <v>36</v>
      </c>
      <c r="G173" s="1">
        <v>1.9</v>
      </c>
      <c r="H173" s="1">
        <v>39</v>
      </c>
      <c r="I173" s="1">
        <v>1.1000000000000001</v>
      </c>
      <c r="J173" s="1">
        <v>240700</v>
      </c>
      <c r="K173" s="1">
        <v>16600</v>
      </c>
      <c r="L173" s="1">
        <v>1</v>
      </c>
      <c r="M173" s="1">
        <v>1.1000000000000001</v>
      </c>
      <c r="N173" s="1">
        <v>8300</v>
      </c>
      <c r="O173" s="9"/>
      <c r="P173" s="7">
        <f t="shared" ca="1" si="49"/>
        <v>-0.26666666666666661</v>
      </c>
      <c r="Q173" s="7">
        <f t="shared" ca="1" si="50"/>
        <v>-1.0666666666666665E-2</v>
      </c>
      <c r="R173" s="33">
        <f t="shared" ca="1" si="44"/>
        <v>6639.9999999999982</v>
      </c>
      <c r="S173" s="33">
        <f t="shared" ca="1" si="45"/>
        <v>-18260</v>
      </c>
      <c r="T173" s="33">
        <f t="shared" ca="1" si="51"/>
        <v>6639.9999999999982</v>
      </c>
      <c r="U173" s="7">
        <f t="shared" ca="1" si="46"/>
        <v>0.36363636363636354</v>
      </c>
      <c r="V173" s="7">
        <f t="shared" ca="1" si="47"/>
        <v>-0.53019242625684082</v>
      </c>
      <c r="W173" s="33">
        <f t="shared" ca="1" si="52"/>
        <v>6639.9999999999982</v>
      </c>
      <c r="X173" s="7">
        <f t="shared" ca="1" si="53"/>
        <v>1</v>
      </c>
      <c r="Y173" s="7">
        <f t="shared" ca="1" si="54"/>
        <v>1.3636363636363635</v>
      </c>
      <c r="Z173" s="7">
        <f t="shared" ca="1" si="48"/>
        <v>-0.1398509121759616</v>
      </c>
      <c r="AA173" s="33">
        <f t="shared" ca="1" si="55"/>
        <v>6639.9999999999982</v>
      </c>
      <c r="AB173" s="7">
        <f t="shared" ca="1" si="56"/>
        <v>1</v>
      </c>
      <c r="AC173" s="7">
        <f t="shared" ca="1" si="57"/>
        <v>1.3636363636363635</v>
      </c>
      <c r="AD173" s="40"/>
      <c r="AE173" s="42"/>
      <c r="AF173" s="34"/>
      <c r="AH173" s="34"/>
    </row>
    <row r="174" spans="1:34" x14ac:dyDescent="0.25">
      <c r="A174" s="1"/>
      <c r="B174" s="25">
        <v>43979</v>
      </c>
      <c r="C174" s="10" t="s">
        <v>1210</v>
      </c>
      <c r="D174" s="1">
        <v>32.4</v>
      </c>
      <c r="E174" s="30">
        <v>8300</v>
      </c>
      <c r="F174" s="1">
        <v>36</v>
      </c>
      <c r="G174" s="1">
        <v>1.9</v>
      </c>
      <c r="H174" s="1">
        <v>40</v>
      </c>
      <c r="I174" s="1">
        <v>0.85</v>
      </c>
      <c r="J174" s="1">
        <v>464800</v>
      </c>
      <c r="K174" s="1">
        <v>24900</v>
      </c>
      <c r="L174" s="1">
        <v>0.85</v>
      </c>
      <c r="M174" s="1">
        <v>0.95</v>
      </c>
      <c r="N174" s="1">
        <v>16600</v>
      </c>
      <c r="O174" s="9"/>
      <c r="P174" s="7">
        <f t="shared" ca="1" si="49"/>
        <v>-0.26249999999999996</v>
      </c>
      <c r="Q174" s="7">
        <f t="shared" ca="1" si="50"/>
        <v>-1.0499999999999999E-2</v>
      </c>
      <c r="R174" s="33">
        <f t="shared" ca="1" si="44"/>
        <v>8714.9999999999982</v>
      </c>
      <c r="S174" s="33">
        <f t="shared" ca="1" si="45"/>
        <v>-24485</v>
      </c>
      <c r="T174" s="33">
        <f t="shared" ca="1" si="51"/>
        <v>8714.9999999999982</v>
      </c>
      <c r="U174" s="7">
        <f t="shared" ca="1" si="46"/>
        <v>0.35593220338983045</v>
      </c>
      <c r="V174" s="7">
        <f t="shared" ca="1" si="47"/>
        <v>-0.53019242625684082</v>
      </c>
      <c r="W174" s="33">
        <f t="shared" ca="1" si="52"/>
        <v>8714.9999999999982</v>
      </c>
      <c r="X174" s="7">
        <f t="shared" ca="1" si="53"/>
        <v>1</v>
      </c>
      <c r="Y174" s="7">
        <f t="shared" ca="1" si="54"/>
        <v>1.3559322033898304</v>
      </c>
      <c r="Z174" s="7">
        <f t="shared" ca="1" si="48"/>
        <v>-0.1398509121759616</v>
      </c>
      <c r="AA174" s="33">
        <f t="shared" ca="1" si="55"/>
        <v>8714.9999999999982</v>
      </c>
      <c r="AB174" s="7">
        <f t="shared" ca="1" si="56"/>
        <v>1</v>
      </c>
      <c r="AC174" s="7">
        <f t="shared" ca="1" si="57"/>
        <v>1.3559322033898304</v>
      </c>
      <c r="AD174" s="40"/>
      <c r="AE174" s="42"/>
      <c r="AF174" s="34"/>
      <c r="AH174" s="34"/>
    </row>
    <row r="175" spans="1:34" x14ac:dyDescent="0.25">
      <c r="A175" s="1"/>
      <c r="B175" s="25">
        <v>43979</v>
      </c>
      <c r="C175" s="10" t="s">
        <v>1210</v>
      </c>
      <c r="D175" s="1">
        <v>32.4</v>
      </c>
      <c r="E175" s="30">
        <v>8300</v>
      </c>
      <c r="F175" s="1">
        <v>36</v>
      </c>
      <c r="G175" s="1">
        <v>1.9</v>
      </c>
      <c r="H175" s="1">
        <v>45</v>
      </c>
      <c r="I175" s="1">
        <v>0.4</v>
      </c>
      <c r="J175" s="1">
        <v>157700</v>
      </c>
      <c r="K175" s="1">
        <v>8300</v>
      </c>
      <c r="L175" s="1">
        <v>0.35</v>
      </c>
      <c r="M175" s="1">
        <v>0.4</v>
      </c>
      <c r="N175" s="1">
        <v>16600</v>
      </c>
      <c r="O175" s="9"/>
      <c r="P175" s="7">
        <f t="shared" ca="1" si="49"/>
        <v>-0.16666666666666666</v>
      </c>
      <c r="Q175" s="7">
        <f t="shared" ca="1" si="50"/>
        <v>-6.6666666666666662E-3</v>
      </c>
      <c r="R175" s="33">
        <f t="shared" ca="1" si="44"/>
        <v>12450</v>
      </c>
      <c r="S175" s="33">
        <f t="shared" ca="1" si="45"/>
        <v>-62250</v>
      </c>
      <c r="T175" s="33">
        <f t="shared" ca="1" si="51"/>
        <v>12450</v>
      </c>
      <c r="U175" s="7">
        <f t="shared" ca="1" si="46"/>
        <v>0.2</v>
      </c>
      <c r="V175" s="7">
        <f t="shared" ca="1" si="47"/>
        <v>-0.53019242625684082</v>
      </c>
      <c r="W175" s="33">
        <f t="shared" ca="1" si="52"/>
        <v>12450</v>
      </c>
      <c r="X175" s="7">
        <f t="shared" ca="1" si="53"/>
        <v>1</v>
      </c>
      <c r="Y175" s="7">
        <f t="shared" ca="1" si="54"/>
        <v>1.2</v>
      </c>
      <c r="Z175" s="7">
        <f t="shared" ca="1" si="48"/>
        <v>-0.1398509121759616</v>
      </c>
      <c r="AA175" s="33">
        <f t="shared" ca="1" si="55"/>
        <v>12450</v>
      </c>
      <c r="AB175" s="7">
        <f t="shared" ca="1" si="56"/>
        <v>1</v>
      </c>
      <c r="AC175" s="7">
        <f t="shared" ca="1" si="57"/>
        <v>1.2</v>
      </c>
      <c r="AD175" s="40"/>
      <c r="AE175" s="42"/>
      <c r="AF175" s="34"/>
      <c r="AH175" s="34"/>
    </row>
    <row r="176" spans="1:34" x14ac:dyDescent="0.25">
      <c r="A176" s="1"/>
      <c r="B176" s="25">
        <v>43979</v>
      </c>
      <c r="C176" s="10" t="s">
        <v>1210</v>
      </c>
      <c r="D176" s="1">
        <v>32.4</v>
      </c>
      <c r="E176" s="30">
        <v>8300</v>
      </c>
      <c r="F176" s="1">
        <v>36</v>
      </c>
      <c r="G176" s="1">
        <v>1.9</v>
      </c>
      <c r="H176" s="1">
        <v>50</v>
      </c>
      <c r="I176" s="1">
        <v>0.25</v>
      </c>
      <c r="J176" s="1">
        <v>107900</v>
      </c>
      <c r="K176" s="1">
        <v>49800</v>
      </c>
      <c r="L176" s="1">
        <v>0.2</v>
      </c>
      <c r="M176" s="1">
        <v>0.25</v>
      </c>
      <c r="N176" s="1">
        <v>16600</v>
      </c>
      <c r="O176" s="9"/>
      <c r="P176" s="7">
        <f t="shared" ca="1" si="49"/>
        <v>-0.11785714285714285</v>
      </c>
      <c r="Q176" s="7">
        <f t="shared" ca="1" si="50"/>
        <v>-4.7142857142857143E-3</v>
      </c>
      <c r="R176" s="33">
        <f t="shared" ca="1" si="44"/>
        <v>13695</v>
      </c>
      <c r="S176" s="33">
        <f t="shared" ca="1" si="45"/>
        <v>-102505</v>
      </c>
      <c r="T176" s="33">
        <f t="shared" ca="1" si="51"/>
        <v>13695</v>
      </c>
      <c r="U176" s="7">
        <f t="shared" ca="1" si="46"/>
        <v>0.13360323886639677</v>
      </c>
      <c r="V176" s="7">
        <f t="shared" ca="1" si="47"/>
        <v>-0.53019242625684082</v>
      </c>
      <c r="W176" s="33">
        <f t="shared" ca="1" si="52"/>
        <v>13695</v>
      </c>
      <c r="X176" s="7">
        <f t="shared" ca="1" si="53"/>
        <v>1</v>
      </c>
      <c r="Y176" s="7">
        <f t="shared" ca="1" si="54"/>
        <v>1.1336032388663968</v>
      </c>
      <c r="Z176" s="7">
        <f t="shared" ca="1" si="48"/>
        <v>-0.1398509121759616</v>
      </c>
      <c r="AA176" s="33">
        <f t="shared" ca="1" si="55"/>
        <v>13695</v>
      </c>
      <c r="AB176" s="7">
        <f t="shared" ca="1" si="56"/>
        <v>1</v>
      </c>
      <c r="AC176" s="7">
        <f t="shared" ca="1" si="57"/>
        <v>1.1336032388663968</v>
      </c>
      <c r="AD176" s="40"/>
      <c r="AE176" s="42"/>
      <c r="AF176" s="34"/>
      <c r="AH176" s="34"/>
    </row>
    <row r="177" spans="1:34" x14ac:dyDescent="0.25">
      <c r="A177" s="1"/>
      <c r="B177" s="25">
        <v>43979</v>
      </c>
      <c r="C177" s="10" t="s">
        <v>1257</v>
      </c>
      <c r="D177" s="1">
        <v>1005.05</v>
      </c>
      <c r="E177" s="30">
        <v>400</v>
      </c>
      <c r="F177" s="1">
        <v>1150</v>
      </c>
      <c r="G177" s="1">
        <v>44</v>
      </c>
      <c r="H177" s="1">
        <v>1200</v>
      </c>
      <c r="I177" s="1">
        <v>34</v>
      </c>
      <c r="J177" s="1">
        <v>38800</v>
      </c>
      <c r="K177" s="1">
        <v>400</v>
      </c>
      <c r="L177" s="1">
        <v>32.450000000000003</v>
      </c>
      <c r="M177" s="1">
        <v>34.450000000000003</v>
      </c>
      <c r="N177" s="1">
        <v>1600</v>
      </c>
      <c r="O177" s="9"/>
      <c r="P177" s="7">
        <f t="shared" ca="1" si="49"/>
        <v>-0.2</v>
      </c>
      <c r="Q177" s="7">
        <f t="shared" ca="1" si="50"/>
        <v>-8.0000000000000002E-3</v>
      </c>
      <c r="R177" s="33">
        <f t="shared" ca="1" si="44"/>
        <v>4000</v>
      </c>
      <c r="S177" s="33">
        <f t="shared" ca="1" si="45"/>
        <v>-16000</v>
      </c>
      <c r="T177" s="33">
        <f t="shared" ca="1" si="51"/>
        <v>4000</v>
      </c>
      <c r="U177" s="7">
        <f t="shared" ca="1" si="46"/>
        <v>0.25</v>
      </c>
      <c r="V177" s="7">
        <f t="shared" ca="1" si="47"/>
        <v>-0.70293035063847487</v>
      </c>
      <c r="W177" s="33">
        <f t="shared" ca="1" si="52"/>
        <v>4000</v>
      </c>
      <c r="X177" s="7">
        <f t="shared" ca="1" si="53"/>
        <v>1</v>
      </c>
      <c r="Y177" s="7">
        <f t="shared" ca="1" si="54"/>
        <v>1.25</v>
      </c>
      <c r="Z177" s="7">
        <f t="shared" ca="1" si="48"/>
        <v>-0.24142399442438053</v>
      </c>
      <c r="AA177" s="33">
        <f t="shared" ca="1" si="55"/>
        <v>4000</v>
      </c>
      <c r="AB177" s="7">
        <f t="shared" ca="1" si="56"/>
        <v>1</v>
      </c>
      <c r="AC177" s="7">
        <f t="shared" ca="1" si="57"/>
        <v>1.25</v>
      </c>
      <c r="AD177" s="40"/>
      <c r="AE177" s="42"/>
      <c r="AF177" s="34"/>
      <c r="AH177" s="34"/>
    </row>
    <row r="178" spans="1:34" x14ac:dyDescent="0.25">
      <c r="A178" s="1"/>
      <c r="B178" s="25">
        <v>43979</v>
      </c>
      <c r="C178" s="10" t="s">
        <v>1257</v>
      </c>
      <c r="D178" s="1">
        <v>1005.05</v>
      </c>
      <c r="E178" s="30">
        <v>400</v>
      </c>
      <c r="F178" s="1">
        <v>1150</v>
      </c>
      <c r="G178" s="1">
        <v>44</v>
      </c>
      <c r="H178" s="1">
        <v>1300</v>
      </c>
      <c r="I178" s="1">
        <v>18</v>
      </c>
      <c r="J178" s="1">
        <v>3200</v>
      </c>
      <c r="K178" s="1">
        <v>400</v>
      </c>
      <c r="L178" s="1">
        <v>18.05</v>
      </c>
      <c r="M178" s="1">
        <v>22.4</v>
      </c>
      <c r="N178" s="1">
        <v>4400</v>
      </c>
      <c r="O178" s="9"/>
      <c r="P178" s="7">
        <f t="shared" ca="1" si="49"/>
        <v>-0.17333333333333334</v>
      </c>
      <c r="Q178" s="7">
        <f t="shared" ca="1" si="50"/>
        <v>-6.9333333333333339E-3</v>
      </c>
      <c r="R178" s="33">
        <f t="shared" ca="1" si="44"/>
        <v>10400</v>
      </c>
      <c r="S178" s="33">
        <f t="shared" ca="1" si="45"/>
        <v>-49600</v>
      </c>
      <c r="T178" s="33">
        <f t="shared" ca="1" si="51"/>
        <v>10400</v>
      </c>
      <c r="U178" s="7">
        <f t="shared" ca="1" si="46"/>
        <v>0.20967741935483872</v>
      </c>
      <c r="V178" s="7">
        <f t="shared" ca="1" si="47"/>
        <v>-0.70293035063847487</v>
      </c>
      <c r="W178" s="33">
        <f t="shared" ca="1" si="52"/>
        <v>10400</v>
      </c>
      <c r="X178" s="7">
        <f t="shared" ca="1" si="53"/>
        <v>1</v>
      </c>
      <c r="Y178" s="7">
        <f t="shared" ca="1" si="54"/>
        <v>1.2096774193548387</v>
      </c>
      <c r="Z178" s="7">
        <f t="shared" ca="1" si="48"/>
        <v>-0.24142399442438053</v>
      </c>
      <c r="AA178" s="33">
        <f t="shared" ca="1" si="55"/>
        <v>10400</v>
      </c>
      <c r="AB178" s="7">
        <f t="shared" ca="1" si="56"/>
        <v>1</v>
      </c>
      <c r="AC178" s="7">
        <f t="shared" ca="1" si="57"/>
        <v>1.2096774193548387</v>
      </c>
      <c r="AD178" s="40"/>
      <c r="AE178" s="42"/>
      <c r="AF178" s="34"/>
      <c r="AH178" s="34"/>
    </row>
    <row r="179" spans="1:34" x14ac:dyDescent="0.25">
      <c r="A179" s="1"/>
      <c r="B179" s="25">
        <v>43979</v>
      </c>
      <c r="C179" s="10" t="s">
        <v>1257</v>
      </c>
      <c r="D179" s="1">
        <v>1005.05</v>
      </c>
      <c r="E179" s="30">
        <v>400</v>
      </c>
      <c r="F179" s="1">
        <v>1150</v>
      </c>
      <c r="G179" s="1">
        <v>44</v>
      </c>
      <c r="H179" s="1">
        <v>1500</v>
      </c>
      <c r="I179" s="1">
        <v>5.5</v>
      </c>
      <c r="J179" s="1">
        <v>2400</v>
      </c>
      <c r="K179" s="1">
        <v>800</v>
      </c>
      <c r="L179" s="1">
        <v>4</v>
      </c>
      <c r="M179" s="1">
        <v>7</v>
      </c>
      <c r="N179" s="1">
        <v>400</v>
      </c>
      <c r="O179" s="9"/>
      <c r="P179" s="7">
        <f t="shared" ca="1" si="49"/>
        <v>-0.11</v>
      </c>
      <c r="Q179" s="7">
        <f t="shared" ca="1" si="50"/>
        <v>-4.4000000000000003E-3</v>
      </c>
      <c r="R179" s="33">
        <f t="shared" ca="1" si="44"/>
        <v>15400</v>
      </c>
      <c r="S179" s="33">
        <f t="shared" ca="1" si="45"/>
        <v>-124600</v>
      </c>
      <c r="T179" s="33">
        <f t="shared" ca="1" si="51"/>
        <v>15400</v>
      </c>
      <c r="U179" s="7">
        <f t="shared" ca="1" si="46"/>
        <v>0.12359550561797752</v>
      </c>
      <c r="V179" s="7">
        <f t="shared" ca="1" si="47"/>
        <v>-0.70293035063847487</v>
      </c>
      <c r="W179" s="33">
        <f t="shared" ca="1" si="52"/>
        <v>15400</v>
      </c>
      <c r="X179" s="7">
        <f t="shared" ca="1" si="53"/>
        <v>1</v>
      </c>
      <c r="Y179" s="7">
        <f t="shared" ca="1" si="54"/>
        <v>1.1235955056179776</v>
      </c>
      <c r="Z179" s="7">
        <f t="shared" ca="1" si="48"/>
        <v>-0.24142399442438053</v>
      </c>
      <c r="AA179" s="33">
        <f t="shared" ca="1" si="55"/>
        <v>15400</v>
      </c>
      <c r="AB179" s="7">
        <f t="shared" ca="1" si="56"/>
        <v>1</v>
      </c>
      <c r="AC179" s="7">
        <f t="shared" ca="1" si="57"/>
        <v>1.1235955056179776</v>
      </c>
      <c r="AD179" s="40"/>
      <c r="AE179" s="42"/>
      <c r="AF179" s="34"/>
      <c r="AH179" s="34"/>
    </row>
    <row r="180" spans="1:34" x14ac:dyDescent="0.25">
      <c r="A180" s="1"/>
      <c r="B180" s="25">
        <v>43979</v>
      </c>
      <c r="C180" s="10" t="s">
        <v>1288</v>
      </c>
      <c r="D180" s="1">
        <v>95.5</v>
      </c>
      <c r="E180" s="30">
        <v>6000</v>
      </c>
      <c r="F180" s="1">
        <v>105</v>
      </c>
      <c r="G180" s="1">
        <v>2.35</v>
      </c>
      <c r="H180" s="1">
        <v>110</v>
      </c>
      <c r="I180" s="1">
        <v>1.7</v>
      </c>
      <c r="J180" s="1">
        <v>108000</v>
      </c>
      <c r="K180" s="1">
        <v>54000</v>
      </c>
      <c r="L180" s="1">
        <v>1.5</v>
      </c>
      <c r="M180" s="1">
        <v>2</v>
      </c>
      <c r="N180" s="1">
        <v>18000</v>
      </c>
      <c r="O180" s="9"/>
      <c r="P180" s="7">
        <f t="shared" ca="1" si="49"/>
        <v>-0.13000000000000003</v>
      </c>
      <c r="Q180" s="7">
        <f t="shared" ca="1" si="50"/>
        <v>-5.2000000000000015E-3</v>
      </c>
      <c r="R180" s="33">
        <f t="shared" ca="1" si="44"/>
        <v>3900.0000000000009</v>
      </c>
      <c r="S180" s="33">
        <f t="shared" ca="1" si="45"/>
        <v>-26100</v>
      </c>
      <c r="T180" s="33">
        <f t="shared" ca="1" si="51"/>
        <v>3900.0000000000009</v>
      </c>
      <c r="U180" s="7">
        <f t="shared" ca="1" si="46"/>
        <v>0.14942528735632188</v>
      </c>
      <c r="V180" s="7">
        <f t="shared" ca="1" si="47"/>
        <v>-0.55882329020539678</v>
      </c>
      <c r="W180" s="33">
        <f t="shared" ca="1" si="52"/>
        <v>3900.0000000000009</v>
      </c>
      <c r="X180" s="7">
        <f t="shared" ca="1" si="53"/>
        <v>1</v>
      </c>
      <c r="Y180" s="7">
        <f t="shared" ca="1" si="54"/>
        <v>1.1494252873563218</v>
      </c>
      <c r="Z180" s="7">
        <f t="shared" ca="1" si="48"/>
        <v>-0.13030810297019083</v>
      </c>
      <c r="AA180" s="33">
        <f t="shared" ca="1" si="55"/>
        <v>3900.0000000000009</v>
      </c>
      <c r="AB180" s="7">
        <f t="shared" ca="1" si="56"/>
        <v>1</v>
      </c>
      <c r="AC180" s="7">
        <f t="shared" ca="1" si="57"/>
        <v>1.1494252873563218</v>
      </c>
      <c r="AD180" s="40"/>
      <c r="AE180" s="42"/>
      <c r="AF180" s="34"/>
      <c r="AH180" s="34"/>
    </row>
    <row r="181" spans="1:34" x14ac:dyDescent="0.25">
      <c r="A181" s="1"/>
      <c r="B181" s="25">
        <v>43979</v>
      </c>
      <c r="C181" s="10" t="s">
        <v>1288</v>
      </c>
      <c r="D181" s="1">
        <v>95.5</v>
      </c>
      <c r="E181" s="30">
        <v>6000</v>
      </c>
      <c r="F181" s="1">
        <v>105</v>
      </c>
      <c r="G181" s="1">
        <v>2.35</v>
      </c>
      <c r="H181" s="1">
        <v>115</v>
      </c>
      <c r="I181" s="1">
        <v>1.1499999999999999</v>
      </c>
      <c r="J181" s="1">
        <v>6000</v>
      </c>
      <c r="K181" s="1">
        <v>84000</v>
      </c>
      <c r="L181" s="1">
        <v>0.6</v>
      </c>
      <c r="M181" s="1">
        <v>1.4</v>
      </c>
      <c r="N181" s="1">
        <v>36000</v>
      </c>
      <c r="O181" s="9"/>
      <c r="P181" s="7">
        <f t="shared" ca="1" si="49"/>
        <v>-0.12000000000000002</v>
      </c>
      <c r="Q181" s="7">
        <f t="shared" ca="1" si="50"/>
        <v>-4.8000000000000013E-3</v>
      </c>
      <c r="R181" s="33">
        <f t="shared" ca="1" si="44"/>
        <v>7200.0000000000009</v>
      </c>
      <c r="S181" s="33">
        <f t="shared" ca="1" si="45"/>
        <v>-52800</v>
      </c>
      <c r="T181" s="33">
        <f t="shared" ca="1" si="51"/>
        <v>7200.0000000000009</v>
      </c>
      <c r="U181" s="7">
        <f t="shared" ca="1" si="46"/>
        <v>0.13636363636363638</v>
      </c>
      <c r="V181" s="7">
        <f t="shared" ca="1" si="47"/>
        <v>-0.55882329020539678</v>
      </c>
      <c r="W181" s="33">
        <f t="shared" ca="1" si="52"/>
        <v>7200.0000000000009</v>
      </c>
      <c r="X181" s="7">
        <f t="shared" ca="1" si="53"/>
        <v>1</v>
      </c>
      <c r="Y181" s="7">
        <f t="shared" ca="1" si="54"/>
        <v>1.1363636363636365</v>
      </c>
      <c r="Z181" s="7">
        <f t="shared" ca="1" si="48"/>
        <v>-0.13030810297019083</v>
      </c>
      <c r="AA181" s="33">
        <f t="shared" ca="1" si="55"/>
        <v>7200.0000000000009</v>
      </c>
      <c r="AB181" s="7">
        <f t="shared" ca="1" si="56"/>
        <v>1</v>
      </c>
      <c r="AC181" s="7">
        <f t="shared" ca="1" si="57"/>
        <v>1.1363636363636365</v>
      </c>
      <c r="AD181" s="40"/>
      <c r="AE181" s="42"/>
      <c r="AF181" s="34"/>
      <c r="AH181" s="34"/>
    </row>
    <row r="182" spans="1:34" x14ac:dyDescent="0.25">
      <c r="A182" s="1"/>
      <c r="B182" s="25">
        <v>43979</v>
      </c>
      <c r="C182" s="10" t="s">
        <v>1298</v>
      </c>
      <c r="D182" s="1">
        <v>1464</v>
      </c>
      <c r="E182" s="30">
        <v>500</v>
      </c>
      <c r="F182" s="1">
        <v>1560</v>
      </c>
      <c r="G182" s="1">
        <v>50.85</v>
      </c>
      <c r="H182" s="1">
        <v>1580</v>
      </c>
      <c r="I182" s="1">
        <v>45.05</v>
      </c>
      <c r="J182" s="1">
        <v>55500</v>
      </c>
      <c r="K182" s="1">
        <v>500</v>
      </c>
      <c r="L182" s="1">
        <v>45.15</v>
      </c>
      <c r="M182" s="1">
        <v>45.8</v>
      </c>
      <c r="N182" s="1">
        <v>500</v>
      </c>
      <c r="O182" s="9"/>
      <c r="P182" s="7">
        <f t="shared" ca="1" si="49"/>
        <v>-0.2900000000000002</v>
      </c>
      <c r="Q182" s="7">
        <f t="shared" ca="1" si="50"/>
        <v>-1.1600000000000008E-2</v>
      </c>
      <c r="R182" s="33">
        <f t="shared" ca="1" si="44"/>
        <v>2900.0000000000023</v>
      </c>
      <c r="S182" s="33">
        <f t="shared" ca="1" si="45"/>
        <v>-7099.9999999999982</v>
      </c>
      <c r="T182" s="33">
        <f t="shared" ca="1" si="51"/>
        <v>2900.0000000000023</v>
      </c>
      <c r="U182" s="7">
        <f t="shared" ca="1" si="46"/>
        <v>0.40845070422535251</v>
      </c>
      <c r="V182" s="7">
        <f t="shared" ca="1" si="47"/>
        <v>-0.50870811845951303</v>
      </c>
      <c r="W182" s="33">
        <f t="shared" ca="1" si="52"/>
        <v>2900.0000000000023</v>
      </c>
      <c r="X182" s="7">
        <f t="shared" ca="1" si="53"/>
        <v>1</v>
      </c>
      <c r="Y182" s="7">
        <f t="shared" ca="1" si="54"/>
        <v>1.4084507042253525</v>
      </c>
      <c r="Z182" s="7">
        <f t="shared" ca="1" si="48"/>
        <v>-9.0556124130837037E-2</v>
      </c>
      <c r="AA182" s="33">
        <f t="shared" ca="1" si="55"/>
        <v>2900.0000000000023</v>
      </c>
      <c r="AB182" s="7">
        <f t="shared" ca="1" si="56"/>
        <v>1</v>
      </c>
      <c r="AC182" s="7">
        <f t="shared" ca="1" si="57"/>
        <v>1.4084507042253525</v>
      </c>
      <c r="AD182" s="40"/>
      <c r="AE182" s="42"/>
      <c r="AF182" s="34"/>
      <c r="AH182" s="34"/>
    </row>
    <row r="183" spans="1:34" x14ac:dyDescent="0.25">
      <c r="A183" s="1"/>
      <c r="B183" s="25">
        <v>43979</v>
      </c>
      <c r="C183" s="10" t="s">
        <v>1298</v>
      </c>
      <c r="D183" s="1">
        <v>1464</v>
      </c>
      <c r="E183" s="30">
        <v>500</v>
      </c>
      <c r="F183" s="1">
        <v>1560</v>
      </c>
      <c r="G183" s="1">
        <v>50.85</v>
      </c>
      <c r="H183" s="1">
        <v>1600</v>
      </c>
      <c r="I183" s="1">
        <v>39.799999999999997</v>
      </c>
      <c r="J183" s="1">
        <v>831500</v>
      </c>
      <c r="K183" s="1">
        <v>3000</v>
      </c>
      <c r="L183" s="1">
        <v>39.5</v>
      </c>
      <c r="M183" s="1">
        <v>39.799999999999997</v>
      </c>
      <c r="N183" s="1">
        <v>1000</v>
      </c>
      <c r="O183" s="9"/>
      <c r="P183" s="7">
        <f t="shared" ca="1" si="49"/>
        <v>-0.27625000000000011</v>
      </c>
      <c r="Q183" s="7">
        <f t="shared" ca="1" si="50"/>
        <v>-1.1050000000000004E-2</v>
      </c>
      <c r="R183" s="33">
        <f t="shared" ca="1" si="44"/>
        <v>5525.0000000000018</v>
      </c>
      <c r="S183" s="33">
        <f t="shared" ca="1" si="45"/>
        <v>-14474.999999999998</v>
      </c>
      <c r="T183" s="33">
        <f t="shared" ca="1" si="51"/>
        <v>5525.0000000000018</v>
      </c>
      <c r="U183" s="7">
        <f t="shared" ca="1" si="46"/>
        <v>0.38169257340241813</v>
      </c>
      <c r="V183" s="7">
        <f t="shared" ca="1" si="47"/>
        <v>-0.50870811845951303</v>
      </c>
      <c r="W183" s="33">
        <f t="shared" ca="1" si="52"/>
        <v>5525.0000000000018</v>
      </c>
      <c r="X183" s="7">
        <f t="shared" ca="1" si="53"/>
        <v>1</v>
      </c>
      <c r="Y183" s="7">
        <f t="shared" ca="1" si="54"/>
        <v>1.3816925734024181</v>
      </c>
      <c r="Z183" s="7">
        <f t="shared" ca="1" si="48"/>
        <v>-9.0556124130837037E-2</v>
      </c>
      <c r="AA183" s="33">
        <f t="shared" ca="1" si="55"/>
        <v>5525.0000000000018</v>
      </c>
      <c r="AB183" s="7">
        <f t="shared" ca="1" si="56"/>
        <v>1</v>
      </c>
      <c r="AC183" s="7">
        <f t="shared" ca="1" si="57"/>
        <v>1.3816925734024181</v>
      </c>
      <c r="AD183" s="40"/>
      <c r="AE183" s="42"/>
      <c r="AF183" s="34"/>
      <c r="AH183" s="34"/>
    </row>
    <row r="184" spans="1:34" x14ac:dyDescent="0.25">
      <c r="A184" s="1"/>
      <c r="B184" s="25">
        <v>43979</v>
      </c>
      <c r="C184" s="10" t="s">
        <v>1298</v>
      </c>
      <c r="D184" s="1">
        <v>1464</v>
      </c>
      <c r="E184" s="30">
        <v>500</v>
      </c>
      <c r="F184" s="1">
        <v>1560</v>
      </c>
      <c r="G184" s="1">
        <v>50.85</v>
      </c>
      <c r="H184" s="1">
        <v>1620</v>
      </c>
      <c r="I184" s="1">
        <v>34.200000000000003</v>
      </c>
      <c r="J184" s="1">
        <v>42500</v>
      </c>
      <c r="K184" s="1">
        <v>500</v>
      </c>
      <c r="L184" s="1">
        <v>34</v>
      </c>
      <c r="M184" s="1">
        <v>34.9</v>
      </c>
      <c r="N184" s="1">
        <v>1000</v>
      </c>
      <c r="O184" s="9"/>
      <c r="P184" s="7">
        <f t="shared" ca="1" si="49"/>
        <v>-0.27749999999999997</v>
      </c>
      <c r="Q184" s="7">
        <f t="shared" ca="1" si="50"/>
        <v>-1.1099999999999999E-2</v>
      </c>
      <c r="R184" s="33">
        <f t="shared" ca="1" si="44"/>
        <v>8325</v>
      </c>
      <c r="S184" s="33">
        <f t="shared" ca="1" si="45"/>
        <v>-21675</v>
      </c>
      <c r="T184" s="33">
        <f t="shared" ca="1" si="51"/>
        <v>8325</v>
      </c>
      <c r="U184" s="7">
        <f t="shared" ca="1" si="46"/>
        <v>0.38408304498269896</v>
      </c>
      <c r="V184" s="7">
        <f t="shared" ca="1" si="47"/>
        <v>-0.50870811845951303</v>
      </c>
      <c r="W184" s="33">
        <f t="shared" ca="1" si="52"/>
        <v>8325</v>
      </c>
      <c r="X184" s="7">
        <f t="shared" ca="1" si="53"/>
        <v>1</v>
      </c>
      <c r="Y184" s="7">
        <f t="shared" ca="1" si="54"/>
        <v>1.3840830449826989</v>
      </c>
      <c r="Z184" s="7">
        <f t="shared" ca="1" si="48"/>
        <v>-9.0556124130837037E-2</v>
      </c>
      <c r="AA184" s="33">
        <f t="shared" ca="1" si="55"/>
        <v>8325</v>
      </c>
      <c r="AB184" s="7">
        <f t="shared" ca="1" si="56"/>
        <v>1</v>
      </c>
      <c r="AC184" s="7">
        <f t="shared" ca="1" si="57"/>
        <v>1.3840830449826989</v>
      </c>
      <c r="AD184" s="40"/>
      <c r="AE184" s="42"/>
      <c r="AF184" s="34"/>
      <c r="AH184" s="34"/>
    </row>
    <row r="185" spans="1:34" x14ac:dyDescent="0.25">
      <c r="A185" s="1"/>
      <c r="B185" s="25">
        <v>43979</v>
      </c>
      <c r="C185" s="10" t="s">
        <v>1298</v>
      </c>
      <c r="D185" s="1">
        <v>1464</v>
      </c>
      <c r="E185" s="30">
        <v>500</v>
      </c>
      <c r="F185" s="1">
        <v>1560</v>
      </c>
      <c r="G185" s="1">
        <v>50.85</v>
      </c>
      <c r="H185" s="1">
        <v>1640</v>
      </c>
      <c r="I185" s="1">
        <v>29.95</v>
      </c>
      <c r="J185" s="1">
        <v>50500</v>
      </c>
      <c r="K185" s="1">
        <v>1000</v>
      </c>
      <c r="L185" s="1">
        <v>29.65</v>
      </c>
      <c r="M185" s="1">
        <v>30.1</v>
      </c>
      <c r="N185" s="1">
        <v>1500</v>
      </c>
      <c r="O185" s="9"/>
      <c r="P185" s="7">
        <f t="shared" ca="1" si="49"/>
        <v>-0.26125000000000004</v>
      </c>
      <c r="Q185" s="7">
        <f t="shared" ca="1" si="50"/>
        <v>-1.0450000000000001E-2</v>
      </c>
      <c r="R185" s="33">
        <f t="shared" ca="1" si="44"/>
        <v>10450.000000000002</v>
      </c>
      <c r="S185" s="33">
        <f t="shared" ca="1" si="45"/>
        <v>-29550</v>
      </c>
      <c r="T185" s="33">
        <f t="shared" ca="1" si="51"/>
        <v>10450.000000000002</v>
      </c>
      <c r="U185" s="7">
        <f t="shared" ca="1" si="46"/>
        <v>0.35363790186125216</v>
      </c>
      <c r="V185" s="7">
        <f t="shared" ca="1" si="47"/>
        <v>-0.50870811845951303</v>
      </c>
      <c r="W185" s="33">
        <f t="shared" ca="1" si="52"/>
        <v>10450.000000000002</v>
      </c>
      <c r="X185" s="7">
        <f t="shared" ca="1" si="53"/>
        <v>1</v>
      </c>
      <c r="Y185" s="7">
        <f t="shared" ca="1" si="54"/>
        <v>1.3536379018612521</v>
      </c>
      <c r="Z185" s="7">
        <f t="shared" ca="1" si="48"/>
        <v>-9.0556124130837037E-2</v>
      </c>
      <c r="AA185" s="33">
        <f t="shared" ca="1" si="55"/>
        <v>10450.000000000002</v>
      </c>
      <c r="AB185" s="7">
        <f t="shared" ca="1" si="56"/>
        <v>1</v>
      </c>
      <c r="AC185" s="7">
        <f t="shared" ca="1" si="57"/>
        <v>1.3536379018612521</v>
      </c>
      <c r="AD185" s="40"/>
      <c r="AE185" s="42"/>
      <c r="AF185" s="34"/>
      <c r="AH185" s="34"/>
    </row>
    <row r="186" spans="1:34" x14ac:dyDescent="0.25">
      <c r="A186" s="1"/>
      <c r="B186" s="25">
        <v>43979</v>
      </c>
      <c r="C186" s="10" t="s">
        <v>1298</v>
      </c>
      <c r="D186" s="1">
        <v>1464</v>
      </c>
      <c r="E186" s="30">
        <v>500</v>
      </c>
      <c r="F186" s="1">
        <v>1560</v>
      </c>
      <c r="G186" s="1">
        <v>50.85</v>
      </c>
      <c r="H186" s="1">
        <v>1660</v>
      </c>
      <c r="I186" s="1">
        <v>26.2</v>
      </c>
      <c r="J186" s="1">
        <v>35000</v>
      </c>
      <c r="K186" s="1">
        <v>1000</v>
      </c>
      <c r="L186" s="1">
        <v>25.5</v>
      </c>
      <c r="M186" s="1">
        <v>26.4</v>
      </c>
      <c r="N186" s="1">
        <v>500</v>
      </c>
      <c r="O186" s="9"/>
      <c r="P186" s="7">
        <f t="shared" ca="1" si="49"/>
        <v>-0.24650000000000002</v>
      </c>
      <c r="Q186" s="7">
        <f t="shared" ca="1" si="50"/>
        <v>-9.8600000000000007E-3</v>
      </c>
      <c r="R186" s="33">
        <f t="shared" ca="1" si="44"/>
        <v>12325.000000000002</v>
      </c>
      <c r="S186" s="33">
        <f t="shared" ca="1" si="45"/>
        <v>-37675</v>
      </c>
      <c r="T186" s="33">
        <f t="shared" ca="1" si="51"/>
        <v>12325.000000000002</v>
      </c>
      <c r="U186" s="7">
        <f t="shared" ca="1" si="46"/>
        <v>0.32714001327140019</v>
      </c>
      <c r="V186" s="7">
        <f t="shared" ca="1" si="47"/>
        <v>-0.50870811845951303</v>
      </c>
      <c r="W186" s="33">
        <f t="shared" ca="1" si="52"/>
        <v>12325.000000000002</v>
      </c>
      <c r="X186" s="7">
        <f t="shared" ca="1" si="53"/>
        <v>1</v>
      </c>
      <c r="Y186" s="7">
        <f t="shared" ca="1" si="54"/>
        <v>1.3271400132714002</v>
      </c>
      <c r="Z186" s="7">
        <f t="shared" ca="1" si="48"/>
        <v>-9.0556124130837037E-2</v>
      </c>
      <c r="AA186" s="33">
        <f t="shared" ca="1" si="55"/>
        <v>12325.000000000002</v>
      </c>
      <c r="AB186" s="7">
        <f t="shared" ca="1" si="56"/>
        <v>1</v>
      </c>
      <c r="AC186" s="7">
        <f t="shared" ca="1" si="57"/>
        <v>1.3271400132714002</v>
      </c>
      <c r="AD186" s="40"/>
      <c r="AE186" s="42"/>
      <c r="AF186" s="34"/>
      <c r="AH186" s="34"/>
    </row>
    <row r="187" spans="1:34" x14ac:dyDescent="0.25">
      <c r="A187" s="1"/>
      <c r="B187" s="25">
        <v>43979</v>
      </c>
      <c r="C187" s="10" t="s">
        <v>1298</v>
      </c>
      <c r="D187" s="1">
        <v>1464</v>
      </c>
      <c r="E187" s="30">
        <v>500</v>
      </c>
      <c r="F187" s="1">
        <v>1560</v>
      </c>
      <c r="G187" s="1">
        <v>50.85</v>
      </c>
      <c r="H187" s="1">
        <v>1680</v>
      </c>
      <c r="I187" s="1">
        <v>22</v>
      </c>
      <c r="J187" s="1">
        <v>12000</v>
      </c>
      <c r="K187" s="1">
        <v>500</v>
      </c>
      <c r="L187" s="1">
        <v>21.15</v>
      </c>
      <c r="M187" s="1">
        <v>22.4</v>
      </c>
      <c r="N187" s="1">
        <v>1000</v>
      </c>
      <c r="O187" s="9"/>
      <c r="P187" s="7">
        <f t="shared" ca="1" si="49"/>
        <v>-0.24041666666666667</v>
      </c>
      <c r="Q187" s="7">
        <f t="shared" ca="1" si="50"/>
        <v>-9.6166666666666675E-3</v>
      </c>
      <c r="R187" s="33">
        <f t="shared" ca="1" si="44"/>
        <v>14425</v>
      </c>
      <c r="S187" s="33">
        <f t="shared" ca="1" si="45"/>
        <v>-45575</v>
      </c>
      <c r="T187" s="33">
        <f t="shared" ca="1" si="51"/>
        <v>14425</v>
      </c>
      <c r="U187" s="7">
        <f t="shared" ca="1" si="46"/>
        <v>0.31651124520021939</v>
      </c>
      <c r="V187" s="7">
        <f t="shared" ca="1" si="47"/>
        <v>-0.50870811845951303</v>
      </c>
      <c r="W187" s="33">
        <f t="shared" ca="1" si="52"/>
        <v>14425</v>
      </c>
      <c r="X187" s="7">
        <f t="shared" ca="1" si="53"/>
        <v>1</v>
      </c>
      <c r="Y187" s="7">
        <f t="shared" ca="1" si="54"/>
        <v>1.3165112452002194</v>
      </c>
      <c r="Z187" s="7">
        <f t="shared" ca="1" si="48"/>
        <v>-9.0556124130837037E-2</v>
      </c>
      <c r="AA187" s="33">
        <f t="shared" ca="1" si="55"/>
        <v>14425</v>
      </c>
      <c r="AB187" s="7">
        <f t="shared" ca="1" si="56"/>
        <v>1</v>
      </c>
      <c r="AC187" s="7">
        <f t="shared" ca="1" si="57"/>
        <v>1.3165112452002194</v>
      </c>
      <c r="AD187" s="40"/>
      <c r="AE187" s="42"/>
      <c r="AF187" s="34"/>
      <c r="AH187" s="34"/>
    </row>
    <row r="188" spans="1:34" x14ac:dyDescent="0.25">
      <c r="A188" s="1"/>
      <c r="B188" s="25">
        <v>43979</v>
      </c>
      <c r="C188" s="10" t="s">
        <v>1298</v>
      </c>
      <c r="D188" s="1">
        <v>1464</v>
      </c>
      <c r="E188" s="30">
        <v>500</v>
      </c>
      <c r="F188" s="1">
        <v>1560</v>
      </c>
      <c r="G188" s="1">
        <v>50.85</v>
      </c>
      <c r="H188" s="1">
        <v>1700</v>
      </c>
      <c r="I188" s="1">
        <v>19.3</v>
      </c>
      <c r="J188" s="1">
        <v>541500</v>
      </c>
      <c r="K188" s="1">
        <v>500</v>
      </c>
      <c r="L188" s="1">
        <v>19.149999999999999</v>
      </c>
      <c r="M188" s="1">
        <v>19.5</v>
      </c>
      <c r="N188" s="1">
        <v>500</v>
      </c>
      <c r="O188" s="9"/>
      <c r="P188" s="7">
        <f t="shared" ca="1" si="49"/>
        <v>-0.22535714285714287</v>
      </c>
      <c r="Q188" s="7">
        <f t="shared" ca="1" si="50"/>
        <v>-9.0142857142857143E-3</v>
      </c>
      <c r="R188" s="33">
        <f t="shared" ca="1" si="44"/>
        <v>15775</v>
      </c>
      <c r="S188" s="33">
        <f t="shared" ca="1" si="45"/>
        <v>-54225</v>
      </c>
      <c r="T188" s="33">
        <f t="shared" ca="1" si="51"/>
        <v>15775</v>
      </c>
      <c r="U188" s="7">
        <f t="shared" ca="1" si="46"/>
        <v>0.29091747349008762</v>
      </c>
      <c r="V188" s="7">
        <f t="shared" ca="1" si="47"/>
        <v>-0.50870811845951303</v>
      </c>
      <c r="W188" s="33">
        <f t="shared" ca="1" si="52"/>
        <v>15775</v>
      </c>
      <c r="X188" s="7">
        <f t="shared" ca="1" si="53"/>
        <v>1</v>
      </c>
      <c r="Y188" s="7">
        <f t="shared" ca="1" si="54"/>
        <v>1.2909174734900877</v>
      </c>
      <c r="Z188" s="7">
        <f t="shared" ca="1" si="48"/>
        <v>-9.0556124130837037E-2</v>
      </c>
      <c r="AA188" s="33">
        <f t="shared" ca="1" si="55"/>
        <v>15775</v>
      </c>
      <c r="AB188" s="7">
        <f t="shared" ca="1" si="56"/>
        <v>1</v>
      </c>
      <c r="AC188" s="7">
        <f t="shared" ca="1" si="57"/>
        <v>1.2909174734900877</v>
      </c>
      <c r="AD188" s="40"/>
      <c r="AE188" s="42"/>
      <c r="AF188" s="34"/>
      <c r="AH188" s="34"/>
    </row>
    <row r="189" spans="1:34" x14ac:dyDescent="0.25">
      <c r="A189" s="1"/>
      <c r="B189" s="25">
        <v>43979</v>
      </c>
      <c r="C189" s="10" t="s">
        <v>1298</v>
      </c>
      <c r="D189" s="1">
        <v>1464</v>
      </c>
      <c r="E189" s="30">
        <v>500</v>
      </c>
      <c r="F189" s="1">
        <v>1560</v>
      </c>
      <c r="G189" s="1">
        <v>50.85</v>
      </c>
      <c r="H189" s="1">
        <v>1720</v>
      </c>
      <c r="I189" s="1">
        <v>16.899999999999999</v>
      </c>
      <c r="J189" s="1">
        <v>33000</v>
      </c>
      <c r="K189" s="1">
        <v>1000</v>
      </c>
      <c r="L189" s="1">
        <v>16.75</v>
      </c>
      <c r="M189" s="1">
        <v>17.100000000000001</v>
      </c>
      <c r="N189" s="1">
        <v>500</v>
      </c>
      <c r="O189" s="9"/>
      <c r="P189" s="7">
        <f t="shared" ca="1" si="49"/>
        <v>-0.21218750000000003</v>
      </c>
      <c r="Q189" s="7">
        <f t="shared" ca="1" si="50"/>
        <v>-8.487500000000002E-3</v>
      </c>
      <c r="R189" s="33">
        <f t="shared" ca="1" si="44"/>
        <v>16975</v>
      </c>
      <c r="S189" s="33">
        <f t="shared" ca="1" si="45"/>
        <v>-63025</v>
      </c>
      <c r="T189" s="33">
        <f t="shared" ca="1" si="51"/>
        <v>16975</v>
      </c>
      <c r="U189" s="7">
        <f t="shared" ca="1" si="46"/>
        <v>0.26933756445854817</v>
      </c>
      <c r="V189" s="7">
        <f t="shared" ca="1" si="47"/>
        <v>-0.50870811845951303</v>
      </c>
      <c r="W189" s="33">
        <f t="shared" ca="1" si="52"/>
        <v>16975</v>
      </c>
      <c r="X189" s="7">
        <f t="shared" ca="1" si="53"/>
        <v>1</v>
      </c>
      <c r="Y189" s="7">
        <f t="shared" ca="1" si="54"/>
        <v>1.2693375644585481</v>
      </c>
      <c r="Z189" s="7">
        <f t="shared" ca="1" si="48"/>
        <v>-9.0556124130837037E-2</v>
      </c>
      <c r="AA189" s="33">
        <f t="shared" ca="1" si="55"/>
        <v>16975</v>
      </c>
      <c r="AB189" s="7">
        <f t="shared" ca="1" si="56"/>
        <v>1</v>
      </c>
      <c r="AC189" s="7">
        <f t="shared" ca="1" si="57"/>
        <v>1.2693375644585481</v>
      </c>
      <c r="AD189" s="40"/>
      <c r="AE189" s="42"/>
      <c r="AF189" s="34"/>
      <c r="AH189" s="34"/>
    </row>
    <row r="190" spans="1:34" x14ac:dyDescent="0.25">
      <c r="A190" s="1"/>
      <c r="B190" s="25">
        <v>43979</v>
      </c>
      <c r="C190" s="10" t="s">
        <v>1298</v>
      </c>
      <c r="D190" s="1">
        <v>1464</v>
      </c>
      <c r="E190" s="30">
        <v>500</v>
      </c>
      <c r="F190" s="1">
        <v>1560</v>
      </c>
      <c r="G190" s="1">
        <v>50.85</v>
      </c>
      <c r="H190" s="1">
        <v>1760</v>
      </c>
      <c r="I190" s="1">
        <v>12.25</v>
      </c>
      <c r="J190" s="1">
        <v>54000</v>
      </c>
      <c r="K190" s="1">
        <v>500</v>
      </c>
      <c r="L190" s="1">
        <v>12.05</v>
      </c>
      <c r="M190" s="1">
        <v>12.5</v>
      </c>
      <c r="N190" s="1">
        <v>500</v>
      </c>
      <c r="O190" s="9"/>
      <c r="P190" s="7">
        <f t="shared" ca="1" si="49"/>
        <v>-0.193</v>
      </c>
      <c r="Q190" s="7">
        <f t="shared" ca="1" si="50"/>
        <v>-7.7200000000000003E-3</v>
      </c>
      <c r="R190" s="33">
        <f t="shared" ca="1" si="44"/>
        <v>19300</v>
      </c>
      <c r="S190" s="33">
        <f t="shared" ca="1" si="45"/>
        <v>-80700</v>
      </c>
      <c r="T190" s="33">
        <f t="shared" ca="1" si="51"/>
        <v>19300</v>
      </c>
      <c r="U190" s="7">
        <f t="shared" ca="1" si="46"/>
        <v>0.23915737298636927</v>
      </c>
      <c r="V190" s="7">
        <f t="shared" ca="1" si="47"/>
        <v>-0.50870811845951303</v>
      </c>
      <c r="W190" s="33">
        <f t="shared" ca="1" si="52"/>
        <v>19300</v>
      </c>
      <c r="X190" s="7">
        <f t="shared" ca="1" si="53"/>
        <v>1</v>
      </c>
      <c r="Y190" s="7">
        <f t="shared" ca="1" si="54"/>
        <v>1.2391573729863692</v>
      </c>
      <c r="Z190" s="7">
        <f t="shared" ca="1" si="48"/>
        <v>-9.0556124130837037E-2</v>
      </c>
      <c r="AA190" s="33">
        <f t="shared" ca="1" si="55"/>
        <v>19300</v>
      </c>
      <c r="AB190" s="7">
        <f t="shared" ca="1" si="56"/>
        <v>1</v>
      </c>
      <c r="AC190" s="7">
        <f t="shared" ca="1" si="57"/>
        <v>1.2391573729863692</v>
      </c>
      <c r="AD190" s="40"/>
      <c r="AE190" s="42"/>
      <c r="AF190" s="34"/>
      <c r="AH190" s="34"/>
    </row>
    <row r="191" spans="1:34" x14ac:dyDescent="0.25">
      <c r="A191" s="1"/>
      <c r="B191" s="25">
        <v>43979</v>
      </c>
      <c r="C191" s="10" t="s">
        <v>1298</v>
      </c>
      <c r="D191" s="1">
        <v>1464</v>
      </c>
      <c r="E191" s="30">
        <v>500</v>
      </c>
      <c r="F191" s="1">
        <v>1560</v>
      </c>
      <c r="G191" s="1">
        <v>50.85</v>
      </c>
      <c r="H191" s="1">
        <v>1780</v>
      </c>
      <c r="I191" s="1">
        <v>10.7</v>
      </c>
      <c r="J191" s="1">
        <v>363500</v>
      </c>
      <c r="K191" s="1">
        <v>6000</v>
      </c>
      <c r="L191" s="1">
        <v>10.5</v>
      </c>
      <c r="M191" s="1">
        <v>10.75</v>
      </c>
      <c r="N191" s="1">
        <v>1000</v>
      </c>
      <c r="O191" s="9"/>
      <c r="P191" s="7">
        <f t="shared" ca="1" si="49"/>
        <v>-0.18250000000000002</v>
      </c>
      <c r="Q191" s="7">
        <f t="shared" ca="1" si="50"/>
        <v>-7.3000000000000009E-3</v>
      </c>
      <c r="R191" s="33">
        <f t="shared" ca="1" si="44"/>
        <v>20075.000000000004</v>
      </c>
      <c r="S191" s="33">
        <f t="shared" ca="1" si="45"/>
        <v>-89925</v>
      </c>
      <c r="T191" s="33">
        <f t="shared" ca="1" si="51"/>
        <v>20075.000000000004</v>
      </c>
      <c r="U191" s="7">
        <f t="shared" ca="1" si="46"/>
        <v>0.22324159021406731</v>
      </c>
      <c r="V191" s="7">
        <f t="shared" ca="1" si="47"/>
        <v>-0.50870811845951303</v>
      </c>
      <c r="W191" s="33">
        <f t="shared" ca="1" si="52"/>
        <v>20075.000000000004</v>
      </c>
      <c r="X191" s="7">
        <f t="shared" ca="1" si="53"/>
        <v>1</v>
      </c>
      <c r="Y191" s="7">
        <f t="shared" ca="1" si="54"/>
        <v>1.2232415902140672</v>
      </c>
      <c r="Z191" s="7">
        <f t="shared" ca="1" si="48"/>
        <v>-9.0556124130837037E-2</v>
      </c>
      <c r="AA191" s="33">
        <f t="shared" ca="1" si="55"/>
        <v>20075.000000000004</v>
      </c>
      <c r="AB191" s="7">
        <f t="shared" ca="1" si="56"/>
        <v>1</v>
      </c>
      <c r="AC191" s="7">
        <f t="shared" ca="1" si="57"/>
        <v>1.2232415902140672</v>
      </c>
      <c r="AD191" s="40"/>
      <c r="AE191" s="42"/>
      <c r="AF191" s="34"/>
      <c r="AH191" s="34"/>
    </row>
    <row r="192" spans="1:34" x14ac:dyDescent="0.25">
      <c r="A192" s="1"/>
      <c r="B192" s="25">
        <v>43979</v>
      </c>
      <c r="C192" s="10" t="s">
        <v>1344</v>
      </c>
      <c r="D192" s="1">
        <v>31.9</v>
      </c>
      <c r="E192" s="30">
        <v>15700</v>
      </c>
      <c r="F192" s="1">
        <v>35</v>
      </c>
      <c r="G192" s="1">
        <v>1.2</v>
      </c>
      <c r="H192" s="1">
        <v>36</v>
      </c>
      <c r="I192" s="1">
        <v>1.05</v>
      </c>
      <c r="J192" s="1">
        <v>31400</v>
      </c>
      <c r="K192" s="1">
        <v>31400</v>
      </c>
      <c r="L192" s="1">
        <v>0.85</v>
      </c>
      <c r="M192" s="1">
        <v>1.1000000000000001</v>
      </c>
      <c r="N192" s="1">
        <v>109900</v>
      </c>
      <c r="O192" s="9"/>
      <c r="P192" s="7">
        <f t="shared" ca="1" si="49"/>
        <v>-0.14999999999999991</v>
      </c>
      <c r="Q192" s="7">
        <f t="shared" ca="1" si="50"/>
        <v>-5.9999999999999967E-3</v>
      </c>
      <c r="R192" s="33">
        <f t="shared" ca="1" si="44"/>
        <v>2354.9999999999986</v>
      </c>
      <c r="S192" s="33">
        <f t="shared" ca="1" si="45"/>
        <v>-13345.000000000002</v>
      </c>
      <c r="T192" s="33">
        <f t="shared" ca="1" si="51"/>
        <v>2354.9999999999986</v>
      </c>
      <c r="U192" s="7">
        <f t="shared" ca="1" si="46"/>
        <v>0.17647058823529399</v>
      </c>
      <c r="V192" s="7">
        <f t="shared" ca="1" si="47"/>
        <v>-0.73139706269394511</v>
      </c>
      <c r="W192" s="33">
        <f t="shared" ca="1" si="52"/>
        <v>2354.9999999999986</v>
      </c>
      <c r="X192" s="7">
        <f t="shared" ca="1" si="53"/>
        <v>1</v>
      </c>
      <c r="Y192" s="7">
        <f t="shared" ca="1" si="54"/>
        <v>1.1764705882352939</v>
      </c>
      <c r="Z192" s="7">
        <f t="shared" ca="1" si="48"/>
        <v>-0.22467916111787425</v>
      </c>
      <c r="AA192" s="33">
        <f t="shared" ca="1" si="55"/>
        <v>2354.9999999999986</v>
      </c>
      <c r="AB192" s="7">
        <f t="shared" ca="1" si="56"/>
        <v>1</v>
      </c>
      <c r="AC192" s="7">
        <f t="shared" ca="1" si="57"/>
        <v>1.1764705882352939</v>
      </c>
      <c r="AD192" s="40"/>
      <c r="AE192" s="42"/>
      <c r="AF192" s="34"/>
      <c r="AH192" s="34"/>
    </row>
    <row r="193" spans="1:34" x14ac:dyDescent="0.25">
      <c r="A193" s="1"/>
      <c r="B193" s="25">
        <v>43979</v>
      </c>
      <c r="C193" s="10" t="s">
        <v>1344</v>
      </c>
      <c r="D193" s="1">
        <v>31.9</v>
      </c>
      <c r="E193" s="30">
        <v>15700</v>
      </c>
      <c r="F193" s="1">
        <v>35</v>
      </c>
      <c r="G193" s="1">
        <v>1.2</v>
      </c>
      <c r="H193" s="1">
        <v>40</v>
      </c>
      <c r="I193" s="1">
        <v>0.45</v>
      </c>
      <c r="J193" s="1">
        <v>612300</v>
      </c>
      <c r="K193" s="1">
        <v>109900</v>
      </c>
      <c r="L193" s="1">
        <v>0.4</v>
      </c>
      <c r="M193" s="1">
        <v>0.5</v>
      </c>
      <c r="N193" s="1">
        <v>78500</v>
      </c>
      <c r="O193" s="9"/>
      <c r="P193" s="7">
        <f t="shared" ca="1" si="49"/>
        <v>-0.15</v>
      </c>
      <c r="Q193" s="7">
        <f t="shared" ca="1" si="50"/>
        <v>-6.0000000000000001E-3</v>
      </c>
      <c r="R193" s="33">
        <f t="shared" ca="1" si="44"/>
        <v>11775</v>
      </c>
      <c r="S193" s="33">
        <f t="shared" ca="1" si="45"/>
        <v>-66725</v>
      </c>
      <c r="T193" s="33">
        <f t="shared" ca="1" si="51"/>
        <v>11775</v>
      </c>
      <c r="U193" s="7">
        <f t="shared" ca="1" si="46"/>
        <v>0.17647058823529413</v>
      </c>
      <c r="V193" s="7">
        <f t="shared" ca="1" si="47"/>
        <v>-0.73139706269394511</v>
      </c>
      <c r="W193" s="33">
        <f t="shared" ca="1" si="52"/>
        <v>11775</v>
      </c>
      <c r="X193" s="7">
        <f t="shared" ca="1" si="53"/>
        <v>1</v>
      </c>
      <c r="Y193" s="7">
        <f t="shared" ca="1" si="54"/>
        <v>1.1764705882352942</v>
      </c>
      <c r="Z193" s="7">
        <f t="shared" ca="1" si="48"/>
        <v>-0.22467916111787425</v>
      </c>
      <c r="AA193" s="33">
        <f t="shared" ca="1" si="55"/>
        <v>11775</v>
      </c>
      <c r="AB193" s="7">
        <f t="shared" ca="1" si="56"/>
        <v>1</v>
      </c>
      <c r="AC193" s="7">
        <f t="shared" ca="1" si="57"/>
        <v>1.1764705882352942</v>
      </c>
      <c r="AD193" s="40"/>
      <c r="AE193" s="42"/>
      <c r="AF193" s="34"/>
      <c r="AH193" s="34"/>
    </row>
    <row r="194" spans="1:34" x14ac:dyDescent="0.25">
      <c r="A194" s="1"/>
      <c r="B194" s="25">
        <v>43979</v>
      </c>
      <c r="C194" s="10" t="s">
        <v>1344</v>
      </c>
      <c r="D194" s="1">
        <v>31.9</v>
      </c>
      <c r="E194" s="30">
        <v>15700</v>
      </c>
      <c r="F194" s="1">
        <v>35</v>
      </c>
      <c r="G194" s="1">
        <v>1.2</v>
      </c>
      <c r="H194" s="1">
        <v>45</v>
      </c>
      <c r="I194" s="1">
        <v>0.15</v>
      </c>
      <c r="J194" s="1">
        <v>141300</v>
      </c>
      <c r="K194" s="1">
        <v>15700</v>
      </c>
      <c r="L194" s="1">
        <v>0.15</v>
      </c>
      <c r="M194" s="1">
        <v>0.2</v>
      </c>
      <c r="N194" s="1">
        <v>62800</v>
      </c>
      <c r="O194" s="9"/>
      <c r="P194" s="7">
        <f t="shared" ca="1" si="49"/>
        <v>-0.10500000000000001</v>
      </c>
      <c r="Q194" s="7">
        <f t="shared" ca="1" si="50"/>
        <v>-4.2000000000000006E-3</v>
      </c>
      <c r="R194" s="33">
        <f t="shared" ca="1" si="44"/>
        <v>16485</v>
      </c>
      <c r="S194" s="33">
        <f t="shared" ca="1" si="45"/>
        <v>-140515</v>
      </c>
      <c r="T194" s="33">
        <f t="shared" ca="1" si="51"/>
        <v>16485</v>
      </c>
      <c r="U194" s="7">
        <f t="shared" ca="1" si="46"/>
        <v>0.11731843575418995</v>
      </c>
      <c r="V194" s="7">
        <f t="shared" ca="1" si="47"/>
        <v>-0.73139706269394511</v>
      </c>
      <c r="W194" s="33">
        <f t="shared" ca="1" si="52"/>
        <v>16485</v>
      </c>
      <c r="X194" s="7">
        <f t="shared" ca="1" si="53"/>
        <v>1</v>
      </c>
      <c r="Y194" s="7">
        <f t="shared" ca="1" si="54"/>
        <v>1.1173184357541899</v>
      </c>
      <c r="Z194" s="7">
        <f t="shared" ca="1" si="48"/>
        <v>-0.22467916111787425</v>
      </c>
      <c r="AA194" s="33">
        <f t="shared" ca="1" si="55"/>
        <v>16485</v>
      </c>
      <c r="AB194" s="7">
        <f t="shared" ca="1" si="56"/>
        <v>1</v>
      </c>
      <c r="AC194" s="7">
        <f t="shared" ca="1" si="57"/>
        <v>1.1173184357541899</v>
      </c>
      <c r="AD194" s="40"/>
      <c r="AE194" s="42"/>
      <c r="AF194" s="34"/>
      <c r="AH194" s="34"/>
    </row>
    <row r="195" spans="1:34" x14ac:dyDescent="0.25">
      <c r="A195" s="1"/>
      <c r="B195" s="25">
        <v>43979</v>
      </c>
      <c r="C195" s="10" t="s">
        <v>1373</v>
      </c>
      <c r="D195" s="1">
        <v>190.2</v>
      </c>
      <c r="E195" s="30">
        <v>3000</v>
      </c>
      <c r="F195" s="1">
        <v>210</v>
      </c>
      <c r="G195" s="1">
        <v>7.65</v>
      </c>
      <c r="H195" s="1">
        <v>220</v>
      </c>
      <c r="I195" s="1">
        <v>5.25</v>
      </c>
      <c r="J195" s="1">
        <v>2670000</v>
      </c>
      <c r="K195" s="1">
        <v>9000</v>
      </c>
      <c r="L195" s="1">
        <v>5.25</v>
      </c>
      <c r="M195" s="1">
        <v>5.3</v>
      </c>
      <c r="N195" s="1">
        <v>36000</v>
      </c>
      <c r="O195" s="9"/>
      <c r="P195" s="7">
        <f t="shared" ca="1" si="49"/>
        <v>-0.24000000000000005</v>
      </c>
      <c r="Q195" s="7">
        <f t="shared" ca="1" si="50"/>
        <v>-9.6000000000000026E-3</v>
      </c>
      <c r="R195" s="33">
        <f t="shared" ca="1" si="44"/>
        <v>7200.0000000000009</v>
      </c>
      <c r="S195" s="33">
        <f t="shared" ca="1" si="45"/>
        <v>-22800</v>
      </c>
      <c r="T195" s="33">
        <f t="shared" ca="1" si="51"/>
        <v>7200.0000000000009</v>
      </c>
      <c r="U195" s="7">
        <f t="shared" ca="1" si="46"/>
        <v>0.31578947368421056</v>
      </c>
      <c r="V195" s="7">
        <f t="shared" ca="1" si="47"/>
        <v>-0.6217093200799273</v>
      </c>
      <c r="W195" s="33">
        <f t="shared" ca="1" si="52"/>
        <v>7200.0000000000009</v>
      </c>
      <c r="X195" s="7">
        <f t="shared" ca="1" si="53"/>
        <v>1</v>
      </c>
      <c r="Y195" s="7">
        <f t="shared" ca="1" si="54"/>
        <v>1.3157894736842106</v>
      </c>
      <c r="Z195" s="7">
        <f t="shared" ca="1" si="48"/>
        <v>-0.15583853436235279</v>
      </c>
      <c r="AA195" s="33">
        <f t="shared" ca="1" si="55"/>
        <v>7200.0000000000009</v>
      </c>
      <c r="AB195" s="7">
        <f t="shared" ca="1" si="56"/>
        <v>1</v>
      </c>
      <c r="AC195" s="7">
        <f t="shared" ca="1" si="57"/>
        <v>1.3157894736842106</v>
      </c>
      <c r="AD195" s="40"/>
      <c r="AE195" s="42"/>
      <c r="AF195" s="34"/>
      <c r="AH195" s="34"/>
    </row>
    <row r="196" spans="1:34" x14ac:dyDescent="0.25">
      <c r="A196" s="1"/>
      <c r="B196" s="25">
        <v>43979</v>
      </c>
      <c r="C196" s="10" t="s">
        <v>1373</v>
      </c>
      <c r="D196" s="1">
        <v>190.2</v>
      </c>
      <c r="E196" s="30">
        <v>3000</v>
      </c>
      <c r="F196" s="1">
        <v>210</v>
      </c>
      <c r="G196" s="1">
        <v>7.65</v>
      </c>
      <c r="H196" s="1">
        <v>230</v>
      </c>
      <c r="I196" s="1">
        <v>3.5</v>
      </c>
      <c r="J196" s="1">
        <v>1485000</v>
      </c>
      <c r="K196" s="1">
        <v>12000</v>
      </c>
      <c r="L196" s="1">
        <v>3.45</v>
      </c>
      <c r="M196" s="1">
        <v>3.55</v>
      </c>
      <c r="N196" s="1">
        <v>18000</v>
      </c>
      <c r="O196" s="9"/>
      <c r="P196" s="7">
        <f t="shared" ca="1" si="49"/>
        <v>-0.20750000000000002</v>
      </c>
      <c r="Q196" s="7">
        <f t="shared" ca="1" si="50"/>
        <v>-8.3000000000000001E-3</v>
      </c>
      <c r="R196" s="33">
        <f t="shared" ref="R196:R236" ca="1" si="58">$E196*($G196-$I196)</f>
        <v>12450.000000000002</v>
      </c>
      <c r="S196" s="33">
        <f t="shared" ref="S196:S236" ca="1" si="59">-(($H196-$F196)*$E196-$R196)</f>
        <v>-47550</v>
      </c>
      <c r="T196" s="33">
        <f t="shared" ca="1" si="51"/>
        <v>12450.000000000002</v>
      </c>
      <c r="U196" s="7">
        <f t="shared" ref="U196:U236" ca="1" si="60">ABS($T196/$S196)</f>
        <v>0.26182965299684546</v>
      </c>
      <c r="V196" s="7">
        <f t="shared" ref="V196:V236" ca="1" si="61">mrigxl_max_drawdown($C196,INT($B196-TODAY()))</f>
        <v>-0.6217093200799273</v>
      </c>
      <c r="W196" s="33">
        <f t="shared" ca="1" si="52"/>
        <v>12450.000000000002</v>
      </c>
      <c r="X196" s="7">
        <f t="shared" ca="1" si="53"/>
        <v>1</v>
      </c>
      <c r="Y196" s="7">
        <f t="shared" ca="1" si="54"/>
        <v>1.2618296529968456</v>
      </c>
      <c r="Z196" s="7">
        <f t="shared" ref="Z196:Z236" ca="1" si="62">mrigxl_avg_drawdown($C196,INT($B196-TODAY()))</f>
        <v>-0.15583853436235279</v>
      </c>
      <c r="AA196" s="33">
        <f t="shared" ca="1" si="55"/>
        <v>12450.000000000002</v>
      </c>
      <c r="AB196" s="7">
        <f t="shared" ca="1" si="56"/>
        <v>1</v>
      </c>
      <c r="AC196" s="7">
        <f t="shared" ca="1" si="57"/>
        <v>1.2618296529968456</v>
      </c>
      <c r="AD196" s="40"/>
      <c r="AE196" s="42"/>
      <c r="AF196" s="34"/>
      <c r="AH196" s="34"/>
    </row>
    <row r="197" spans="1:34" x14ac:dyDescent="0.25">
      <c r="A197" s="1"/>
      <c r="B197" s="25">
        <v>43979</v>
      </c>
      <c r="C197" s="10" t="s">
        <v>1373</v>
      </c>
      <c r="D197" s="1">
        <v>190.2</v>
      </c>
      <c r="E197" s="30">
        <v>3000</v>
      </c>
      <c r="F197" s="1">
        <v>210</v>
      </c>
      <c r="G197" s="1">
        <v>7.65</v>
      </c>
      <c r="H197" s="1">
        <v>240</v>
      </c>
      <c r="I197" s="1">
        <v>2.35</v>
      </c>
      <c r="J197" s="1">
        <v>948000</v>
      </c>
      <c r="K197" s="1">
        <v>12000</v>
      </c>
      <c r="L197" s="1">
        <v>2.2999999999999998</v>
      </c>
      <c r="M197" s="1">
        <v>2.4</v>
      </c>
      <c r="N197" s="1">
        <v>6000</v>
      </c>
      <c r="O197" s="9"/>
      <c r="P197" s="7">
        <f t="shared" ref="P197:P236" ca="1" si="63">($G197-$I197)/($F197-$H197)</f>
        <v>-0.17666666666666669</v>
      </c>
      <c r="Q197" s="7">
        <f t="shared" ca="1" si="50"/>
        <v>-7.0666666666666681E-3</v>
      </c>
      <c r="R197" s="33">
        <f t="shared" ca="1" si="58"/>
        <v>15900.000000000002</v>
      </c>
      <c r="S197" s="33">
        <f t="shared" ca="1" si="59"/>
        <v>-74100</v>
      </c>
      <c r="T197" s="33">
        <f t="shared" ca="1" si="51"/>
        <v>15900.000000000002</v>
      </c>
      <c r="U197" s="7">
        <f t="shared" ca="1" si="60"/>
        <v>0.21457489878542513</v>
      </c>
      <c r="V197" s="7">
        <f t="shared" ca="1" si="61"/>
        <v>-0.6217093200799273</v>
      </c>
      <c r="W197" s="33">
        <f t="shared" ca="1" si="52"/>
        <v>15900.000000000002</v>
      </c>
      <c r="X197" s="7">
        <f t="shared" ca="1" si="53"/>
        <v>1</v>
      </c>
      <c r="Y197" s="7">
        <f t="shared" ca="1" si="54"/>
        <v>1.214574898785425</v>
      </c>
      <c r="Z197" s="7">
        <f t="shared" ca="1" si="62"/>
        <v>-0.15583853436235279</v>
      </c>
      <c r="AA197" s="33">
        <f t="shared" ca="1" si="55"/>
        <v>15900.000000000002</v>
      </c>
      <c r="AB197" s="7">
        <f t="shared" ca="1" si="56"/>
        <v>1</v>
      </c>
      <c r="AC197" s="7">
        <f t="shared" ca="1" si="57"/>
        <v>1.214574898785425</v>
      </c>
      <c r="AD197" s="40"/>
      <c r="AE197" s="42"/>
      <c r="AF197" s="34"/>
      <c r="AH197" s="34"/>
    </row>
    <row r="198" spans="1:34" x14ac:dyDescent="0.25">
      <c r="A198" s="1"/>
      <c r="B198" s="25">
        <v>43979</v>
      </c>
      <c r="C198" s="10" t="s">
        <v>1373</v>
      </c>
      <c r="D198" s="1">
        <v>190.2</v>
      </c>
      <c r="E198" s="30">
        <v>3000</v>
      </c>
      <c r="F198" s="1">
        <v>210</v>
      </c>
      <c r="G198" s="1">
        <v>7.65</v>
      </c>
      <c r="H198" s="1">
        <v>250</v>
      </c>
      <c r="I198" s="1">
        <v>1.7</v>
      </c>
      <c r="J198" s="1">
        <v>1440000</v>
      </c>
      <c r="K198" s="1">
        <v>24000</v>
      </c>
      <c r="L198" s="1">
        <v>1.65</v>
      </c>
      <c r="M198" s="1">
        <v>1.7</v>
      </c>
      <c r="N198" s="1">
        <v>21000</v>
      </c>
      <c r="O198" s="9"/>
      <c r="P198" s="7">
        <f t="shared" ca="1" si="63"/>
        <v>-0.14874999999999999</v>
      </c>
      <c r="Q198" s="7">
        <f t="shared" ca="1" si="50"/>
        <v>-5.9499999999999996E-3</v>
      </c>
      <c r="R198" s="33">
        <f t="shared" ca="1" si="58"/>
        <v>17850</v>
      </c>
      <c r="S198" s="33">
        <f t="shared" ca="1" si="59"/>
        <v>-102150</v>
      </c>
      <c r="T198" s="33">
        <f t="shared" ca="1" si="51"/>
        <v>17850</v>
      </c>
      <c r="U198" s="7">
        <f t="shared" ca="1" si="60"/>
        <v>0.17474302496328928</v>
      </c>
      <c r="V198" s="7">
        <f t="shared" ca="1" si="61"/>
        <v>-0.6217093200799273</v>
      </c>
      <c r="W198" s="33">
        <f t="shared" ca="1" si="52"/>
        <v>17850</v>
      </c>
      <c r="X198" s="7">
        <f t="shared" ca="1" si="53"/>
        <v>1</v>
      </c>
      <c r="Y198" s="7">
        <f t="shared" ca="1" si="54"/>
        <v>1.1747430249632893</v>
      </c>
      <c r="Z198" s="7">
        <f t="shared" ca="1" si="62"/>
        <v>-0.15583853436235279</v>
      </c>
      <c r="AA198" s="33">
        <f t="shared" ca="1" si="55"/>
        <v>17850</v>
      </c>
      <c r="AB198" s="7">
        <f t="shared" ca="1" si="56"/>
        <v>1</v>
      </c>
      <c r="AC198" s="7">
        <f t="shared" ca="1" si="57"/>
        <v>1.1747430249632893</v>
      </c>
      <c r="AD198" s="40"/>
      <c r="AE198" s="42"/>
      <c r="AF198" s="34"/>
      <c r="AH198" s="34"/>
    </row>
    <row r="199" spans="1:34" x14ac:dyDescent="0.25">
      <c r="A199" s="1"/>
      <c r="B199" s="25">
        <v>43979</v>
      </c>
      <c r="C199" s="10" t="s">
        <v>1373</v>
      </c>
      <c r="D199" s="1">
        <v>190.2</v>
      </c>
      <c r="E199" s="30">
        <v>3000</v>
      </c>
      <c r="F199" s="1">
        <v>210</v>
      </c>
      <c r="G199" s="1">
        <v>7.65</v>
      </c>
      <c r="H199" s="1">
        <v>260</v>
      </c>
      <c r="I199" s="1">
        <v>1.25</v>
      </c>
      <c r="J199" s="1">
        <v>435000</v>
      </c>
      <c r="K199" s="1">
        <v>12000</v>
      </c>
      <c r="L199" s="1">
        <v>1.1499999999999999</v>
      </c>
      <c r="M199" s="1">
        <v>1.25</v>
      </c>
      <c r="N199" s="1">
        <v>24000</v>
      </c>
      <c r="O199" s="9"/>
      <c r="P199" s="7">
        <f t="shared" ca="1" si="63"/>
        <v>-0.128</v>
      </c>
      <c r="Q199" s="7">
        <f t="shared" ca="1" si="50"/>
        <v>-5.1200000000000004E-3</v>
      </c>
      <c r="R199" s="33">
        <f t="shared" ca="1" si="58"/>
        <v>19200</v>
      </c>
      <c r="S199" s="33">
        <f t="shared" ca="1" si="59"/>
        <v>-130800</v>
      </c>
      <c r="T199" s="33">
        <f t="shared" ca="1" si="51"/>
        <v>19200</v>
      </c>
      <c r="U199" s="7">
        <f t="shared" ca="1" si="60"/>
        <v>0.14678899082568808</v>
      </c>
      <c r="V199" s="7">
        <f t="shared" ca="1" si="61"/>
        <v>-0.6217093200799273</v>
      </c>
      <c r="W199" s="33">
        <f t="shared" ca="1" si="52"/>
        <v>19200</v>
      </c>
      <c r="X199" s="7">
        <f t="shared" ca="1" si="53"/>
        <v>1</v>
      </c>
      <c r="Y199" s="7">
        <f t="shared" ca="1" si="54"/>
        <v>1.1467889908256881</v>
      </c>
      <c r="Z199" s="7">
        <f t="shared" ca="1" si="62"/>
        <v>-0.15583853436235279</v>
      </c>
      <c r="AA199" s="33">
        <f t="shared" ca="1" si="55"/>
        <v>19200</v>
      </c>
      <c r="AB199" s="7">
        <f t="shared" ca="1" si="56"/>
        <v>1</v>
      </c>
      <c r="AC199" s="7">
        <f t="shared" ca="1" si="57"/>
        <v>1.1467889908256881</v>
      </c>
      <c r="AD199" s="40"/>
      <c r="AE199" s="42"/>
      <c r="AF199" s="34"/>
      <c r="AH199" s="34"/>
    </row>
    <row r="200" spans="1:34" x14ac:dyDescent="0.25">
      <c r="A200" s="1"/>
      <c r="B200" s="25">
        <v>43979</v>
      </c>
      <c r="C200" s="10" t="s">
        <v>1373</v>
      </c>
      <c r="D200" s="1">
        <v>190.2</v>
      </c>
      <c r="E200" s="30">
        <v>3000</v>
      </c>
      <c r="F200" s="1">
        <v>210</v>
      </c>
      <c r="G200" s="1">
        <v>7.65</v>
      </c>
      <c r="H200" s="1">
        <v>270</v>
      </c>
      <c r="I200" s="1">
        <v>0.95</v>
      </c>
      <c r="J200" s="1">
        <v>81000</v>
      </c>
      <c r="K200" s="1">
        <v>12000</v>
      </c>
      <c r="L200" s="1">
        <v>0.85</v>
      </c>
      <c r="M200" s="1">
        <v>0.95</v>
      </c>
      <c r="N200" s="1">
        <v>6000</v>
      </c>
      <c r="O200" s="9"/>
      <c r="P200" s="7">
        <f t="shared" ca="1" si="63"/>
        <v>-0.11166666666666666</v>
      </c>
      <c r="Q200" s="7">
        <f t="shared" ca="1" si="50"/>
        <v>-4.4666666666666665E-3</v>
      </c>
      <c r="R200" s="33">
        <f t="shared" ca="1" si="58"/>
        <v>20100</v>
      </c>
      <c r="S200" s="33">
        <f t="shared" ca="1" si="59"/>
        <v>-159900</v>
      </c>
      <c r="T200" s="33">
        <f t="shared" ca="1" si="51"/>
        <v>20100</v>
      </c>
      <c r="U200" s="7">
        <f t="shared" ca="1" si="60"/>
        <v>0.12570356472795496</v>
      </c>
      <c r="V200" s="7">
        <f t="shared" ca="1" si="61"/>
        <v>-0.6217093200799273</v>
      </c>
      <c r="W200" s="33">
        <f t="shared" ca="1" si="52"/>
        <v>20100</v>
      </c>
      <c r="X200" s="7">
        <f t="shared" ca="1" si="53"/>
        <v>1</v>
      </c>
      <c r="Y200" s="7">
        <f t="shared" ca="1" si="54"/>
        <v>1.125703564727955</v>
      </c>
      <c r="Z200" s="7">
        <f t="shared" ca="1" si="62"/>
        <v>-0.15583853436235279</v>
      </c>
      <c r="AA200" s="33">
        <f t="shared" ca="1" si="55"/>
        <v>20100</v>
      </c>
      <c r="AB200" s="7">
        <f t="shared" ca="1" si="56"/>
        <v>1</v>
      </c>
      <c r="AC200" s="7">
        <f t="shared" ca="1" si="57"/>
        <v>1.125703564727955</v>
      </c>
      <c r="AD200" s="40"/>
      <c r="AE200" s="42"/>
      <c r="AF200" s="34"/>
      <c r="AH200" s="34"/>
    </row>
    <row r="201" spans="1:34" x14ac:dyDescent="0.25">
      <c r="A201" s="1"/>
      <c r="B201" s="25">
        <v>43979</v>
      </c>
      <c r="C201" s="10" t="s">
        <v>1373</v>
      </c>
      <c r="D201" s="1">
        <v>190.2</v>
      </c>
      <c r="E201" s="30">
        <v>3000</v>
      </c>
      <c r="F201" s="1">
        <v>210</v>
      </c>
      <c r="G201" s="1">
        <v>7.65</v>
      </c>
      <c r="H201" s="1">
        <v>280</v>
      </c>
      <c r="I201" s="1">
        <v>0.65</v>
      </c>
      <c r="J201" s="1">
        <v>96000</v>
      </c>
      <c r="K201" s="1">
        <v>3000</v>
      </c>
      <c r="L201" s="1">
        <v>0.65</v>
      </c>
      <c r="M201" s="1">
        <v>0.8</v>
      </c>
      <c r="N201" s="1">
        <v>6000</v>
      </c>
      <c r="O201" s="9"/>
      <c r="P201" s="7">
        <f t="shared" ca="1" si="63"/>
        <v>-0.1</v>
      </c>
      <c r="Q201" s="7">
        <f t="shared" ca="1" si="50"/>
        <v>-4.0000000000000001E-3</v>
      </c>
      <c r="R201" s="33">
        <f t="shared" ca="1" si="58"/>
        <v>21000</v>
      </c>
      <c r="S201" s="33">
        <f t="shared" ca="1" si="59"/>
        <v>-189000</v>
      </c>
      <c r="T201" s="33">
        <f t="shared" ca="1" si="51"/>
        <v>21000</v>
      </c>
      <c r="U201" s="7">
        <f t="shared" ca="1" si="60"/>
        <v>0.1111111111111111</v>
      </c>
      <c r="V201" s="7">
        <f t="shared" ca="1" si="61"/>
        <v>-0.6217093200799273</v>
      </c>
      <c r="W201" s="33">
        <f t="shared" ca="1" si="52"/>
        <v>21000</v>
      </c>
      <c r="X201" s="7">
        <f t="shared" ca="1" si="53"/>
        <v>1</v>
      </c>
      <c r="Y201" s="7">
        <f t="shared" ca="1" si="54"/>
        <v>1.1111111111111112</v>
      </c>
      <c r="Z201" s="7">
        <f t="shared" ca="1" si="62"/>
        <v>-0.15583853436235279</v>
      </c>
      <c r="AA201" s="33">
        <f t="shared" ca="1" si="55"/>
        <v>21000</v>
      </c>
      <c r="AB201" s="7">
        <f t="shared" ca="1" si="56"/>
        <v>1</v>
      </c>
      <c r="AC201" s="7">
        <f t="shared" ca="1" si="57"/>
        <v>1.1111111111111112</v>
      </c>
      <c r="AD201" s="40"/>
      <c r="AE201" s="42"/>
      <c r="AF201" s="34"/>
      <c r="AH201" s="34"/>
    </row>
    <row r="202" spans="1:34" x14ac:dyDescent="0.25">
      <c r="A202" s="1"/>
      <c r="B202" s="25">
        <v>43979</v>
      </c>
      <c r="C202" s="10" t="s">
        <v>1503</v>
      </c>
      <c r="D202" s="1">
        <v>790</v>
      </c>
      <c r="E202" s="30">
        <v>600</v>
      </c>
      <c r="F202" s="1">
        <v>860</v>
      </c>
      <c r="G202" s="1">
        <v>33</v>
      </c>
      <c r="H202" s="1">
        <v>1000</v>
      </c>
      <c r="I202" s="1">
        <v>17</v>
      </c>
      <c r="J202" s="1">
        <v>19800</v>
      </c>
      <c r="K202" s="1">
        <v>3000</v>
      </c>
      <c r="L202" s="1">
        <v>13.55</v>
      </c>
      <c r="M202" s="1">
        <v>16.95</v>
      </c>
      <c r="N202" s="1">
        <v>600</v>
      </c>
      <c r="O202" s="9"/>
      <c r="P202" s="7">
        <f t="shared" ca="1" si="63"/>
        <v>-0.11428571428571428</v>
      </c>
      <c r="Q202" s="7">
        <f t="shared" ca="1" si="50"/>
        <v>-4.5714285714285709E-3</v>
      </c>
      <c r="R202" s="33">
        <f t="shared" ca="1" si="58"/>
        <v>9600</v>
      </c>
      <c r="S202" s="33">
        <f t="shared" ca="1" si="59"/>
        <v>-74400</v>
      </c>
      <c r="T202" s="33">
        <f t="shared" ca="1" si="51"/>
        <v>9600</v>
      </c>
      <c r="U202" s="7">
        <f t="shared" ca="1" si="60"/>
        <v>0.12903225806451613</v>
      </c>
      <c r="V202" s="7">
        <f t="shared" ca="1" si="61"/>
        <v>-0.99170617448023968</v>
      </c>
      <c r="W202" s="33">
        <f t="shared" ca="1" si="52"/>
        <v>9600</v>
      </c>
      <c r="X202" s="7">
        <f t="shared" ca="1" si="53"/>
        <v>1</v>
      </c>
      <c r="Y202" s="7">
        <f t="shared" ca="1" si="54"/>
        <v>1.129032258064516</v>
      </c>
      <c r="Z202" s="7">
        <f t="shared" ca="1" si="62"/>
        <v>-0.16270634411472235</v>
      </c>
      <c r="AA202" s="33">
        <f t="shared" ca="1" si="55"/>
        <v>9600</v>
      </c>
      <c r="AB202" s="7">
        <f t="shared" ca="1" si="56"/>
        <v>1</v>
      </c>
      <c r="AC202" s="7">
        <f t="shared" ca="1" si="57"/>
        <v>1.129032258064516</v>
      </c>
      <c r="AD202" s="40"/>
      <c r="AE202" s="42"/>
      <c r="AF202" s="34"/>
      <c r="AH202" s="34"/>
    </row>
    <row r="203" spans="1:34" x14ac:dyDescent="0.25">
      <c r="A203" s="1"/>
      <c r="B203" s="25">
        <v>43979</v>
      </c>
      <c r="C203" s="10" t="s">
        <v>1532</v>
      </c>
      <c r="D203" s="1">
        <v>384.95</v>
      </c>
      <c r="E203" s="30">
        <v>1200</v>
      </c>
      <c r="F203" s="1">
        <v>410</v>
      </c>
      <c r="G203" s="1">
        <v>21.55</v>
      </c>
      <c r="H203" s="1">
        <v>420</v>
      </c>
      <c r="I203" s="1">
        <v>17.649999999999999</v>
      </c>
      <c r="J203" s="1">
        <v>26400</v>
      </c>
      <c r="K203" s="1">
        <v>1200</v>
      </c>
      <c r="L203" s="1">
        <v>16.3</v>
      </c>
      <c r="M203" s="1">
        <v>17.25</v>
      </c>
      <c r="N203" s="1">
        <v>3600</v>
      </c>
      <c r="O203" s="9"/>
      <c r="P203" s="7">
        <f t="shared" ca="1" si="63"/>
        <v>-0.39000000000000024</v>
      </c>
      <c r="Q203" s="7">
        <f t="shared" ca="1" si="50"/>
        <v>-1.560000000000001E-2</v>
      </c>
      <c r="R203" s="33">
        <f t="shared" ca="1" si="58"/>
        <v>4680.0000000000027</v>
      </c>
      <c r="S203" s="33">
        <f t="shared" ca="1" si="59"/>
        <v>-7319.9999999999973</v>
      </c>
      <c r="T203" s="33">
        <f t="shared" ca="1" si="51"/>
        <v>4680.0000000000027</v>
      </c>
      <c r="U203" s="7">
        <f t="shared" ca="1" si="60"/>
        <v>0.63934426229508257</v>
      </c>
      <c r="V203" s="7">
        <f t="shared" ca="1" si="61"/>
        <v>-0.60356387648627741</v>
      </c>
      <c r="W203" s="33">
        <f t="shared" ca="1" si="52"/>
        <v>4680.0000000000027</v>
      </c>
      <c r="X203" s="7">
        <f t="shared" ca="1" si="53"/>
        <v>1</v>
      </c>
      <c r="Y203" s="7">
        <f t="shared" ca="1" si="54"/>
        <v>1.6393442622950825</v>
      </c>
      <c r="Z203" s="7">
        <f t="shared" ca="1" si="62"/>
        <v>-0.11863506494066843</v>
      </c>
      <c r="AA203" s="33">
        <f t="shared" ca="1" si="55"/>
        <v>4680.0000000000027</v>
      </c>
      <c r="AB203" s="7">
        <f t="shared" ca="1" si="56"/>
        <v>1</v>
      </c>
      <c r="AC203" s="7">
        <f t="shared" ca="1" si="57"/>
        <v>1.6393442622950825</v>
      </c>
      <c r="AD203" s="40"/>
      <c r="AE203" s="42"/>
      <c r="AF203" s="34"/>
      <c r="AH203" s="34"/>
    </row>
    <row r="204" spans="1:34" x14ac:dyDescent="0.25">
      <c r="A204" s="1"/>
      <c r="B204" s="25">
        <v>43979</v>
      </c>
      <c r="C204" s="10" t="s">
        <v>1532</v>
      </c>
      <c r="D204" s="1">
        <v>384.95</v>
      </c>
      <c r="E204" s="30">
        <v>1200</v>
      </c>
      <c r="F204" s="1">
        <v>410</v>
      </c>
      <c r="G204" s="1">
        <v>21.55</v>
      </c>
      <c r="H204" s="1">
        <v>440</v>
      </c>
      <c r="I204" s="1">
        <v>12.5</v>
      </c>
      <c r="J204" s="1">
        <v>21600</v>
      </c>
      <c r="K204" s="1">
        <v>2400</v>
      </c>
      <c r="L204" s="1">
        <v>10.3</v>
      </c>
      <c r="M204" s="1">
        <v>11.05</v>
      </c>
      <c r="N204" s="1">
        <v>1200</v>
      </c>
      <c r="O204" s="9"/>
      <c r="P204" s="7">
        <f t="shared" ca="1" si="63"/>
        <v>-0.30166666666666669</v>
      </c>
      <c r="Q204" s="7">
        <f t="shared" ca="1" si="50"/>
        <v>-1.2066666666666668E-2</v>
      </c>
      <c r="R204" s="33">
        <f t="shared" ca="1" si="58"/>
        <v>10860</v>
      </c>
      <c r="S204" s="33">
        <f t="shared" ca="1" si="59"/>
        <v>-25140</v>
      </c>
      <c r="T204" s="33">
        <f t="shared" ca="1" si="51"/>
        <v>10860</v>
      </c>
      <c r="U204" s="7">
        <f t="shared" ca="1" si="60"/>
        <v>0.43198090692124103</v>
      </c>
      <c r="V204" s="7">
        <f t="shared" ca="1" si="61"/>
        <v>-0.60356387648627741</v>
      </c>
      <c r="W204" s="33">
        <f t="shared" ca="1" si="52"/>
        <v>10860</v>
      </c>
      <c r="X204" s="7">
        <f t="shared" ca="1" si="53"/>
        <v>1</v>
      </c>
      <c r="Y204" s="7">
        <f t="shared" ca="1" si="54"/>
        <v>1.431980906921241</v>
      </c>
      <c r="Z204" s="7">
        <f t="shared" ca="1" si="62"/>
        <v>-0.11863506494066843</v>
      </c>
      <c r="AA204" s="33">
        <f t="shared" ca="1" si="55"/>
        <v>10860</v>
      </c>
      <c r="AB204" s="7">
        <f t="shared" ca="1" si="56"/>
        <v>1</v>
      </c>
      <c r="AC204" s="7">
        <f t="shared" ca="1" si="57"/>
        <v>1.431980906921241</v>
      </c>
      <c r="AD204" s="40"/>
      <c r="AE204" s="42"/>
      <c r="AF204" s="34"/>
      <c r="AH204" s="34"/>
    </row>
    <row r="205" spans="1:34" x14ac:dyDescent="0.25">
      <c r="A205" s="1"/>
      <c r="B205" s="25">
        <v>43979</v>
      </c>
      <c r="C205" s="10" t="s">
        <v>1532</v>
      </c>
      <c r="D205" s="1">
        <v>384.95</v>
      </c>
      <c r="E205" s="30">
        <v>1200</v>
      </c>
      <c r="F205" s="1">
        <v>410</v>
      </c>
      <c r="G205" s="1">
        <v>21.55</v>
      </c>
      <c r="H205" s="1">
        <v>450</v>
      </c>
      <c r="I205" s="1">
        <v>9.9499999999999993</v>
      </c>
      <c r="J205" s="1">
        <v>2400</v>
      </c>
      <c r="K205" s="1">
        <v>21600</v>
      </c>
      <c r="L205" s="1">
        <v>7.2</v>
      </c>
      <c r="M205" s="1">
        <v>10</v>
      </c>
      <c r="N205" s="1">
        <v>4800</v>
      </c>
      <c r="O205" s="9"/>
      <c r="P205" s="7">
        <f t="shared" ca="1" si="63"/>
        <v>-0.29000000000000004</v>
      </c>
      <c r="Q205" s="7">
        <f t="shared" ca="1" si="50"/>
        <v>-1.1600000000000001E-2</v>
      </c>
      <c r="R205" s="33">
        <f t="shared" ca="1" si="58"/>
        <v>13920.000000000002</v>
      </c>
      <c r="S205" s="33">
        <f t="shared" ca="1" si="59"/>
        <v>-34080</v>
      </c>
      <c r="T205" s="33">
        <f t="shared" ca="1" si="51"/>
        <v>13920.000000000002</v>
      </c>
      <c r="U205" s="7">
        <f t="shared" ca="1" si="60"/>
        <v>0.40845070422535218</v>
      </c>
      <c r="V205" s="7">
        <f t="shared" ca="1" si="61"/>
        <v>-0.60356387648627741</v>
      </c>
      <c r="W205" s="33">
        <f t="shared" ca="1" si="52"/>
        <v>13920.000000000002</v>
      </c>
      <c r="X205" s="7">
        <f t="shared" ca="1" si="53"/>
        <v>1</v>
      </c>
      <c r="Y205" s="7">
        <f t="shared" ca="1" si="54"/>
        <v>1.4084507042253522</v>
      </c>
      <c r="Z205" s="7">
        <f t="shared" ca="1" si="62"/>
        <v>-0.11863506494066843</v>
      </c>
      <c r="AA205" s="33">
        <f t="shared" ca="1" si="55"/>
        <v>13920.000000000002</v>
      </c>
      <c r="AB205" s="7">
        <f t="shared" ca="1" si="56"/>
        <v>1</v>
      </c>
      <c r="AC205" s="7">
        <f t="shared" ca="1" si="57"/>
        <v>1.4084507042253522</v>
      </c>
      <c r="AD205" s="40"/>
      <c r="AE205" s="42"/>
      <c r="AF205" s="34"/>
      <c r="AH205" s="34"/>
    </row>
    <row r="206" spans="1:34" x14ac:dyDescent="0.25">
      <c r="A206" s="1"/>
      <c r="B206" s="25">
        <v>43979</v>
      </c>
      <c r="C206" s="10" t="s">
        <v>1532</v>
      </c>
      <c r="D206" s="1">
        <v>384.95</v>
      </c>
      <c r="E206" s="30">
        <v>1200</v>
      </c>
      <c r="F206" s="1">
        <v>410</v>
      </c>
      <c r="G206" s="1">
        <v>21.55</v>
      </c>
      <c r="H206" s="1">
        <v>470</v>
      </c>
      <c r="I206" s="1">
        <v>7.05</v>
      </c>
      <c r="J206" s="1">
        <v>1200</v>
      </c>
      <c r="K206" s="1">
        <v>19200</v>
      </c>
      <c r="L206" s="1">
        <v>4.45</v>
      </c>
      <c r="M206" s="1">
        <v>7.9</v>
      </c>
      <c r="N206" s="1">
        <v>19200</v>
      </c>
      <c r="O206" s="9"/>
      <c r="P206" s="7">
        <f t="shared" ca="1" si="63"/>
        <v>-0.24166666666666667</v>
      </c>
      <c r="Q206" s="7">
        <f t="shared" ca="1" si="50"/>
        <v>-9.6666666666666672E-3</v>
      </c>
      <c r="R206" s="33">
        <f t="shared" ca="1" si="58"/>
        <v>17400</v>
      </c>
      <c r="S206" s="33">
        <f t="shared" ca="1" si="59"/>
        <v>-54600</v>
      </c>
      <c r="T206" s="33">
        <f t="shared" ca="1" si="51"/>
        <v>17400</v>
      </c>
      <c r="U206" s="7">
        <f t="shared" ca="1" si="60"/>
        <v>0.31868131868131866</v>
      </c>
      <c r="V206" s="7">
        <f t="shared" ca="1" si="61"/>
        <v>-0.60356387648627741</v>
      </c>
      <c r="W206" s="33">
        <f t="shared" ca="1" si="52"/>
        <v>17400</v>
      </c>
      <c r="X206" s="7">
        <f t="shared" ca="1" si="53"/>
        <v>1</v>
      </c>
      <c r="Y206" s="7">
        <f t="shared" ca="1" si="54"/>
        <v>1.3186813186813187</v>
      </c>
      <c r="Z206" s="7">
        <f t="shared" ca="1" si="62"/>
        <v>-0.11863506494066843</v>
      </c>
      <c r="AA206" s="33">
        <f t="shared" ca="1" si="55"/>
        <v>17400</v>
      </c>
      <c r="AB206" s="7">
        <f t="shared" ca="1" si="56"/>
        <v>1</v>
      </c>
      <c r="AC206" s="7">
        <f t="shared" ca="1" si="57"/>
        <v>1.3186813186813187</v>
      </c>
      <c r="AD206" s="40"/>
      <c r="AE206" s="42"/>
      <c r="AF206" s="34"/>
      <c r="AH206" s="34"/>
    </row>
    <row r="207" spans="1:34" x14ac:dyDescent="0.25">
      <c r="A207" s="1"/>
      <c r="B207" s="25">
        <v>43979</v>
      </c>
      <c r="C207" s="10" t="s">
        <v>1532</v>
      </c>
      <c r="D207" s="1">
        <v>384.95</v>
      </c>
      <c r="E207" s="30">
        <v>1200</v>
      </c>
      <c r="F207" s="1">
        <v>410</v>
      </c>
      <c r="G207" s="1">
        <v>21.55</v>
      </c>
      <c r="H207" s="1">
        <v>600</v>
      </c>
      <c r="I207" s="1">
        <v>0.8</v>
      </c>
      <c r="J207" s="1">
        <v>3600</v>
      </c>
      <c r="K207" s="1">
        <v>2400</v>
      </c>
      <c r="L207" s="1">
        <v>0.3</v>
      </c>
      <c r="M207" s="1">
        <v>0.8</v>
      </c>
      <c r="N207" s="1">
        <v>1200</v>
      </c>
      <c r="O207" s="9"/>
      <c r="P207" s="7">
        <f t="shared" ca="1" si="63"/>
        <v>-0.10921052631578948</v>
      </c>
      <c r="Q207" s="7">
        <f t="shared" ca="1" si="50"/>
        <v>-4.3684210526315796E-3</v>
      </c>
      <c r="R207" s="33">
        <f t="shared" ca="1" si="58"/>
        <v>24900</v>
      </c>
      <c r="S207" s="33">
        <f t="shared" ca="1" si="59"/>
        <v>-203100</v>
      </c>
      <c r="T207" s="33">
        <f t="shared" ca="1" si="51"/>
        <v>24900</v>
      </c>
      <c r="U207" s="7">
        <f t="shared" ca="1" si="60"/>
        <v>0.12259970457902511</v>
      </c>
      <c r="V207" s="7">
        <f t="shared" ca="1" si="61"/>
        <v>-0.60356387648627741</v>
      </c>
      <c r="W207" s="33">
        <f t="shared" ca="1" si="52"/>
        <v>24900</v>
      </c>
      <c r="X207" s="7">
        <f t="shared" ca="1" si="53"/>
        <v>1</v>
      </c>
      <c r="Y207" s="7">
        <f t="shared" ca="1" si="54"/>
        <v>1.122599704579025</v>
      </c>
      <c r="Z207" s="7">
        <f t="shared" ca="1" si="62"/>
        <v>-0.11863506494066843</v>
      </c>
      <c r="AA207" s="33">
        <f t="shared" ca="1" si="55"/>
        <v>24900</v>
      </c>
      <c r="AB207" s="7">
        <f t="shared" ca="1" si="56"/>
        <v>1</v>
      </c>
      <c r="AC207" s="7">
        <f t="shared" ca="1" si="57"/>
        <v>1.122599704579025</v>
      </c>
      <c r="AD207" s="40"/>
      <c r="AE207" s="42"/>
      <c r="AF207" s="34"/>
      <c r="AH207" s="34"/>
    </row>
    <row r="208" spans="1:34" x14ac:dyDescent="0.25">
      <c r="A208" s="1"/>
      <c r="B208" s="25">
        <v>43979</v>
      </c>
      <c r="C208" s="10" t="s">
        <v>1576</v>
      </c>
      <c r="D208" s="1">
        <v>93.75</v>
      </c>
      <c r="E208" s="30">
        <v>4300</v>
      </c>
      <c r="F208" s="1">
        <v>100</v>
      </c>
      <c r="G208" s="1">
        <v>5.05</v>
      </c>
      <c r="H208" s="1">
        <v>105</v>
      </c>
      <c r="I208" s="1">
        <v>3.8</v>
      </c>
      <c r="J208" s="1">
        <v>227900</v>
      </c>
      <c r="K208" s="1">
        <v>17200</v>
      </c>
      <c r="L208" s="1">
        <v>3.7</v>
      </c>
      <c r="M208" s="1">
        <v>3.85</v>
      </c>
      <c r="N208" s="1">
        <v>21500</v>
      </c>
      <c r="O208" s="9"/>
      <c r="P208" s="7">
        <f t="shared" ca="1" si="63"/>
        <v>-0.25</v>
      </c>
      <c r="Q208" s="7">
        <f t="shared" ca="1" si="50"/>
        <v>-0.01</v>
      </c>
      <c r="R208" s="33">
        <f t="shared" ca="1" si="58"/>
        <v>5375</v>
      </c>
      <c r="S208" s="33">
        <f t="shared" ca="1" si="59"/>
        <v>-16125</v>
      </c>
      <c r="T208" s="33">
        <f t="shared" ca="1" si="51"/>
        <v>5375</v>
      </c>
      <c r="U208" s="7">
        <f t="shared" ca="1" si="60"/>
        <v>0.33333333333333331</v>
      </c>
      <c r="V208" s="7">
        <f t="shared" ca="1" si="61"/>
        <v>-0.9486906531423478</v>
      </c>
      <c r="W208" s="33">
        <f t="shared" ca="1" si="52"/>
        <v>5375</v>
      </c>
      <c r="X208" s="7">
        <f t="shared" ca="1" si="53"/>
        <v>1</v>
      </c>
      <c r="Y208" s="7">
        <f t="shared" ca="1" si="54"/>
        <v>1.3333333333333333</v>
      </c>
      <c r="Z208" s="7">
        <f t="shared" ca="1" si="62"/>
        <v>-0.25472797369307876</v>
      </c>
      <c r="AA208" s="33">
        <f t="shared" ca="1" si="55"/>
        <v>5375</v>
      </c>
      <c r="AB208" s="7">
        <f t="shared" ca="1" si="56"/>
        <v>1</v>
      </c>
      <c r="AC208" s="7">
        <f t="shared" ca="1" si="57"/>
        <v>1.3333333333333333</v>
      </c>
      <c r="AD208" s="40"/>
      <c r="AE208" s="42"/>
      <c r="AF208" s="34"/>
      <c r="AH208" s="34"/>
    </row>
    <row r="209" spans="1:34" x14ac:dyDescent="0.25">
      <c r="A209" s="1"/>
      <c r="B209" s="25">
        <v>43979</v>
      </c>
      <c r="C209" s="10" t="s">
        <v>1576</v>
      </c>
      <c r="D209" s="1">
        <v>93.75</v>
      </c>
      <c r="E209" s="30">
        <v>4300</v>
      </c>
      <c r="F209" s="1">
        <v>100</v>
      </c>
      <c r="G209" s="1">
        <v>5.05</v>
      </c>
      <c r="H209" s="1">
        <v>110</v>
      </c>
      <c r="I209" s="1">
        <v>2.9</v>
      </c>
      <c r="J209" s="1">
        <v>1126600</v>
      </c>
      <c r="K209" s="1">
        <v>30100</v>
      </c>
      <c r="L209" s="1">
        <v>2.8</v>
      </c>
      <c r="M209" s="1">
        <v>2.9</v>
      </c>
      <c r="N209" s="1">
        <v>4300</v>
      </c>
      <c r="O209" s="9"/>
      <c r="P209" s="7">
        <f t="shared" ca="1" si="63"/>
        <v>-0.215</v>
      </c>
      <c r="Q209" s="7">
        <f t="shared" ca="1" si="50"/>
        <v>-8.6E-3</v>
      </c>
      <c r="R209" s="33">
        <f t="shared" ca="1" si="58"/>
        <v>9245</v>
      </c>
      <c r="S209" s="33">
        <f t="shared" ca="1" si="59"/>
        <v>-33755</v>
      </c>
      <c r="T209" s="33">
        <f t="shared" ca="1" si="51"/>
        <v>9245</v>
      </c>
      <c r="U209" s="7">
        <f t="shared" ca="1" si="60"/>
        <v>0.27388535031847133</v>
      </c>
      <c r="V209" s="7">
        <f t="shared" ca="1" si="61"/>
        <v>-0.9486906531423478</v>
      </c>
      <c r="W209" s="33">
        <f t="shared" ca="1" si="52"/>
        <v>9245</v>
      </c>
      <c r="X209" s="7">
        <f t="shared" ca="1" si="53"/>
        <v>1</v>
      </c>
      <c r="Y209" s="7">
        <f t="shared" ca="1" si="54"/>
        <v>1.2738853503184713</v>
      </c>
      <c r="Z209" s="7">
        <f t="shared" ca="1" si="62"/>
        <v>-0.25472797369307876</v>
      </c>
      <c r="AA209" s="33">
        <f t="shared" ca="1" si="55"/>
        <v>9245</v>
      </c>
      <c r="AB209" s="7">
        <f t="shared" ca="1" si="56"/>
        <v>1</v>
      </c>
      <c r="AC209" s="7">
        <f t="shared" ca="1" si="57"/>
        <v>1.2738853503184713</v>
      </c>
      <c r="AD209" s="40"/>
      <c r="AE209" s="42"/>
      <c r="AF209" s="34"/>
      <c r="AH209" s="34"/>
    </row>
    <row r="210" spans="1:34" x14ac:dyDescent="0.25">
      <c r="A210" s="1"/>
      <c r="B210" s="25">
        <v>43979</v>
      </c>
      <c r="C210" s="10" t="s">
        <v>1576</v>
      </c>
      <c r="D210" s="1">
        <v>93.75</v>
      </c>
      <c r="E210" s="30">
        <v>4300</v>
      </c>
      <c r="F210" s="1">
        <v>100</v>
      </c>
      <c r="G210" s="1">
        <v>5.05</v>
      </c>
      <c r="H210" s="1">
        <v>120</v>
      </c>
      <c r="I210" s="1">
        <v>1.65</v>
      </c>
      <c r="J210" s="1">
        <v>855700</v>
      </c>
      <c r="K210" s="1">
        <v>21500</v>
      </c>
      <c r="L210" s="1">
        <v>1.6</v>
      </c>
      <c r="M210" s="1">
        <v>1.7</v>
      </c>
      <c r="N210" s="1">
        <v>17200</v>
      </c>
      <c r="O210" s="9"/>
      <c r="P210" s="7">
        <f t="shared" ca="1" si="63"/>
        <v>-0.16999999999999998</v>
      </c>
      <c r="Q210" s="7">
        <f t="shared" ca="1" si="50"/>
        <v>-6.7999999999999996E-3</v>
      </c>
      <c r="R210" s="33">
        <f t="shared" ca="1" si="58"/>
        <v>14620</v>
      </c>
      <c r="S210" s="33">
        <f t="shared" ca="1" si="59"/>
        <v>-71380</v>
      </c>
      <c r="T210" s="33">
        <f t="shared" ca="1" si="51"/>
        <v>14620</v>
      </c>
      <c r="U210" s="7">
        <f t="shared" ca="1" si="60"/>
        <v>0.20481927710843373</v>
      </c>
      <c r="V210" s="7">
        <f t="shared" ca="1" si="61"/>
        <v>-0.9486906531423478</v>
      </c>
      <c r="W210" s="33">
        <f t="shared" ca="1" si="52"/>
        <v>14620</v>
      </c>
      <c r="X210" s="7">
        <f t="shared" ca="1" si="53"/>
        <v>1</v>
      </c>
      <c r="Y210" s="7">
        <f t="shared" ca="1" si="54"/>
        <v>1.2048192771084336</v>
      </c>
      <c r="Z210" s="7">
        <f t="shared" ca="1" si="62"/>
        <v>-0.25472797369307876</v>
      </c>
      <c r="AA210" s="33">
        <f t="shared" ca="1" si="55"/>
        <v>14620</v>
      </c>
      <c r="AB210" s="7">
        <f t="shared" ca="1" si="56"/>
        <v>1</v>
      </c>
      <c r="AC210" s="7">
        <f t="shared" ca="1" si="57"/>
        <v>1.2048192771084336</v>
      </c>
      <c r="AD210" s="40"/>
      <c r="AE210" s="42"/>
      <c r="AF210" s="34"/>
      <c r="AH210" s="34"/>
    </row>
    <row r="211" spans="1:34" x14ac:dyDescent="0.25">
      <c r="A211" s="1"/>
      <c r="B211" s="25">
        <v>43979</v>
      </c>
      <c r="C211" s="10" t="s">
        <v>1576</v>
      </c>
      <c r="D211" s="1">
        <v>93.75</v>
      </c>
      <c r="E211" s="30">
        <v>4300</v>
      </c>
      <c r="F211" s="1">
        <v>100</v>
      </c>
      <c r="G211" s="1">
        <v>5.05</v>
      </c>
      <c r="H211" s="1">
        <v>130</v>
      </c>
      <c r="I211" s="1">
        <v>0.9</v>
      </c>
      <c r="J211" s="1">
        <v>232200</v>
      </c>
      <c r="K211" s="1">
        <v>21500</v>
      </c>
      <c r="L211" s="1">
        <v>0.9</v>
      </c>
      <c r="M211" s="1">
        <v>1</v>
      </c>
      <c r="N211" s="1">
        <v>38700</v>
      </c>
      <c r="O211" s="9"/>
      <c r="P211" s="7">
        <f t="shared" ca="1" si="63"/>
        <v>-0.13833333333333331</v>
      </c>
      <c r="Q211" s="7">
        <f t="shared" ca="1" si="50"/>
        <v>-5.5333333333333319E-3</v>
      </c>
      <c r="R211" s="33">
        <f t="shared" ca="1" si="58"/>
        <v>17844.999999999996</v>
      </c>
      <c r="S211" s="33">
        <f t="shared" ca="1" si="59"/>
        <v>-111155</v>
      </c>
      <c r="T211" s="33">
        <f t="shared" ca="1" si="51"/>
        <v>17844.999999999996</v>
      </c>
      <c r="U211" s="7">
        <f t="shared" ca="1" si="60"/>
        <v>0.16054158607350094</v>
      </c>
      <c r="V211" s="7">
        <f t="shared" ca="1" si="61"/>
        <v>-0.9486906531423478</v>
      </c>
      <c r="W211" s="33">
        <f t="shared" ca="1" si="52"/>
        <v>17844.999999999996</v>
      </c>
      <c r="X211" s="7">
        <f t="shared" ca="1" si="53"/>
        <v>1</v>
      </c>
      <c r="Y211" s="7">
        <f t="shared" ca="1" si="54"/>
        <v>1.1605415860735009</v>
      </c>
      <c r="Z211" s="7">
        <f t="shared" ca="1" si="62"/>
        <v>-0.25472797369307876</v>
      </c>
      <c r="AA211" s="33">
        <f t="shared" ca="1" si="55"/>
        <v>17844.999999999996</v>
      </c>
      <c r="AB211" s="7">
        <f t="shared" ca="1" si="56"/>
        <v>1</v>
      </c>
      <c r="AC211" s="7">
        <f t="shared" ca="1" si="57"/>
        <v>1.1605415860735009</v>
      </c>
      <c r="AD211" s="40"/>
      <c r="AE211" s="42"/>
      <c r="AF211" s="34"/>
      <c r="AH211" s="34"/>
    </row>
    <row r="212" spans="1:34" x14ac:dyDescent="0.25">
      <c r="A212" s="1"/>
      <c r="B212" s="25">
        <v>43979</v>
      </c>
      <c r="C212" s="10" t="s">
        <v>1576</v>
      </c>
      <c r="D212" s="1">
        <v>93.75</v>
      </c>
      <c r="E212" s="30">
        <v>4300</v>
      </c>
      <c r="F212" s="1">
        <v>100</v>
      </c>
      <c r="G212" s="1">
        <v>5.05</v>
      </c>
      <c r="H212" s="1">
        <v>140</v>
      </c>
      <c r="I212" s="1">
        <v>0.7</v>
      </c>
      <c r="J212" s="1">
        <v>55900</v>
      </c>
      <c r="K212" s="1">
        <v>4300</v>
      </c>
      <c r="L212" s="1">
        <v>0.7</v>
      </c>
      <c r="M212" s="1">
        <v>0.75</v>
      </c>
      <c r="N212" s="1">
        <v>8600</v>
      </c>
      <c r="O212" s="9"/>
      <c r="P212" s="7">
        <f t="shared" ca="1" si="63"/>
        <v>-0.10874999999999999</v>
      </c>
      <c r="Q212" s="7">
        <f t="shared" ca="1" si="50"/>
        <v>-4.3499999999999997E-3</v>
      </c>
      <c r="R212" s="33">
        <f t="shared" ca="1" si="58"/>
        <v>18705</v>
      </c>
      <c r="S212" s="33">
        <f t="shared" ca="1" si="59"/>
        <v>-153295</v>
      </c>
      <c r="T212" s="33">
        <f t="shared" ca="1" si="51"/>
        <v>18705</v>
      </c>
      <c r="U212" s="7">
        <f t="shared" ca="1" si="60"/>
        <v>0.12201963534361851</v>
      </c>
      <c r="V212" s="7">
        <f t="shared" ca="1" si="61"/>
        <v>-0.9486906531423478</v>
      </c>
      <c r="W212" s="33">
        <f t="shared" ca="1" si="52"/>
        <v>18705</v>
      </c>
      <c r="X212" s="7">
        <f t="shared" ca="1" si="53"/>
        <v>1</v>
      </c>
      <c r="Y212" s="7">
        <f t="shared" ca="1" si="54"/>
        <v>1.1220196353436185</v>
      </c>
      <c r="Z212" s="7">
        <f t="shared" ca="1" si="62"/>
        <v>-0.25472797369307876</v>
      </c>
      <c r="AA212" s="33">
        <f t="shared" ca="1" si="55"/>
        <v>18705</v>
      </c>
      <c r="AB212" s="7">
        <f t="shared" ca="1" si="56"/>
        <v>1</v>
      </c>
      <c r="AC212" s="7">
        <f t="shared" ca="1" si="57"/>
        <v>1.1220196353436185</v>
      </c>
      <c r="AD212" s="40"/>
      <c r="AE212" s="42"/>
      <c r="AF212" s="34"/>
      <c r="AH212" s="34"/>
    </row>
    <row r="213" spans="1:34" x14ac:dyDescent="0.25">
      <c r="A213" s="1"/>
      <c r="B213" s="25">
        <v>43979</v>
      </c>
      <c r="C213" s="10" t="s">
        <v>1578</v>
      </c>
      <c r="D213" s="1">
        <v>32.1</v>
      </c>
      <c r="E213" s="30">
        <v>9000</v>
      </c>
      <c r="F213" s="1">
        <v>35</v>
      </c>
      <c r="G213" s="1">
        <v>1.4</v>
      </c>
      <c r="H213" s="1">
        <v>40</v>
      </c>
      <c r="I213" s="1">
        <v>0.6</v>
      </c>
      <c r="J213" s="1">
        <v>486000</v>
      </c>
      <c r="K213" s="1">
        <v>18000</v>
      </c>
      <c r="L213" s="1">
        <v>0.6</v>
      </c>
      <c r="M213" s="1">
        <v>0.7</v>
      </c>
      <c r="N213" s="1">
        <v>45000</v>
      </c>
      <c r="O213" s="9"/>
      <c r="P213" s="7">
        <f t="shared" ca="1" si="63"/>
        <v>-0.15999999999999998</v>
      </c>
      <c r="Q213" s="7">
        <f t="shared" ca="1" si="50"/>
        <v>-6.3999999999999994E-3</v>
      </c>
      <c r="R213" s="33">
        <f t="shared" ca="1" si="58"/>
        <v>7199.9999999999991</v>
      </c>
      <c r="S213" s="33">
        <f t="shared" ca="1" si="59"/>
        <v>-37800</v>
      </c>
      <c r="T213" s="33">
        <f t="shared" ca="1" si="51"/>
        <v>7199.9999999999991</v>
      </c>
      <c r="U213" s="7">
        <f t="shared" ca="1" si="60"/>
        <v>0.19047619047619047</v>
      </c>
      <c r="V213" s="7">
        <f t="shared" ca="1" si="61"/>
        <v>-0.53927285834118888</v>
      </c>
      <c r="W213" s="33">
        <f t="shared" ca="1" si="52"/>
        <v>7199.9999999999991</v>
      </c>
      <c r="X213" s="7">
        <f t="shared" ca="1" si="53"/>
        <v>1</v>
      </c>
      <c r="Y213" s="7">
        <f t="shared" ca="1" si="54"/>
        <v>1.1904761904761905</v>
      </c>
      <c r="Z213" s="7">
        <f t="shared" ca="1" si="62"/>
        <v>-0.14948296121965349</v>
      </c>
      <c r="AA213" s="33">
        <f t="shared" ca="1" si="55"/>
        <v>7199.9999999999991</v>
      </c>
      <c r="AB213" s="7">
        <f t="shared" ca="1" si="56"/>
        <v>1</v>
      </c>
      <c r="AC213" s="7">
        <f t="shared" ca="1" si="57"/>
        <v>1.1904761904761905</v>
      </c>
      <c r="AD213" s="40"/>
      <c r="AE213" s="42"/>
      <c r="AF213" s="34"/>
      <c r="AH213" s="34"/>
    </row>
    <row r="214" spans="1:34" x14ac:dyDescent="0.25">
      <c r="A214" s="1"/>
      <c r="B214" s="25">
        <v>43979</v>
      </c>
      <c r="C214" s="10" t="s">
        <v>1580</v>
      </c>
      <c r="D214" s="1">
        <v>297.55</v>
      </c>
      <c r="E214" s="30">
        <v>1500</v>
      </c>
      <c r="F214" s="1">
        <v>310</v>
      </c>
      <c r="G214" s="1">
        <v>15</v>
      </c>
      <c r="H214" s="1">
        <v>320</v>
      </c>
      <c r="I214" s="1">
        <v>11.8</v>
      </c>
      <c r="J214" s="1">
        <v>450000</v>
      </c>
      <c r="K214" s="1">
        <v>7500</v>
      </c>
      <c r="L214" s="1">
        <v>11.6</v>
      </c>
      <c r="M214" s="1">
        <v>11.75</v>
      </c>
      <c r="N214" s="1">
        <v>3000</v>
      </c>
      <c r="O214" s="9"/>
      <c r="P214" s="7">
        <f t="shared" ca="1" si="63"/>
        <v>-0.31999999999999995</v>
      </c>
      <c r="Q214" s="7">
        <f t="shared" ca="1" si="50"/>
        <v>-1.2799999999999999E-2</v>
      </c>
      <c r="R214" s="33">
        <f t="shared" ca="1" si="58"/>
        <v>4799.9999999999991</v>
      </c>
      <c r="S214" s="33">
        <f t="shared" ca="1" si="59"/>
        <v>-10200</v>
      </c>
      <c r="T214" s="33">
        <f t="shared" ca="1" si="51"/>
        <v>4799.9999999999991</v>
      </c>
      <c r="U214" s="7">
        <f t="shared" ca="1" si="60"/>
        <v>0.47058823529411759</v>
      </c>
      <c r="V214" s="7">
        <f t="shared" ca="1" si="61"/>
        <v>-0.53366841708709456</v>
      </c>
      <c r="W214" s="33">
        <f t="shared" ca="1" si="52"/>
        <v>4799.9999999999991</v>
      </c>
      <c r="X214" s="7">
        <f t="shared" ca="1" si="53"/>
        <v>1</v>
      </c>
      <c r="Y214" s="7">
        <f t="shared" ca="1" si="54"/>
        <v>1.4705882352941175</v>
      </c>
      <c r="Z214" s="7">
        <f t="shared" ca="1" si="62"/>
        <v>-0.17564244455077618</v>
      </c>
      <c r="AA214" s="33">
        <f t="shared" ca="1" si="55"/>
        <v>4799.9999999999991</v>
      </c>
      <c r="AB214" s="7">
        <f t="shared" ca="1" si="56"/>
        <v>1</v>
      </c>
      <c r="AC214" s="7">
        <f t="shared" ca="1" si="57"/>
        <v>1.4705882352941175</v>
      </c>
      <c r="AD214" s="40"/>
      <c r="AE214" s="42"/>
      <c r="AF214" s="34"/>
      <c r="AH214" s="34"/>
    </row>
    <row r="215" spans="1:34" x14ac:dyDescent="0.25">
      <c r="A215" s="1"/>
      <c r="B215" s="25">
        <v>43979</v>
      </c>
      <c r="C215" s="10" t="s">
        <v>1580</v>
      </c>
      <c r="D215" s="1">
        <v>297.55</v>
      </c>
      <c r="E215" s="30">
        <v>1500</v>
      </c>
      <c r="F215" s="1">
        <v>310</v>
      </c>
      <c r="G215" s="1">
        <v>15</v>
      </c>
      <c r="H215" s="1">
        <v>330</v>
      </c>
      <c r="I215" s="1">
        <v>8.9499999999999993</v>
      </c>
      <c r="J215" s="1">
        <v>267000</v>
      </c>
      <c r="K215" s="1">
        <v>1500</v>
      </c>
      <c r="L215" s="1">
        <v>8.8000000000000007</v>
      </c>
      <c r="M215" s="1">
        <v>8.9</v>
      </c>
      <c r="N215" s="1">
        <v>6000</v>
      </c>
      <c r="O215" s="9"/>
      <c r="P215" s="7">
        <f t="shared" ca="1" si="63"/>
        <v>-0.30250000000000005</v>
      </c>
      <c r="Q215" s="7">
        <f t="shared" ca="1" si="50"/>
        <v>-1.2100000000000001E-2</v>
      </c>
      <c r="R215" s="33">
        <f t="shared" ca="1" si="58"/>
        <v>9075.0000000000018</v>
      </c>
      <c r="S215" s="33">
        <f t="shared" ca="1" si="59"/>
        <v>-20925</v>
      </c>
      <c r="T215" s="33">
        <f t="shared" ca="1" si="51"/>
        <v>9075.0000000000018</v>
      </c>
      <c r="U215" s="7">
        <f t="shared" ca="1" si="60"/>
        <v>0.43369175627240153</v>
      </c>
      <c r="V215" s="7">
        <f t="shared" ca="1" si="61"/>
        <v>-0.53366841708709456</v>
      </c>
      <c r="W215" s="33">
        <f t="shared" ca="1" si="52"/>
        <v>9075.0000000000018</v>
      </c>
      <c r="X215" s="7">
        <f t="shared" ca="1" si="53"/>
        <v>1</v>
      </c>
      <c r="Y215" s="7">
        <f t="shared" ca="1" si="54"/>
        <v>1.4336917562724016</v>
      </c>
      <c r="Z215" s="7">
        <f t="shared" ca="1" si="62"/>
        <v>-0.17564244455077618</v>
      </c>
      <c r="AA215" s="33">
        <f t="shared" ca="1" si="55"/>
        <v>9075.0000000000018</v>
      </c>
      <c r="AB215" s="7">
        <f t="shared" ca="1" si="56"/>
        <v>1</v>
      </c>
      <c r="AC215" s="7">
        <f t="shared" ca="1" si="57"/>
        <v>1.4336917562724016</v>
      </c>
      <c r="AD215" s="40"/>
      <c r="AE215" s="42"/>
      <c r="AF215" s="34"/>
      <c r="AH215" s="34"/>
    </row>
    <row r="216" spans="1:34" x14ac:dyDescent="0.25">
      <c r="A216" s="1"/>
      <c r="B216" s="25">
        <v>43979</v>
      </c>
      <c r="C216" s="10" t="s">
        <v>1580</v>
      </c>
      <c r="D216" s="1">
        <v>297.55</v>
      </c>
      <c r="E216" s="30">
        <v>1500</v>
      </c>
      <c r="F216" s="1">
        <v>310</v>
      </c>
      <c r="G216" s="1">
        <v>15</v>
      </c>
      <c r="H216" s="1">
        <v>340</v>
      </c>
      <c r="I216" s="1">
        <v>6.6</v>
      </c>
      <c r="J216" s="1">
        <v>75000</v>
      </c>
      <c r="K216" s="1">
        <v>7500</v>
      </c>
      <c r="L216" s="1">
        <v>6.55</v>
      </c>
      <c r="M216" s="1">
        <v>6.7</v>
      </c>
      <c r="N216" s="1">
        <v>7500</v>
      </c>
      <c r="O216" s="9"/>
      <c r="P216" s="7">
        <f t="shared" ca="1" si="63"/>
        <v>-0.28000000000000003</v>
      </c>
      <c r="Q216" s="7">
        <f t="shared" ca="1" si="50"/>
        <v>-1.1200000000000002E-2</v>
      </c>
      <c r="R216" s="33">
        <f t="shared" ca="1" si="58"/>
        <v>12600</v>
      </c>
      <c r="S216" s="33">
        <f t="shared" ca="1" si="59"/>
        <v>-32400</v>
      </c>
      <c r="T216" s="33">
        <f t="shared" ca="1" si="51"/>
        <v>12600</v>
      </c>
      <c r="U216" s="7">
        <f t="shared" ca="1" si="60"/>
        <v>0.3888888888888889</v>
      </c>
      <c r="V216" s="7">
        <f t="shared" ca="1" si="61"/>
        <v>-0.53366841708709456</v>
      </c>
      <c r="W216" s="33">
        <f t="shared" ca="1" si="52"/>
        <v>12600</v>
      </c>
      <c r="X216" s="7">
        <f t="shared" ca="1" si="53"/>
        <v>1</v>
      </c>
      <c r="Y216" s="7">
        <f t="shared" ca="1" si="54"/>
        <v>1.3888888888888888</v>
      </c>
      <c r="Z216" s="7">
        <f t="shared" ca="1" si="62"/>
        <v>-0.17564244455077618</v>
      </c>
      <c r="AA216" s="33">
        <f t="shared" ca="1" si="55"/>
        <v>12600</v>
      </c>
      <c r="AB216" s="7">
        <f t="shared" ca="1" si="56"/>
        <v>1</v>
      </c>
      <c r="AC216" s="7">
        <f t="shared" ca="1" si="57"/>
        <v>1.3888888888888888</v>
      </c>
      <c r="AD216" s="40"/>
      <c r="AE216" s="42"/>
      <c r="AF216" s="34"/>
      <c r="AH216" s="34"/>
    </row>
    <row r="217" spans="1:34" x14ac:dyDescent="0.25">
      <c r="A217" s="1"/>
      <c r="B217" s="25">
        <v>43979</v>
      </c>
      <c r="C217" s="10" t="s">
        <v>1580</v>
      </c>
      <c r="D217" s="1">
        <v>297.55</v>
      </c>
      <c r="E217" s="30">
        <v>1500</v>
      </c>
      <c r="F217" s="1">
        <v>310</v>
      </c>
      <c r="G217" s="1">
        <v>15</v>
      </c>
      <c r="H217" s="1">
        <v>350</v>
      </c>
      <c r="I217" s="1">
        <v>4.8499999999999996</v>
      </c>
      <c r="J217" s="1">
        <v>304500</v>
      </c>
      <c r="K217" s="1">
        <v>1500</v>
      </c>
      <c r="L217" s="1">
        <v>4.8499999999999996</v>
      </c>
      <c r="M217" s="1">
        <v>4.95</v>
      </c>
      <c r="N217" s="1">
        <v>6000</v>
      </c>
      <c r="O217" s="9"/>
      <c r="P217" s="7">
        <f t="shared" ca="1" si="63"/>
        <v>-0.25375000000000003</v>
      </c>
      <c r="Q217" s="7">
        <f t="shared" ca="1" si="50"/>
        <v>-1.0150000000000001E-2</v>
      </c>
      <c r="R217" s="33">
        <f t="shared" ca="1" si="58"/>
        <v>15225</v>
      </c>
      <c r="S217" s="33">
        <f t="shared" ca="1" si="59"/>
        <v>-44775</v>
      </c>
      <c r="T217" s="33">
        <f t="shared" ca="1" si="51"/>
        <v>15225</v>
      </c>
      <c r="U217" s="7">
        <f t="shared" ca="1" si="60"/>
        <v>0.34003350083752093</v>
      </c>
      <c r="V217" s="7">
        <f t="shared" ca="1" si="61"/>
        <v>-0.53366841708709456</v>
      </c>
      <c r="W217" s="33">
        <f t="shared" ca="1" si="52"/>
        <v>15225</v>
      </c>
      <c r="X217" s="7">
        <f t="shared" ca="1" si="53"/>
        <v>1</v>
      </c>
      <c r="Y217" s="7">
        <f t="shared" ca="1" si="54"/>
        <v>1.3400335008375208</v>
      </c>
      <c r="Z217" s="7">
        <f t="shared" ca="1" si="62"/>
        <v>-0.17564244455077618</v>
      </c>
      <c r="AA217" s="33">
        <f t="shared" ca="1" si="55"/>
        <v>15225</v>
      </c>
      <c r="AB217" s="7">
        <f t="shared" ca="1" si="56"/>
        <v>1</v>
      </c>
      <c r="AC217" s="7">
        <f t="shared" ca="1" si="57"/>
        <v>1.3400335008375208</v>
      </c>
      <c r="AD217" s="40"/>
      <c r="AE217" s="42"/>
      <c r="AF217" s="34"/>
      <c r="AH217" s="34"/>
    </row>
    <row r="218" spans="1:34" x14ac:dyDescent="0.25">
      <c r="A218" s="1"/>
      <c r="B218" s="25">
        <v>43979</v>
      </c>
      <c r="C218" s="10" t="s">
        <v>1580</v>
      </c>
      <c r="D218" s="1">
        <v>297.55</v>
      </c>
      <c r="E218" s="30">
        <v>1500</v>
      </c>
      <c r="F218" s="1">
        <v>310</v>
      </c>
      <c r="G218" s="1">
        <v>15</v>
      </c>
      <c r="H218" s="1">
        <v>360</v>
      </c>
      <c r="I218" s="1">
        <v>3.65</v>
      </c>
      <c r="J218" s="1">
        <v>100500</v>
      </c>
      <c r="K218" s="1">
        <v>4500</v>
      </c>
      <c r="L218" s="1">
        <v>3.55</v>
      </c>
      <c r="M218" s="1">
        <v>3.7</v>
      </c>
      <c r="N218" s="1">
        <v>3000</v>
      </c>
      <c r="O218" s="9"/>
      <c r="P218" s="7">
        <f t="shared" ca="1" si="63"/>
        <v>-0.22699999999999998</v>
      </c>
      <c r="Q218" s="7">
        <f t="shared" ca="1" si="50"/>
        <v>-9.0799999999999995E-3</v>
      </c>
      <c r="R218" s="33">
        <f t="shared" ca="1" si="58"/>
        <v>17025</v>
      </c>
      <c r="S218" s="33">
        <f t="shared" ca="1" si="59"/>
        <v>-57975</v>
      </c>
      <c r="T218" s="33">
        <f t="shared" ca="1" si="51"/>
        <v>17025</v>
      </c>
      <c r="U218" s="7">
        <f t="shared" ca="1" si="60"/>
        <v>0.29366106080206988</v>
      </c>
      <c r="V218" s="7">
        <f t="shared" ca="1" si="61"/>
        <v>-0.53366841708709456</v>
      </c>
      <c r="W218" s="33">
        <f t="shared" ca="1" si="52"/>
        <v>17025</v>
      </c>
      <c r="X218" s="7">
        <f t="shared" ca="1" si="53"/>
        <v>1</v>
      </c>
      <c r="Y218" s="7">
        <f t="shared" ca="1" si="54"/>
        <v>1.2936610608020698</v>
      </c>
      <c r="Z218" s="7">
        <f t="shared" ca="1" si="62"/>
        <v>-0.17564244455077618</v>
      </c>
      <c r="AA218" s="33">
        <f t="shared" ca="1" si="55"/>
        <v>17025</v>
      </c>
      <c r="AB218" s="7">
        <f t="shared" ca="1" si="56"/>
        <v>1</v>
      </c>
      <c r="AC218" s="7">
        <f t="shared" ca="1" si="57"/>
        <v>1.2936610608020698</v>
      </c>
      <c r="AD218" s="40"/>
      <c r="AE218" s="42"/>
      <c r="AF218" s="34"/>
      <c r="AH218" s="34"/>
    </row>
    <row r="219" spans="1:34" x14ac:dyDescent="0.25">
      <c r="A219" s="1"/>
      <c r="B219" s="25">
        <v>43979</v>
      </c>
      <c r="C219" s="10" t="s">
        <v>1580</v>
      </c>
      <c r="D219" s="1">
        <v>297.55</v>
      </c>
      <c r="E219" s="30">
        <v>1500</v>
      </c>
      <c r="F219" s="1">
        <v>310</v>
      </c>
      <c r="G219" s="1">
        <v>15</v>
      </c>
      <c r="H219" s="1">
        <v>390</v>
      </c>
      <c r="I219" s="1">
        <v>1.7</v>
      </c>
      <c r="J219" s="1">
        <v>4500</v>
      </c>
      <c r="K219" s="1">
        <v>1500</v>
      </c>
      <c r="L219" s="1">
        <v>1.7</v>
      </c>
      <c r="M219" s="1">
        <v>1.9</v>
      </c>
      <c r="N219" s="1">
        <v>1500</v>
      </c>
      <c r="O219" s="9"/>
      <c r="P219" s="7">
        <f t="shared" ca="1" si="63"/>
        <v>-0.16625000000000001</v>
      </c>
      <c r="Q219" s="7">
        <f t="shared" ca="1" si="50"/>
        <v>-6.6500000000000005E-3</v>
      </c>
      <c r="R219" s="33">
        <f t="shared" ca="1" si="58"/>
        <v>19950</v>
      </c>
      <c r="S219" s="33">
        <f t="shared" ca="1" si="59"/>
        <v>-100050</v>
      </c>
      <c r="T219" s="33">
        <f t="shared" ca="1" si="51"/>
        <v>19950</v>
      </c>
      <c r="U219" s="7">
        <f t="shared" ca="1" si="60"/>
        <v>0.19940029985007496</v>
      </c>
      <c r="V219" s="7">
        <f t="shared" ca="1" si="61"/>
        <v>-0.53366841708709456</v>
      </c>
      <c r="W219" s="33">
        <f t="shared" ca="1" si="52"/>
        <v>19950</v>
      </c>
      <c r="X219" s="7">
        <f t="shared" ca="1" si="53"/>
        <v>1</v>
      </c>
      <c r="Y219" s="7">
        <f t="shared" ca="1" si="54"/>
        <v>1.199400299850075</v>
      </c>
      <c r="Z219" s="7">
        <f t="shared" ca="1" si="62"/>
        <v>-0.17564244455077618</v>
      </c>
      <c r="AA219" s="33">
        <f t="shared" ca="1" si="55"/>
        <v>19950</v>
      </c>
      <c r="AB219" s="7">
        <f t="shared" ca="1" si="56"/>
        <v>1</v>
      </c>
      <c r="AC219" s="7">
        <f t="shared" ca="1" si="57"/>
        <v>1.199400299850075</v>
      </c>
      <c r="AD219" s="40"/>
      <c r="AE219" s="42"/>
      <c r="AF219" s="34"/>
      <c r="AH219" s="34"/>
    </row>
    <row r="220" spans="1:34" x14ac:dyDescent="0.25">
      <c r="A220" s="1"/>
      <c r="B220" s="25">
        <v>43979</v>
      </c>
      <c r="C220" s="10" t="s">
        <v>1580</v>
      </c>
      <c r="D220" s="1">
        <v>297.55</v>
      </c>
      <c r="E220" s="30">
        <v>1500</v>
      </c>
      <c r="F220" s="1">
        <v>310</v>
      </c>
      <c r="G220" s="1">
        <v>15</v>
      </c>
      <c r="H220" s="1">
        <v>400</v>
      </c>
      <c r="I220" s="1">
        <v>1.2</v>
      </c>
      <c r="J220" s="1">
        <v>136500</v>
      </c>
      <c r="K220" s="1">
        <v>3000</v>
      </c>
      <c r="L220" s="1">
        <v>1.2</v>
      </c>
      <c r="M220" s="1">
        <v>1.3</v>
      </c>
      <c r="N220" s="1">
        <v>6000</v>
      </c>
      <c r="O220" s="9"/>
      <c r="P220" s="7">
        <f t="shared" ca="1" si="63"/>
        <v>-0.15333333333333335</v>
      </c>
      <c r="Q220" s="7">
        <f t="shared" ca="1" si="50"/>
        <v>-6.1333333333333344E-3</v>
      </c>
      <c r="R220" s="33">
        <f t="shared" ca="1" si="58"/>
        <v>20700</v>
      </c>
      <c r="S220" s="33">
        <f t="shared" ca="1" si="59"/>
        <v>-114300</v>
      </c>
      <c r="T220" s="33">
        <f t="shared" ca="1" si="51"/>
        <v>20700</v>
      </c>
      <c r="U220" s="7">
        <f t="shared" ca="1" si="60"/>
        <v>0.18110236220472442</v>
      </c>
      <c r="V220" s="7">
        <f t="shared" ca="1" si="61"/>
        <v>-0.53366841708709456</v>
      </c>
      <c r="W220" s="33">
        <f t="shared" ca="1" si="52"/>
        <v>20700</v>
      </c>
      <c r="X220" s="7">
        <f t="shared" ca="1" si="53"/>
        <v>1</v>
      </c>
      <c r="Y220" s="7">
        <f t="shared" ca="1" si="54"/>
        <v>1.1811023622047245</v>
      </c>
      <c r="Z220" s="7">
        <f t="shared" ca="1" si="62"/>
        <v>-0.17564244455077618</v>
      </c>
      <c r="AA220" s="33">
        <f t="shared" ca="1" si="55"/>
        <v>20700</v>
      </c>
      <c r="AB220" s="7">
        <f t="shared" ca="1" si="56"/>
        <v>1</v>
      </c>
      <c r="AC220" s="7">
        <f t="shared" ca="1" si="57"/>
        <v>1.1811023622047245</v>
      </c>
      <c r="AD220" s="40"/>
      <c r="AE220" s="42"/>
      <c r="AF220" s="34"/>
      <c r="AH220" s="34"/>
    </row>
    <row r="221" spans="1:34" x14ac:dyDescent="0.25">
      <c r="A221" s="1"/>
      <c r="B221" s="25">
        <v>43979</v>
      </c>
      <c r="C221" s="10" t="s">
        <v>1580</v>
      </c>
      <c r="D221" s="1">
        <v>297.55</v>
      </c>
      <c r="E221" s="30">
        <v>1500</v>
      </c>
      <c r="F221" s="1">
        <v>310</v>
      </c>
      <c r="G221" s="1">
        <v>15</v>
      </c>
      <c r="H221" s="1">
        <v>440</v>
      </c>
      <c r="I221" s="1">
        <v>1.2</v>
      </c>
      <c r="J221" s="1">
        <v>7500</v>
      </c>
      <c r="K221" s="1">
        <v>4500</v>
      </c>
      <c r="L221" s="1">
        <v>0.3</v>
      </c>
      <c r="M221" s="1">
        <v>1.1000000000000001</v>
      </c>
      <c r="N221" s="1">
        <v>1500</v>
      </c>
      <c r="O221" s="9"/>
      <c r="P221" s="7">
        <f t="shared" ca="1" si="63"/>
        <v>-0.10615384615384615</v>
      </c>
      <c r="Q221" s="7">
        <f t="shared" ca="1" si="50"/>
        <v>-4.2461538461538465E-3</v>
      </c>
      <c r="R221" s="33">
        <f t="shared" ca="1" si="58"/>
        <v>20700</v>
      </c>
      <c r="S221" s="33">
        <f t="shared" ca="1" si="59"/>
        <v>-174300</v>
      </c>
      <c r="T221" s="33">
        <f t="shared" ca="1" si="51"/>
        <v>20700</v>
      </c>
      <c r="U221" s="7">
        <f t="shared" ca="1" si="60"/>
        <v>0.11876075731497418</v>
      </c>
      <c r="V221" s="7">
        <f t="shared" ca="1" si="61"/>
        <v>-0.53366841708709456</v>
      </c>
      <c r="W221" s="33">
        <f t="shared" ca="1" si="52"/>
        <v>20700</v>
      </c>
      <c r="X221" s="7">
        <f t="shared" ca="1" si="53"/>
        <v>1</v>
      </c>
      <c r="Y221" s="7">
        <f t="shared" ca="1" si="54"/>
        <v>1.1187607573149743</v>
      </c>
      <c r="Z221" s="7">
        <f t="shared" ca="1" si="62"/>
        <v>-0.17564244455077618</v>
      </c>
      <c r="AA221" s="33">
        <f t="shared" ca="1" si="55"/>
        <v>20700</v>
      </c>
      <c r="AB221" s="7">
        <f t="shared" ca="1" si="56"/>
        <v>1</v>
      </c>
      <c r="AC221" s="7">
        <f t="shared" ca="1" si="57"/>
        <v>1.1187607573149743</v>
      </c>
      <c r="AD221" s="40"/>
      <c r="AE221" s="42"/>
      <c r="AF221" s="34"/>
      <c r="AH221" s="34"/>
    </row>
    <row r="222" spans="1:34" x14ac:dyDescent="0.25">
      <c r="A222" s="1"/>
      <c r="B222" s="25">
        <v>43979</v>
      </c>
      <c r="C222" s="10" t="s">
        <v>1588</v>
      </c>
      <c r="D222" s="1">
        <v>2019.55</v>
      </c>
      <c r="E222" s="30">
        <v>250</v>
      </c>
      <c r="F222" s="1">
        <v>2200</v>
      </c>
      <c r="G222" s="1">
        <v>18.399999999999999</v>
      </c>
      <c r="H222" s="1">
        <v>2300</v>
      </c>
      <c r="I222" s="1">
        <v>7.9</v>
      </c>
      <c r="J222" s="1">
        <v>14750</v>
      </c>
      <c r="K222" s="1">
        <v>500</v>
      </c>
      <c r="L222" s="1">
        <v>7.2</v>
      </c>
      <c r="M222" s="1">
        <v>7.9</v>
      </c>
      <c r="N222" s="1">
        <v>250</v>
      </c>
      <c r="O222" s="9"/>
      <c r="P222" s="7">
        <f t="shared" ca="1" si="63"/>
        <v>-0.10499999999999998</v>
      </c>
      <c r="Q222" s="7">
        <f t="shared" ca="1" si="50"/>
        <v>-4.1999999999999989E-3</v>
      </c>
      <c r="R222" s="33">
        <f t="shared" ca="1" si="58"/>
        <v>2624.9999999999995</v>
      </c>
      <c r="S222" s="33">
        <f t="shared" ca="1" si="59"/>
        <v>-22375</v>
      </c>
      <c r="T222" s="33">
        <f t="shared" ca="1" si="51"/>
        <v>2624.9999999999995</v>
      </c>
      <c r="U222" s="7">
        <f t="shared" ca="1" si="60"/>
        <v>0.11731843575418992</v>
      </c>
      <c r="V222" s="7">
        <f t="shared" ca="1" si="61"/>
        <v>-0.2785424404853461</v>
      </c>
      <c r="W222" s="33">
        <f t="shared" ca="1" si="52"/>
        <v>2624.9999999999995</v>
      </c>
      <c r="X222" s="7">
        <f t="shared" ca="1" si="53"/>
        <v>1</v>
      </c>
      <c r="Y222" s="7">
        <f t="shared" ca="1" si="54"/>
        <v>1.1173184357541899</v>
      </c>
      <c r="Z222" s="7">
        <f t="shared" ca="1" si="62"/>
        <v>-7.0486955784312022E-2</v>
      </c>
      <c r="AA222" s="33">
        <f t="shared" ca="1" si="55"/>
        <v>2624.9999999999995</v>
      </c>
      <c r="AB222" s="7">
        <f t="shared" ca="1" si="56"/>
        <v>1</v>
      </c>
      <c r="AC222" s="7">
        <f t="shared" ca="1" si="57"/>
        <v>1.1173184357541899</v>
      </c>
      <c r="AD222" s="40"/>
      <c r="AE222" s="42"/>
      <c r="AF222" s="34"/>
      <c r="AH222" s="34"/>
    </row>
    <row r="223" spans="1:34" x14ac:dyDescent="0.25">
      <c r="A223" s="1"/>
      <c r="B223" s="25">
        <v>43979</v>
      </c>
      <c r="C223" s="10" t="s">
        <v>23</v>
      </c>
      <c r="D223" s="1">
        <v>545.95000000000005</v>
      </c>
      <c r="E223" s="30">
        <v>1200</v>
      </c>
      <c r="F223" s="1">
        <v>590</v>
      </c>
      <c r="G223" s="1">
        <v>15.6</v>
      </c>
      <c r="H223" s="1">
        <v>600</v>
      </c>
      <c r="I223" s="1">
        <v>11.55</v>
      </c>
      <c r="J223" s="1">
        <v>135600</v>
      </c>
      <c r="K223" s="1">
        <v>1200</v>
      </c>
      <c r="L223" s="1">
        <v>11.65</v>
      </c>
      <c r="M223" s="1">
        <v>11.8</v>
      </c>
      <c r="N223" s="1">
        <v>1200</v>
      </c>
      <c r="O223" s="9"/>
      <c r="P223" s="7">
        <f t="shared" ca="1" si="63"/>
        <v>-0.40499999999999992</v>
      </c>
      <c r="Q223" s="7">
        <f t="shared" ca="1" si="50"/>
        <v>-1.6199999999999996E-2</v>
      </c>
      <c r="R223" s="33">
        <f t="shared" ca="1" si="58"/>
        <v>4859.9999999999991</v>
      </c>
      <c r="S223" s="33">
        <f t="shared" ca="1" si="59"/>
        <v>-7140.0000000000009</v>
      </c>
      <c r="T223" s="33">
        <f t="shared" ca="1" si="51"/>
        <v>4859.9999999999991</v>
      </c>
      <c r="U223" s="7">
        <f t="shared" ca="1" si="60"/>
        <v>0.68067226890756283</v>
      </c>
      <c r="V223" s="7">
        <f t="shared" ca="1" si="61"/>
        <v>-0.5224572210816355</v>
      </c>
      <c r="W223" s="33">
        <f t="shared" ca="1" si="52"/>
        <v>4859.9999999999991</v>
      </c>
      <c r="X223" s="7">
        <f t="shared" ca="1" si="53"/>
        <v>1</v>
      </c>
      <c r="Y223" s="7">
        <f t="shared" ca="1" si="54"/>
        <v>1.6806722689075628</v>
      </c>
      <c r="Z223" s="7">
        <f t="shared" ca="1" si="62"/>
        <v>-0.1353880550674352</v>
      </c>
      <c r="AA223" s="33">
        <f t="shared" ca="1" si="55"/>
        <v>4859.9999999999991</v>
      </c>
      <c r="AB223" s="7">
        <f t="shared" ca="1" si="56"/>
        <v>1</v>
      </c>
      <c r="AC223" s="7">
        <f t="shared" ca="1" si="57"/>
        <v>1.6806722689075628</v>
      </c>
      <c r="AD223" s="40"/>
      <c r="AE223" s="42"/>
      <c r="AF223" s="34"/>
      <c r="AH223" s="34"/>
    </row>
    <row r="224" spans="1:34" x14ac:dyDescent="0.25">
      <c r="A224" s="1"/>
      <c r="B224" s="25">
        <v>43979</v>
      </c>
      <c r="C224" s="10" t="s">
        <v>23</v>
      </c>
      <c r="D224" s="1">
        <v>545.95000000000005</v>
      </c>
      <c r="E224" s="30">
        <v>1200</v>
      </c>
      <c r="F224" s="1">
        <v>590</v>
      </c>
      <c r="G224" s="1">
        <v>15.6</v>
      </c>
      <c r="H224" s="1">
        <v>610</v>
      </c>
      <c r="I224" s="1">
        <v>9.15</v>
      </c>
      <c r="J224" s="1">
        <v>31200</v>
      </c>
      <c r="K224" s="1">
        <v>6000</v>
      </c>
      <c r="L224" s="1">
        <v>9.3000000000000007</v>
      </c>
      <c r="M224" s="1">
        <v>10.15</v>
      </c>
      <c r="N224" s="1">
        <v>7200</v>
      </c>
      <c r="O224" s="9"/>
      <c r="P224" s="7">
        <f t="shared" ca="1" si="63"/>
        <v>-0.32249999999999995</v>
      </c>
      <c r="Q224" s="7">
        <f t="shared" ca="1" si="50"/>
        <v>-1.2899999999999998E-2</v>
      </c>
      <c r="R224" s="33">
        <f t="shared" ca="1" si="58"/>
        <v>7739.9999999999991</v>
      </c>
      <c r="S224" s="33">
        <f t="shared" ca="1" si="59"/>
        <v>-16260</v>
      </c>
      <c r="T224" s="33">
        <f t="shared" ca="1" si="51"/>
        <v>7739.9999999999991</v>
      </c>
      <c r="U224" s="7">
        <f t="shared" ca="1" si="60"/>
        <v>0.47601476014760141</v>
      </c>
      <c r="V224" s="7">
        <f t="shared" ca="1" si="61"/>
        <v>-0.5224572210816355</v>
      </c>
      <c r="W224" s="33">
        <f t="shared" ca="1" si="52"/>
        <v>7739.9999999999991</v>
      </c>
      <c r="X224" s="7">
        <f t="shared" ca="1" si="53"/>
        <v>1</v>
      </c>
      <c r="Y224" s="7">
        <f t="shared" ca="1" si="54"/>
        <v>1.4760147601476015</v>
      </c>
      <c r="Z224" s="7">
        <f t="shared" ca="1" si="62"/>
        <v>-0.1353880550674352</v>
      </c>
      <c r="AA224" s="33">
        <f t="shared" ca="1" si="55"/>
        <v>7739.9999999999991</v>
      </c>
      <c r="AB224" s="7">
        <f t="shared" ca="1" si="56"/>
        <v>1</v>
      </c>
      <c r="AC224" s="7">
        <f t="shared" ca="1" si="57"/>
        <v>1.4760147601476015</v>
      </c>
      <c r="AD224" s="40"/>
      <c r="AE224" s="42"/>
      <c r="AF224" s="34"/>
      <c r="AH224" s="34"/>
    </row>
    <row r="225" spans="1:34" x14ac:dyDescent="0.25">
      <c r="A225" s="1"/>
      <c r="B225" s="25">
        <v>43979</v>
      </c>
      <c r="C225" s="10" t="s">
        <v>23</v>
      </c>
      <c r="D225" s="1">
        <v>545.95000000000005</v>
      </c>
      <c r="E225" s="30">
        <v>1200</v>
      </c>
      <c r="F225" s="1">
        <v>590</v>
      </c>
      <c r="G225" s="1">
        <v>15.6</v>
      </c>
      <c r="H225" s="1">
        <v>620</v>
      </c>
      <c r="I225" s="1">
        <v>8</v>
      </c>
      <c r="J225" s="1">
        <v>28800</v>
      </c>
      <c r="K225" s="1">
        <v>1200</v>
      </c>
      <c r="L225" s="1">
        <v>7.95</v>
      </c>
      <c r="M225" s="1">
        <v>8.35</v>
      </c>
      <c r="N225" s="1">
        <v>4800</v>
      </c>
      <c r="O225" s="9"/>
      <c r="P225" s="7">
        <f t="shared" ca="1" si="63"/>
        <v>-0.2533333333333333</v>
      </c>
      <c r="Q225" s="7">
        <f t="shared" ca="1" si="50"/>
        <v>-1.0133333333333333E-2</v>
      </c>
      <c r="R225" s="33">
        <f t="shared" ca="1" si="58"/>
        <v>9120</v>
      </c>
      <c r="S225" s="33">
        <f t="shared" ca="1" si="59"/>
        <v>-26880</v>
      </c>
      <c r="T225" s="33">
        <f t="shared" ca="1" si="51"/>
        <v>9120</v>
      </c>
      <c r="U225" s="7">
        <f t="shared" ca="1" si="60"/>
        <v>0.3392857142857143</v>
      </c>
      <c r="V225" s="7">
        <f t="shared" ca="1" si="61"/>
        <v>-0.5224572210816355</v>
      </c>
      <c r="W225" s="33">
        <f t="shared" ca="1" si="52"/>
        <v>9120</v>
      </c>
      <c r="X225" s="7">
        <f t="shared" ca="1" si="53"/>
        <v>1</v>
      </c>
      <c r="Y225" s="7">
        <f t="shared" ca="1" si="54"/>
        <v>1.3392857142857144</v>
      </c>
      <c r="Z225" s="7">
        <f t="shared" ca="1" si="62"/>
        <v>-0.1353880550674352</v>
      </c>
      <c r="AA225" s="33">
        <f t="shared" ca="1" si="55"/>
        <v>9120</v>
      </c>
      <c r="AB225" s="7">
        <f t="shared" ca="1" si="56"/>
        <v>1</v>
      </c>
      <c r="AC225" s="7">
        <f t="shared" ca="1" si="57"/>
        <v>1.3392857142857144</v>
      </c>
      <c r="AD225" s="40"/>
      <c r="AE225" s="42"/>
      <c r="AF225" s="34"/>
      <c r="AH225" s="34"/>
    </row>
    <row r="226" spans="1:34" x14ac:dyDescent="0.25">
      <c r="A226" s="1"/>
      <c r="B226" s="25">
        <v>43979</v>
      </c>
      <c r="C226" s="10" t="s">
        <v>23</v>
      </c>
      <c r="D226" s="1">
        <v>545.95000000000005</v>
      </c>
      <c r="E226" s="30">
        <v>1200</v>
      </c>
      <c r="F226" s="1">
        <v>590</v>
      </c>
      <c r="G226" s="1">
        <v>15.6</v>
      </c>
      <c r="H226" s="1">
        <v>630</v>
      </c>
      <c r="I226" s="1">
        <v>7</v>
      </c>
      <c r="J226" s="1">
        <v>13200</v>
      </c>
      <c r="K226" s="1">
        <v>1200</v>
      </c>
      <c r="L226" s="1">
        <v>6.55</v>
      </c>
      <c r="M226" s="1">
        <v>7.15</v>
      </c>
      <c r="N226" s="1">
        <v>3600</v>
      </c>
      <c r="O226" s="9"/>
      <c r="P226" s="7">
        <f t="shared" ca="1" si="63"/>
        <v>-0.215</v>
      </c>
      <c r="Q226" s="7">
        <f t="shared" ca="1" si="50"/>
        <v>-8.6E-3</v>
      </c>
      <c r="R226" s="33">
        <f t="shared" ca="1" si="58"/>
        <v>10320</v>
      </c>
      <c r="S226" s="33">
        <f t="shared" ca="1" si="59"/>
        <v>-37680</v>
      </c>
      <c r="T226" s="33">
        <f t="shared" ca="1" si="51"/>
        <v>10320</v>
      </c>
      <c r="U226" s="7">
        <f t="shared" ca="1" si="60"/>
        <v>0.27388535031847133</v>
      </c>
      <c r="V226" s="7">
        <f t="shared" ca="1" si="61"/>
        <v>-0.5224572210816355</v>
      </c>
      <c r="W226" s="33">
        <f t="shared" ca="1" si="52"/>
        <v>10320</v>
      </c>
      <c r="X226" s="7">
        <f t="shared" ca="1" si="53"/>
        <v>1</v>
      </c>
      <c r="Y226" s="7">
        <f t="shared" ca="1" si="54"/>
        <v>1.2738853503184713</v>
      </c>
      <c r="Z226" s="7">
        <f t="shared" ca="1" si="62"/>
        <v>-0.1353880550674352</v>
      </c>
      <c r="AA226" s="33">
        <f t="shared" ca="1" si="55"/>
        <v>10320</v>
      </c>
      <c r="AB226" s="7">
        <f t="shared" ca="1" si="56"/>
        <v>1</v>
      </c>
      <c r="AC226" s="7">
        <f t="shared" ca="1" si="57"/>
        <v>1.2738853503184713</v>
      </c>
      <c r="AD226" s="40"/>
      <c r="AE226" s="42"/>
      <c r="AF226" s="34"/>
      <c r="AH226" s="34"/>
    </row>
    <row r="227" spans="1:34" x14ac:dyDescent="0.25">
      <c r="A227" s="1"/>
      <c r="B227" s="25">
        <v>43979</v>
      </c>
      <c r="C227" s="10" t="s">
        <v>23</v>
      </c>
      <c r="D227" s="1">
        <v>545.95000000000005</v>
      </c>
      <c r="E227" s="30">
        <v>1200</v>
      </c>
      <c r="F227" s="1">
        <v>590</v>
      </c>
      <c r="G227" s="1">
        <v>15.6</v>
      </c>
      <c r="H227" s="1">
        <v>700</v>
      </c>
      <c r="I227" s="1">
        <v>3</v>
      </c>
      <c r="J227" s="1">
        <v>2400</v>
      </c>
      <c r="K227" s="1">
        <v>2400</v>
      </c>
      <c r="L227" s="1">
        <v>1.05</v>
      </c>
      <c r="M227" s="1">
        <v>3</v>
      </c>
      <c r="N227" s="1">
        <v>12000</v>
      </c>
      <c r="O227" s="9"/>
      <c r="P227" s="7">
        <f t="shared" ca="1" si="63"/>
        <v>-0.11454545454545455</v>
      </c>
      <c r="Q227" s="7">
        <f t="shared" ca="1" si="50"/>
        <v>-4.5818181818181817E-3</v>
      </c>
      <c r="R227" s="33">
        <f t="shared" ca="1" si="58"/>
        <v>15120</v>
      </c>
      <c r="S227" s="33">
        <f t="shared" ca="1" si="59"/>
        <v>-116880</v>
      </c>
      <c r="T227" s="33">
        <f t="shared" ca="1" si="51"/>
        <v>15120</v>
      </c>
      <c r="U227" s="7">
        <f t="shared" ca="1" si="60"/>
        <v>0.12936344969199179</v>
      </c>
      <c r="V227" s="7">
        <f t="shared" ca="1" si="61"/>
        <v>-0.5224572210816355</v>
      </c>
      <c r="W227" s="33">
        <f t="shared" ca="1" si="52"/>
        <v>15120</v>
      </c>
      <c r="X227" s="7">
        <f t="shared" ca="1" si="53"/>
        <v>1</v>
      </c>
      <c r="Y227" s="7">
        <f t="shared" ca="1" si="54"/>
        <v>1.1293634496919918</v>
      </c>
      <c r="Z227" s="7">
        <f t="shared" ca="1" si="62"/>
        <v>-0.1353880550674352</v>
      </c>
      <c r="AA227" s="33">
        <f t="shared" ca="1" si="55"/>
        <v>15120</v>
      </c>
      <c r="AB227" s="7">
        <f t="shared" ca="1" si="56"/>
        <v>1</v>
      </c>
      <c r="AC227" s="7">
        <f t="shared" ca="1" si="57"/>
        <v>1.1293634496919918</v>
      </c>
      <c r="AD227" s="40"/>
      <c r="AE227" s="42"/>
      <c r="AF227" s="34"/>
      <c r="AH227" s="34"/>
    </row>
    <row r="228" spans="1:34" x14ac:dyDescent="0.25">
      <c r="A228" s="1"/>
      <c r="B228" s="25">
        <v>43979</v>
      </c>
      <c r="C228" s="10" t="s">
        <v>1654</v>
      </c>
      <c r="D228" s="1">
        <v>940</v>
      </c>
      <c r="E228" s="30">
        <v>700</v>
      </c>
      <c r="F228" s="1">
        <v>1000</v>
      </c>
      <c r="G228" s="1">
        <v>31.35</v>
      </c>
      <c r="H228" s="1">
        <v>1100</v>
      </c>
      <c r="I228" s="1">
        <v>9.85</v>
      </c>
      <c r="J228" s="1">
        <v>3500</v>
      </c>
      <c r="K228" s="1">
        <v>4200</v>
      </c>
      <c r="L228" s="1">
        <v>10.25</v>
      </c>
      <c r="M228" s="1">
        <v>13.85</v>
      </c>
      <c r="N228" s="1">
        <v>1400</v>
      </c>
      <c r="O228" s="9"/>
      <c r="P228" s="7">
        <f t="shared" ca="1" si="63"/>
        <v>-0.215</v>
      </c>
      <c r="Q228" s="7">
        <f t="shared" ca="1" si="50"/>
        <v>-8.6E-3</v>
      </c>
      <c r="R228" s="33">
        <f t="shared" ca="1" si="58"/>
        <v>15050</v>
      </c>
      <c r="S228" s="33">
        <f t="shared" ca="1" si="59"/>
        <v>-54950</v>
      </c>
      <c r="T228" s="33">
        <f t="shared" ca="1" si="51"/>
        <v>15050</v>
      </c>
      <c r="U228" s="7">
        <f t="shared" ca="1" si="60"/>
        <v>0.27388535031847133</v>
      </c>
      <c r="V228" s="7">
        <f t="shared" ca="1" si="61"/>
        <v>-0.46949727053820578</v>
      </c>
      <c r="W228" s="33">
        <f t="shared" ca="1" si="52"/>
        <v>15050</v>
      </c>
      <c r="X228" s="7">
        <f t="shared" ca="1" si="53"/>
        <v>1</v>
      </c>
      <c r="Y228" s="7">
        <f t="shared" ca="1" si="54"/>
        <v>1.2738853503184713</v>
      </c>
      <c r="Z228" s="7">
        <f t="shared" ca="1" si="62"/>
        <v>-7.963416339774966E-2</v>
      </c>
      <c r="AA228" s="33">
        <f t="shared" ca="1" si="55"/>
        <v>15050</v>
      </c>
      <c r="AB228" s="7">
        <f t="shared" ca="1" si="56"/>
        <v>1</v>
      </c>
      <c r="AC228" s="7">
        <f t="shared" ca="1" si="57"/>
        <v>1.2738853503184713</v>
      </c>
      <c r="AD228" s="40"/>
      <c r="AE228" s="42"/>
      <c r="AF228" s="34"/>
      <c r="AH228" s="34"/>
    </row>
    <row r="229" spans="1:34" x14ac:dyDescent="0.25">
      <c r="A229" s="1"/>
      <c r="B229" s="25">
        <v>43979</v>
      </c>
      <c r="C229" s="10" t="s">
        <v>1662</v>
      </c>
      <c r="D229" s="1">
        <v>3532</v>
      </c>
      <c r="E229" s="30">
        <v>200</v>
      </c>
      <c r="F229" s="1">
        <v>3800</v>
      </c>
      <c r="G229" s="1">
        <v>100</v>
      </c>
      <c r="H229" s="1">
        <v>4000</v>
      </c>
      <c r="I229" s="1">
        <v>49.7</v>
      </c>
      <c r="J229" s="1">
        <v>6600</v>
      </c>
      <c r="K229" s="1">
        <v>600</v>
      </c>
      <c r="L229" s="1">
        <v>50.05</v>
      </c>
      <c r="M229" s="1">
        <v>56.95</v>
      </c>
      <c r="N229" s="1">
        <v>200</v>
      </c>
      <c r="O229" s="9"/>
      <c r="P229" s="7">
        <f t="shared" ca="1" si="63"/>
        <v>-0.2515</v>
      </c>
      <c r="Q229" s="7">
        <f t="shared" ca="1" si="50"/>
        <v>-1.0059999999999999E-2</v>
      </c>
      <c r="R229" s="33">
        <f t="shared" ca="1" si="58"/>
        <v>10060</v>
      </c>
      <c r="S229" s="33">
        <f t="shared" ca="1" si="59"/>
        <v>-29940</v>
      </c>
      <c r="T229" s="33">
        <f t="shared" ca="1" si="51"/>
        <v>10060</v>
      </c>
      <c r="U229" s="7">
        <f t="shared" ca="1" si="60"/>
        <v>0.33600534402137611</v>
      </c>
      <c r="V229" s="7">
        <f t="shared" ca="1" si="61"/>
        <v>-0.38838895509395199</v>
      </c>
      <c r="W229" s="33">
        <f t="shared" ca="1" si="52"/>
        <v>10060</v>
      </c>
      <c r="X229" s="7">
        <f t="shared" ca="1" si="53"/>
        <v>1</v>
      </c>
      <c r="Y229" s="7">
        <f t="shared" ca="1" si="54"/>
        <v>1.3360053440213762</v>
      </c>
      <c r="Z229" s="7">
        <f t="shared" ca="1" si="62"/>
        <v>-8.3796975236054019E-2</v>
      </c>
      <c r="AA229" s="33">
        <f t="shared" ca="1" si="55"/>
        <v>10060</v>
      </c>
      <c r="AB229" s="7">
        <f t="shared" ca="1" si="56"/>
        <v>1</v>
      </c>
      <c r="AC229" s="7">
        <f t="shared" ca="1" si="57"/>
        <v>1.3360053440213762</v>
      </c>
      <c r="AD229" s="40"/>
      <c r="AE229" s="42"/>
      <c r="AF229" s="34"/>
      <c r="AH229" s="34"/>
    </row>
    <row r="230" spans="1:34" x14ac:dyDescent="0.25">
      <c r="A230" s="1"/>
      <c r="B230" s="25">
        <v>43979</v>
      </c>
      <c r="C230" s="10" t="s">
        <v>1758</v>
      </c>
      <c r="D230" s="1">
        <v>159.6</v>
      </c>
      <c r="E230" s="30">
        <v>1700</v>
      </c>
      <c r="F230" s="1">
        <v>160</v>
      </c>
      <c r="G230" s="1">
        <v>18.3</v>
      </c>
      <c r="H230" s="1">
        <v>170</v>
      </c>
      <c r="I230" s="1">
        <v>13.95</v>
      </c>
      <c r="J230" s="1">
        <v>110500</v>
      </c>
      <c r="K230" s="1">
        <v>1700</v>
      </c>
      <c r="L230" s="1">
        <v>13.9</v>
      </c>
      <c r="M230" s="1">
        <v>14</v>
      </c>
      <c r="N230" s="1">
        <v>3400</v>
      </c>
      <c r="O230" s="9"/>
      <c r="P230" s="7">
        <f t="shared" ca="1" si="63"/>
        <v>-0.43500000000000016</v>
      </c>
      <c r="Q230" s="7">
        <f t="shared" ca="1" si="50"/>
        <v>-1.7400000000000006E-2</v>
      </c>
      <c r="R230" s="33">
        <f t="shared" ca="1" si="58"/>
        <v>7395.0000000000027</v>
      </c>
      <c r="S230" s="33">
        <f t="shared" ca="1" si="59"/>
        <v>-9604.9999999999964</v>
      </c>
      <c r="T230" s="33">
        <f t="shared" ca="1" si="51"/>
        <v>7395.0000000000027</v>
      </c>
      <c r="U230" s="7">
        <f t="shared" ca="1" si="60"/>
        <v>0.76991150442477929</v>
      </c>
      <c r="V230" s="7">
        <f t="shared" ca="1" si="61"/>
        <v>-0.72841931333460663</v>
      </c>
      <c r="W230" s="33">
        <f t="shared" ca="1" si="52"/>
        <v>7395.0000000000027</v>
      </c>
      <c r="X230" s="7">
        <f t="shared" ca="1" si="53"/>
        <v>1</v>
      </c>
      <c r="Y230" s="7">
        <f t="shared" ca="1" si="54"/>
        <v>1.7699115044247793</v>
      </c>
      <c r="Z230" s="7">
        <f t="shared" ca="1" si="62"/>
        <v>-0.19108110425169836</v>
      </c>
      <c r="AA230" s="33">
        <f t="shared" ca="1" si="55"/>
        <v>7395.0000000000027</v>
      </c>
      <c r="AB230" s="7">
        <f t="shared" ca="1" si="56"/>
        <v>1</v>
      </c>
      <c r="AC230" s="7">
        <f t="shared" ca="1" si="57"/>
        <v>1.7699115044247793</v>
      </c>
      <c r="AD230" s="40"/>
      <c r="AE230" s="42"/>
      <c r="AF230" s="34"/>
      <c r="AH230" s="34"/>
    </row>
    <row r="231" spans="1:34" x14ac:dyDescent="0.25">
      <c r="A231" s="1"/>
      <c r="B231" s="25">
        <v>43979</v>
      </c>
      <c r="C231" s="10" t="s">
        <v>1758</v>
      </c>
      <c r="D231" s="1">
        <v>159.6</v>
      </c>
      <c r="E231" s="30">
        <v>1700</v>
      </c>
      <c r="F231" s="1">
        <v>160</v>
      </c>
      <c r="G231" s="1">
        <v>18.3</v>
      </c>
      <c r="H231" s="1">
        <v>180</v>
      </c>
      <c r="I231" s="1">
        <v>10.6</v>
      </c>
      <c r="J231" s="1">
        <v>68000</v>
      </c>
      <c r="K231" s="1">
        <v>1700</v>
      </c>
      <c r="L231" s="1">
        <v>10.4</v>
      </c>
      <c r="M231" s="1">
        <v>10.7</v>
      </c>
      <c r="N231" s="1">
        <v>5100</v>
      </c>
      <c r="O231" s="9"/>
      <c r="P231" s="7">
        <f t="shared" ca="1" si="63"/>
        <v>-0.38500000000000006</v>
      </c>
      <c r="Q231" s="7">
        <f t="shared" ca="1" si="50"/>
        <v>-1.5400000000000002E-2</v>
      </c>
      <c r="R231" s="33">
        <f t="shared" ca="1" si="58"/>
        <v>13090.000000000002</v>
      </c>
      <c r="S231" s="33">
        <f t="shared" ca="1" si="59"/>
        <v>-20910</v>
      </c>
      <c r="T231" s="33">
        <f t="shared" ca="1" si="51"/>
        <v>13090.000000000002</v>
      </c>
      <c r="U231" s="7">
        <f t="shared" ca="1" si="60"/>
        <v>0.6260162601626017</v>
      </c>
      <c r="V231" s="7">
        <f t="shared" ca="1" si="61"/>
        <v>-0.72841931333460663</v>
      </c>
      <c r="W231" s="33">
        <f t="shared" ca="1" si="52"/>
        <v>13090.000000000002</v>
      </c>
      <c r="X231" s="7">
        <f t="shared" ca="1" si="53"/>
        <v>1</v>
      </c>
      <c r="Y231" s="7">
        <f t="shared" ca="1" si="54"/>
        <v>1.6260162601626016</v>
      </c>
      <c r="Z231" s="7">
        <f t="shared" ca="1" si="62"/>
        <v>-0.19108110425169836</v>
      </c>
      <c r="AA231" s="33">
        <f t="shared" ca="1" si="55"/>
        <v>13090.000000000002</v>
      </c>
      <c r="AB231" s="7">
        <f t="shared" ca="1" si="56"/>
        <v>1</v>
      </c>
      <c r="AC231" s="7">
        <f t="shared" ca="1" si="57"/>
        <v>1.6260162601626016</v>
      </c>
      <c r="AD231" s="40"/>
      <c r="AE231" s="42"/>
      <c r="AF231" s="34"/>
      <c r="AH231" s="34"/>
    </row>
    <row r="232" spans="1:34" x14ac:dyDescent="0.25">
      <c r="A232" s="1"/>
      <c r="B232" s="25">
        <v>43979</v>
      </c>
      <c r="C232" s="10" t="s">
        <v>1758</v>
      </c>
      <c r="D232" s="1">
        <v>159.6</v>
      </c>
      <c r="E232" s="30">
        <v>1700</v>
      </c>
      <c r="F232" s="1">
        <v>160</v>
      </c>
      <c r="G232" s="1">
        <v>18.3</v>
      </c>
      <c r="H232" s="1">
        <v>190</v>
      </c>
      <c r="I232" s="1">
        <v>7.5</v>
      </c>
      <c r="J232" s="1">
        <v>34000</v>
      </c>
      <c r="K232" s="1">
        <v>1700</v>
      </c>
      <c r="L232" s="1">
        <v>7.4</v>
      </c>
      <c r="M232" s="1">
        <v>8.0500000000000007</v>
      </c>
      <c r="N232" s="1">
        <v>1700</v>
      </c>
      <c r="O232" s="9"/>
      <c r="P232" s="7">
        <f t="shared" ca="1" si="63"/>
        <v>-0.36000000000000004</v>
      </c>
      <c r="Q232" s="7">
        <f t="shared" ref="Q232:Q236" ca="1" si="64">P232/($B232-TODAY())</f>
        <v>-1.4400000000000001E-2</v>
      </c>
      <c r="R232" s="33">
        <f t="shared" ca="1" si="58"/>
        <v>18360</v>
      </c>
      <c r="S232" s="33">
        <f t="shared" ca="1" si="59"/>
        <v>-32640</v>
      </c>
      <c r="T232" s="33">
        <f t="shared" ref="T232:T236" ca="1" si="65">R232</f>
        <v>18360</v>
      </c>
      <c r="U232" s="7">
        <f t="shared" ca="1" si="60"/>
        <v>0.5625</v>
      </c>
      <c r="V232" s="7">
        <f t="shared" ca="1" si="61"/>
        <v>-0.72841931333460663</v>
      </c>
      <c r="W232" s="33">
        <f t="shared" ref="W232:W236" ca="1" si="66">-(MAX(($F232-MAX($D232*(1+V232),$H232)),0)*$E232-$R232)</f>
        <v>18360</v>
      </c>
      <c r="X232" s="7">
        <f t="shared" ref="X232:X236" ca="1" si="67">W232/$R232</f>
        <v>1</v>
      </c>
      <c r="Y232" s="7">
        <f t="shared" ref="Y232:Y236" ca="1" si="68">$U232+X232</f>
        <v>1.5625</v>
      </c>
      <c r="Z232" s="7">
        <f t="shared" ca="1" si="62"/>
        <v>-0.19108110425169836</v>
      </c>
      <c r="AA232" s="33">
        <f t="shared" ref="AA232:AA236" ca="1" si="69">-(MAX(($F232-MAX($D232*(1+Z232),$H232)),0)*$E232-$R232)</f>
        <v>18360</v>
      </c>
      <c r="AB232" s="7">
        <f t="shared" ref="AB232:AB236" ca="1" si="70">AA232/$R232</f>
        <v>1</v>
      </c>
      <c r="AC232" s="7">
        <f t="shared" ref="AC232:AC236" ca="1" si="71">$U232+AB232</f>
        <v>1.5625</v>
      </c>
      <c r="AD232" s="40"/>
      <c r="AE232" s="42"/>
      <c r="AF232" s="34"/>
      <c r="AH232" s="34"/>
    </row>
    <row r="233" spans="1:34" x14ac:dyDescent="0.25">
      <c r="A233" s="1"/>
      <c r="B233" s="25">
        <v>43979</v>
      </c>
      <c r="C233" s="10" t="s">
        <v>1758</v>
      </c>
      <c r="D233" s="1">
        <v>159.6</v>
      </c>
      <c r="E233" s="30">
        <v>1700</v>
      </c>
      <c r="F233" s="1">
        <v>160</v>
      </c>
      <c r="G233" s="1">
        <v>18.3</v>
      </c>
      <c r="H233" s="1">
        <v>200</v>
      </c>
      <c r="I233" s="1">
        <v>5.75</v>
      </c>
      <c r="J233" s="1">
        <v>180200</v>
      </c>
      <c r="K233" s="1">
        <v>1700</v>
      </c>
      <c r="L233" s="1">
        <v>5.6</v>
      </c>
      <c r="M233" s="1">
        <v>5.85</v>
      </c>
      <c r="N233" s="1">
        <v>3400</v>
      </c>
      <c r="O233" s="9"/>
      <c r="P233" s="7">
        <f t="shared" ca="1" si="63"/>
        <v>-0.31375000000000003</v>
      </c>
      <c r="Q233" s="7">
        <f t="shared" ca="1" si="64"/>
        <v>-1.255E-2</v>
      </c>
      <c r="R233" s="33">
        <f t="shared" ca="1" si="58"/>
        <v>21335</v>
      </c>
      <c r="S233" s="33">
        <f t="shared" ca="1" si="59"/>
        <v>-46665</v>
      </c>
      <c r="T233" s="33">
        <f t="shared" ca="1" si="65"/>
        <v>21335</v>
      </c>
      <c r="U233" s="7">
        <f t="shared" ca="1" si="60"/>
        <v>0.45719489981785066</v>
      </c>
      <c r="V233" s="7">
        <f t="shared" ca="1" si="61"/>
        <v>-0.72841931333460663</v>
      </c>
      <c r="W233" s="33">
        <f t="shared" ca="1" si="66"/>
        <v>21335</v>
      </c>
      <c r="X233" s="7">
        <f t="shared" ca="1" si="67"/>
        <v>1</v>
      </c>
      <c r="Y233" s="7">
        <f t="shared" ca="1" si="68"/>
        <v>1.4571948998178508</v>
      </c>
      <c r="Z233" s="7">
        <f t="shared" ca="1" si="62"/>
        <v>-0.19108110425169836</v>
      </c>
      <c r="AA233" s="33">
        <f t="shared" ca="1" si="69"/>
        <v>21335</v>
      </c>
      <c r="AB233" s="7">
        <f t="shared" ca="1" si="70"/>
        <v>1</v>
      </c>
      <c r="AC233" s="7">
        <f t="shared" ca="1" si="71"/>
        <v>1.4571948998178508</v>
      </c>
      <c r="AD233" s="40"/>
      <c r="AE233" s="42"/>
      <c r="AF233" s="34"/>
      <c r="AH233" s="34"/>
    </row>
    <row r="234" spans="1:34" x14ac:dyDescent="0.25">
      <c r="A234" s="1"/>
      <c r="B234" s="25">
        <v>43979</v>
      </c>
      <c r="C234" s="10" t="s">
        <v>1758</v>
      </c>
      <c r="D234" s="1">
        <v>159.6</v>
      </c>
      <c r="E234" s="30">
        <v>1700</v>
      </c>
      <c r="F234" s="1">
        <v>160</v>
      </c>
      <c r="G234" s="1">
        <v>18.3</v>
      </c>
      <c r="H234" s="1">
        <v>220</v>
      </c>
      <c r="I234" s="1">
        <v>3.3</v>
      </c>
      <c r="J234" s="1">
        <v>66300</v>
      </c>
      <c r="K234" s="1">
        <v>1700</v>
      </c>
      <c r="L234" s="1">
        <v>3.05</v>
      </c>
      <c r="M234" s="1">
        <v>3.3</v>
      </c>
      <c r="N234" s="1">
        <v>1700</v>
      </c>
      <c r="O234" s="9"/>
      <c r="P234" s="7">
        <f t="shared" ca="1" si="63"/>
        <v>-0.25</v>
      </c>
      <c r="Q234" s="7">
        <f t="shared" ca="1" si="64"/>
        <v>-0.01</v>
      </c>
      <c r="R234" s="33">
        <f t="shared" ca="1" si="58"/>
        <v>25500</v>
      </c>
      <c r="S234" s="33">
        <f t="shared" ca="1" si="59"/>
        <v>-76500</v>
      </c>
      <c r="T234" s="33">
        <f t="shared" ca="1" si="65"/>
        <v>25500</v>
      </c>
      <c r="U234" s="7">
        <f t="shared" ca="1" si="60"/>
        <v>0.33333333333333331</v>
      </c>
      <c r="V234" s="7">
        <f t="shared" ca="1" si="61"/>
        <v>-0.72841931333460663</v>
      </c>
      <c r="W234" s="33">
        <f t="shared" ca="1" si="66"/>
        <v>25500</v>
      </c>
      <c r="X234" s="7">
        <f t="shared" ca="1" si="67"/>
        <v>1</v>
      </c>
      <c r="Y234" s="7">
        <f t="shared" ca="1" si="68"/>
        <v>1.3333333333333333</v>
      </c>
      <c r="Z234" s="7">
        <f t="shared" ca="1" si="62"/>
        <v>-0.19108110425169836</v>
      </c>
      <c r="AA234" s="33">
        <f t="shared" ca="1" si="69"/>
        <v>25500</v>
      </c>
      <c r="AB234" s="7">
        <f t="shared" ca="1" si="70"/>
        <v>1</v>
      </c>
      <c r="AC234" s="7">
        <f t="shared" ca="1" si="71"/>
        <v>1.3333333333333333</v>
      </c>
      <c r="AD234" s="40"/>
      <c r="AE234" s="42"/>
      <c r="AF234" s="34"/>
      <c r="AH234" s="34"/>
    </row>
    <row r="235" spans="1:34" x14ac:dyDescent="0.25">
      <c r="A235" s="1"/>
      <c r="B235" s="25">
        <v>43979</v>
      </c>
      <c r="C235" s="10" t="s">
        <v>1758</v>
      </c>
      <c r="D235" s="1">
        <v>159.6</v>
      </c>
      <c r="E235" s="30">
        <v>1700</v>
      </c>
      <c r="F235" s="1">
        <v>160</v>
      </c>
      <c r="G235" s="1">
        <v>18.3</v>
      </c>
      <c r="H235" s="1">
        <v>240</v>
      </c>
      <c r="I235" s="1">
        <v>1.9</v>
      </c>
      <c r="J235" s="1">
        <v>49300</v>
      </c>
      <c r="K235" s="1">
        <v>1700</v>
      </c>
      <c r="L235" s="1">
        <v>1.55</v>
      </c>
      <c r="M235" s="1">
        <v>2.25</v>
      </c>
      <c r="N235" s="1">
        <v>1700</v>
      </c>
      <c r="O235" s="9"/>
      <c r="P235" s="7">
        <f t="shared" ca="1" si="63"/>
        <v>-0.20500000000000002</v>
      </c>
      <c r="Q235" s="7">
        <f t="shared" ca="1" si="64"/>
        <v>-8.2000000000000007E-3</v>
      </c>
      <c r="R235" s="33">
        <f t="shared" ca="1" si="58"/>
        <v>27880.000000000004</v>
      </c>
      <c r="S235" s="33">
        <f t="shared" ca="1" si="59"/>
        <v>-108120</v>
      </c>
      <c r="T235" s="33">
        <f t="shared" ca="1" si="65"/>
        <v>27880.000000000004</v>
      </c>
      <c r="U235" s="7">
        <f t="shared" ca="1" si="60"/>
        <v>0.25786163522012584</v>
      </c>
      <c r="V235" s="7">
        <f t="shared" ca="1" si="61"/>
        <v>-0.72841931333460663</v>
      </c>
      <c r="W235" s="33">
        <f t="shared" ca="1" si="66"/>
        <v>27880.000000000004</v>
      </c>
      <c r="X235" s="7">
        <f t="shared" ca="1" si="67"/>
        <v>1</v>
      </c>
      <c r="Y235" s="7">
        <f t="shared" ca="1" si="68"/>
        <v>1.257861635220126</v>
      </c>
      <c r="Z235" s="7">
        <f t="shared" ca="1" si="62"/>
        <v>-0.19108110425169836</v>
      </c>
      <c r="AA235" s="33">
        <f t="shared" ca="1" si="69"/>
        <v>27880.000000000004</v>
      </c>
      <c r="AB235" s="7">
        <f t="shared" ca="1" si="70"/>
        <v>1</v>
      </c>
      <c r="AC235" s="7">
        <f t="shared" ca="1" si="71"/>
        <v>1.257861635220126</v>
      </c>
      <c r="AD235" s="40"/>
      <c r="AE235" s="42"/>
      <c r="AF235" s="34"/>
      <c r="AH235" s="34"/>
    </row>
    <row r="236" spans="1:34" x14ac:dyDescent="0.25">
      <c r="A236" s="1"/>
      <c r="B236" s="25">
        <v>43979</v>
      </c>
      <c r="C236" s="10" t="s">
        <v>1758</v>
      </c>
      <c r="D236" s="1">
        <v>159.6</v>
      </c>
      <c r="E236" s="30">
        <v>1700</v>
      </c>
      <c r="F236" s="1">
        <v>160</v>
      </c>
      <c r="G236" s="1">
        <v>18.3</v>
      </c>
      <c r="H236" s="1">
        <v>300</v>
      </c>
      <c r="I236" s="1">
        <v>0.5</v>
      </c>
      <c r="J236" s="1">
        <v>168300</v>
      </c>
      <c r="K236" s="1">
        <v>1700</v>
      </c>
      <c r="L236" s="1">
        <v>0.5</v>
      </c>
      <c r="M236" s="1">
        <v>0.7</v>
      </c>
      <c r="N236" s="1">
        <v>1700</v>
      </c>
      <c r="O236" s="9"/>
      <c r="P236" s="7">
        <f t="shared" ca="1" si="63"/>
        <v>-0.12714285714285714</v>
      </c>
      <c r="Q236" s="7">
        <f t="shared" ca="1" si="64"/>
        <v>-5.0857142857142854E-3</v>
      </c>
      <c r="R236" s="33">
        <f t="shared" ca="1" si="58"/>
        <v>30260</v>
      </c>
      <c r="S236" s="33">
        <f t="shared" ca="1" si="59"/>
        <v>-207740</v>
      </c>
      <c r="T236" s="33">
        <f t="shared" ca="1" si="65"/>
        <v>30260</v>
      </c>
      <c r="U236" s="7">
        <f t="shared" ca="1" si="60"/>
        <v>0.14566284779050737</v>
      </c>
      <c r="V236" s="7">
        <f t="shared" ca="1" si="61"/>
        <v>-0.72841931333460663</v>
      </c>
      <c r="W236" s="33">
        <f t="shared" ca="1" si="66"/>
        <v>30260</v>
      </c>
      <c r="X236" s="7">
        <f t="shared" ca="1" si="67"/>
        <v>1</v>
      </c>
      <c r="Y236" s="7">
        <f t="shared" ca="1" si="68"/>
        <v>1.1456628477905073</v>
      </c>
      <c r="Z236" s="7">
        <f t="shared" ca="1" si="62"/>
        <v>-0.19108110425169836</v>
      </c>
      <c r="AA236" s="33">
        <f t="shared" ca="1" si="69"/>
        <v>30260</v>
      </c>
      <c r="AB236" s="7">
        <f t="shared" ca="1" si="70"/>
        <v>1</v>
      </c>
      <c r="AC236" s="7">
        <f t="shared" ca="1" si="71"/>
        <v>1.1456628477905073</v>
      </c>
      <c r="AD236" s="40"/>
      <c r="AE236" s="42"/>
      <c r="AF236" s="34"/>
      <c r="AH236" s="34"/>
    </row>
    <row r="237" spans="1:34" x14ac:dyDescent="0.25">
      <c r="B237" s="39"/>
    </row>
    <row r="238" spans="1:34" x14ac:dyDescent="0.25">
      <c r="B238" s="39"/>
    </row>
    <row r="239" spans="1:34" x14ac:dyDescent="0.25">
      <c r="B239" s="39"/>
    </row>
    <row r="240" spans="1:34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1890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2020-05-02T21:06:10Z</dcterms:modified>
</cp:coreProperties>
</file>