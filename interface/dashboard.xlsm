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5" activeTab="2"/>
  </bookViews>
  <sheets>
    <sheet name="Macro" sheetId="1" r:id="rId1"/>
    <sheet name="Sectors" sheetId="2" r:id="rId2"/>
    <sheet name="Strategies" sheetId="3" r:id="rId3"/>
    <sheet name="News" sheetId="4" r:id="rId4"/>
    <sheet name="Stock" sheetId="6" r:id="rId5"/>
    <sheet name="Reference Information" sheetId="5" r:id="rId6"/>
  </sheets>
  <functionGroups builtInGroupCount="18">
    <functionGroup name="ObjectHandler"/>
  </functionGroups>
  <definedNames>
    <definedName name="_xlnm._FilterDatabase" localSheetId="3" hidden="1">News!$B$1:$E$362</definedName>
    <definedName name="_xlnm._FilterDatabase" localSheetId="4" hidden="1">Stock!$W$3:$AR$300</definedName>
  </definedNames>
  <calcPr calcId="162913" calcMode="manual" calcCompleted="0" calcOnSave="0"/>
  <extLst>
    <ext xmlns:x14="http://schemas.microsoft.com/office/spreadsheetml/2009/9/main" uri="{8193D73E-4604-4355-AFF4-8A2333D13BE4}">
      <x14:definedNames>
        <x14:definedName name="argcheck">
          <x14:argumentDescriptions count="1">
            <x14:argumentDescription index="0">Positional argument 1</x14:argumentDescription>
          </x14:argumentDescriptions>
        </x14:definedName>
        <x14:definedName name="bondAnalytics">
          <x14:argumentDescriptions count="1">
            <x14:argumentDescription index="0">Positional argument 1</x14:argumentDescription>
          </x14:argumentDescriptions>
        </x14:definedName>
        <x14:definedName name="CORREL2">
          <x14:argumentDescriptions count="1">
            <x14:argumentDescription index="0">Positional argument 1</x14:argumentDescription>
          </x14:argumentDescriptions>
        </x14:definedName>
        <x14:definedName name="mrigxl_Analytics">
          <x14:argumentDescriptions count="2">
            <x14:argumentDescription index="0">Positional argument 1</x14:argumentDescription>
            <x14:argumentDescription index="1">Positional argument 2</x14:argumentDescription>
          </x14:argumentDescriptions>
        </x14:definedName>
        <x14:definedName name="mrigxl_avg_drawdown">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igmoneyzack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ond">
          <x14:argumentDescriptions count="2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 index="17">Positional argument 18</x14:argumentDescription>
            <x14:argumentDescription index="18">Positional argument 19</x14:argumentDescription>
            <x14:argumentDescription index="19">Positional argument 20</x14:argumentDescription>
            <x14:argumentDescription index="20">Positional argument 21</x14:argumentDescription>
            <x14:argumentDescription index="21">Positional argument 22</x14:argumentDescription>
            <x14:argumentDescription index="22">Positional argument 23</x14:argumentDescription>
            <x14:argumentDescription index="23">Positional argument 24</x14:argumentDescription>
          </x14:argumentDescriptions>
        </x14:definedName>
        <x14:definedName name="mrigxl_CapFloor">
          <x14:argumentDescriptions count="1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s>
        </x14:definedName>
        <x14:definedName name="mrigxl_CapFloorVolatilitySurface">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ConstantVolatilityCurve">
          <x14:argumentDescriptions count="1">
            <x14:argumentDescription index="0">Positional argument 1</x14:argumentDescription>
          </x14:argumentDescriptions>
        </x14:definedName>
        <x14:definedName name="mrigxl_db_crude">
          <x14:argumentDescriptions count="2">
            <x14:argumentDescription index="0">Positional argument 1</x14:argumentDescription>
            <x14:argumentDescription index="1">Positional argument 2</x14:argumentDescription>
          </x14:argumentDescriptions>
        </x14:definedName>
        <x14:definedName name="mrigxl_db_fx">
          <x14:argumentDescriptions count="2">
            <x14:argumentDescription index="0">Positional argument 1</x14:argumentDescription>
            <x14:argumentDescription index="1">Positional argument 2</x14:argumentDescription>
          </x14:argumentDescriptions>
        </x14:definedName>
        <x14:definedName name="mrigxl_db_gold">
          <x14:argumentDescriptions count="2">
            <x14:argumentDescription index="0">Positional argument 1</x14:argumentDescription>
            <x14:argumentDescription index="1">Positional argument 2</x14:argumentDescription>
          </x14:argumentDescriptions>
        </x14:definedName>
        <x14:definedName name="mrigxl_db_nifty">
          <x14:argumentDescriptions count="2">
            <x14:argumentDescription index="0">Positional argument 1</x14:argumentDescription>
            <x14:argumentDescription index="1">Positional argument 2</x14:argumentDescription>
          </x14:argumentDescriptions>
        </x14:definedName>
        <x14:definedName name="mrigxl_db_rates">
          <x14:argumentDescriptions count="2">
            <x14:argumentDescription index="0">Positional argument 1</x14:argumentDescription>
            <x14:argumentDescription index="1">Positional argument 2</x14:argumentDescription>
          </x14:argumentDescriptions>
        </x14:definedName>
        <x14:definedName name="mrigxl_FlatDividendYieldCurve">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FlatForwardYieldCurve">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FlatVolatilityCurve">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getMFNAV">
          <x14:argumentDescriptions count="2">
            <x14:argumentDescription index="0">Positional argument 1</x14:argumentDescription>
            <x14:argumentDescription index="1">Positional argument 2</x14:argumentDescription>
          </x14:argumentDescriptions>
        </x14:definedName>
        <x14:definedName name="mrigxl_getStockData">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growthincom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Libor">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max_drawdown">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ewhigh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ew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ifty_sector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Option">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mrigxl_quote">
          <x14:argumentDescriptions count="1">
            <x14:argumentDescription index="0">Positional argument 1</x14:argumentDescription>
          </x14:argumentDescriptions>
        </x14:definedName>
        <x14:definedName name="mrigxl_ratePlot">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sector_returns">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smallcapgrowth">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SpotZeroYieldCurve">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mrigxl_stockquote">
          <x14:argumentDescriptions count="1">
            <x14:argumentDescription index="0">Positional argument 1</x14:argumentDescription>
          </x14:argumentDescriptions>
        </x14:definedName>
        <x14:definedName name="mrigxl_stored_strategies">
          <x14:argumentDescriptions count="1">
            <x14:argumentDescription index="0">Positional argument 1</x14:argumentDescription>
          </x14:argumentDescriptions>
        </x14:definedName>
        <x14:definedName name="mrigxl_Swap">
          <x14:argumentDescriptions count="19">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 index="17">Positional argument 18</x14:argumentDescription>
            <x14:argumentDescription index="18">Positional argument 19</x14:argumentDescription>
          </x14:argumentDescriptions>
        </x14:definedName>
        <x14:definedName name="mrigxl_tafa">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top_mf_holding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volSurface">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yplot">
          <x14:argumentDescriptions count="1">
            <x14:argumentDescription index="0">Positional argument 1</x14:argumentDescription>
          </x14:argumentDescriptions>
        </x14:definedName>
        <x14:definedName name="setPricing">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 i="3" l="1"/>
  <c r="B3" i="2"/>
  <c r="L26" i="1"/>
  <c r="B35" i="3" l="1"/>
  <c r="B65" i="3"/>
  <c r="B19" i="3"/>
  <c r="L11" i="1"/>
  <c r="B3" i="5"/>
  <c r="L3" i="1"/>
  <c r="B2" i="4"/>
  <c r="B3" i="1"/>
  <c r="B10" i="1"/>
  <c r="B50" i="3"/>
  <c r="B24" i="1"/>
  <c r="B17" i="1"/>
  <c r="X3" i="2" l="1"/>
  <c r="Y65" i="3"/>
  <c r="Y35" i="3"/>
</calcChain>
</file>

<file path=xl/sharedStrings.xml><?xml version="1.0" encoding="utf-8"?>
<sst xmlns="http://schemas.openxmlformats.org/spreadsheetml/2006/main" count="3699" uniqueCount="2587">
  <si>
    <t>a</t>
  </si>
  <si>
    <t>INR 3M</t>
  </si>
  <si>
    <t>INR 1Y</t>
  </si>
  <si>
    <t>USD 3M</t>
  </si>
  <si>
    <t>USD 1Y</t>
  </si>
  <si>
    <t>NIFTY</t>
  </si>
  <si>
    <r>
      <rPr>
        <sz val="11"/>
        <color theme="0"/>
        <rFont val="Calibri"/>
        <family val="2"/>
      </rPr>
      <t>Δ</t>
    </r>
    <r>
      <rPr>
        <sz val="9.9"/>
        <color theme="0"/>
        <rFont val="Calibri"/>
        <family val="2"/>
      </rPr>
      <t xml:space="preserve"> NIFTY</t>
    </r>
  </si>
  <si>
    <t>INR/USD</t>
  </si>
  <si>
    <r>
      <t>Δ</t>
    </r>
    <r>
      <rPr>
        <sz val="9.9"/>
        <color theme="0"/>
        <rFont val="Calibri"/>
        <family val="2"/>
      </rPr>
      <t xml:space="preserve"> INR/USD</t>
    </r>
  </si>
  <si>
    <r>
      <t>Δ</t>
    </r>
    <r>
      <rPr>
        <sz val="9.9"/>
        <color theme="0"/>
        <rFont val="Calibri"/>
        <family val="2"/>
      </rPr>
      <t xml:space="preserve"> CRUDE</t>
    </r>
  </si>
  <si>
    <t>CRUDE ($)</t>
  </si>
  <si>
    <t>GOLD ($)</t>
  </si>
  <si>
    <r>
      <t>Δ</t>
    </r>
    <r>
      <rPr>
        <sz val="9.9"/>
        <color theme="0"/>
        <rFont val="Calibri"/>
        <family val="2"/>
      </rPr>
      <t xml:space="preserve"> GOLD</t>
    </r>
  </si>
  <si>
    <t>HDFC Bank</t>
  </si>
  <si>
    <t>HDFC</t>
  </si>
  <si>
    <t>Britannia Inds.</t>
  </si>
  <si>
    <t>Tata Consultancy Services</t>
  </si>
  <si>
    <t>Reliance Industries</t>
  </si>
  <si>
    <t>ITC</t>
  </si>
  <si>
    <t>Returns(An)</t>
  </si>
  <si>
    <t>24 Week Return</t>
  </si>
  <si>
    <t>12 Week Return</t>
  </si>
  <si>
    <t>4 Week Return</t>
  </si>
  <si>
    <t>PHARMA</t>
  </si>
  <si>
    <t>CONSUMER GOODS</t>
  </si>
  <si>
    <t>FERTILISERS &amp; PESTICIDES</t>
  </si>
  <si>
    <t>HEALTHCARE SERVICES</t>
  </si>
  <si>
    <t>PAPER</t>
  </si>
  <si>
    <t>METALS</t>
  </si>
  <si>
    <t>MEDIA &amp; ENTERTAINMENT</t>
  </si>
  <si>
    <t>TEXTILES</t>
  </si>
  <si>
    <t>CEMENT &amp; CEMENT PRODUCTS</t>
  </si>
  <si>
    <t>IT</t>
  </si>
  <si>
    <t>CONSTRUCTION</t>
  </si>
  <si>
    <t>INDUSTRIAL MANUFACTURING</t>
  </si>
  <si>
    <t>AUTOMOBILE</t>
  </si>
  <si>
    <t>FINANCIAL SERVICES</t>
  </si>
  <si>
    <t>SERVICES</t>
  </si>
  <si>
    <t>CHEMICALS</t>
  </si>
  <si>
    <t>TELECOM</t>
  </si>
  <si>
    <t>ENERGY</t>
  </si>
  <si>
    <t>TypeError: str() argument 2 must be str, not float
    primary.plot(dates,cum_return_series,str(float(color/20),float(color/25),float(color/30)),label=sym)
  File "f:\mrig analytics\development\mriganalytics\interface\dashboard.py", line 447, in mrigxl_sector_returns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t>
  </si>
  <si>
    <t>Infosys</t>
  </si>
  <si>
    <t>BALRAMCHIN</t>
  </si>
  <si>
    <t>BAJAJHIND</t>
  </si>
  <si>
    <t>Larsen &amp; Toubro</t>
  </si>
  <si>
    <t>EPS Growth</t>
  </si>
  <si>
    <t>P/E</t>
  </si>
  <si>
    <t>P/Sales</t>
  </si>
  <si>
    <t>ROLTA</t>
  </si>
  <si>
    <t>PTC</t>
  </si>
  <si>
    <t>JKIL</t>
  </si>
  <si>
    <t>CHAMBLFERT</t>
  </si>
  <si>
    <t>GSFC</t>
  </si>
  <si>
    <t>STRATEGY :  SMALL CAP GROWTH</t>
  </si>
  <si>
    <t>STRATEGY :  TA FA</t>
  </si>
  <si>
    <t>Return on Equity</t>
  </si>
  <si>
    <t>Beta</t>
  </si>
  <si>
    <t>CHENNPETRO</t>
  </si>
  <si>
    <t>NLCINDIA</t>
  </si>
  <si>
    <t>BALMLAWRIE</t>
  </si>
  <si>
    <t>INFRATEL</t>
  </si>
  <si>
    <t>STRATEGY :  GROWTH INCOME</t>
  </si>
  <si>
    <t>DHAMPURSUG</t>
  </si>
  <si>
    <t>BROKERRECOS</t>
  </si>
  <si>
    <t>BUSINESS</t>
  </si>
  <si>
    <t>BUZZSTOCKS</t>
  </si>
  <si>
    <t>ECONOMY</t>
  </si>
  <si>
    <t>GLOBAL</t>
  </si>
  <si>
    <t>LATESTNEWS</t>
  </si>
  <si>
    <t>MARKETOUTLOOK</t>
  </si>
  <si>
    <t>MARKETREPORT</t>
  </si>
  <si>
    <t>TECHNICALS</t>
  </si>
  <si>
    <t>Date</t>
  </si>
  <si>
    <t>Title</t>
  </si>
  <si>
    <t>Description</t>
  </si>
  <si>
    <t>Head</t>
  </si>
  <si>
    <t>IOC</t>
  </si>
  <si>
    <t>GMDCLTD</t>
  </si>
  <si>
    <t>AUROPHARMA</t>
  </si>
  <si>
    <t>NMDC</t>
  </si>
  <si>
    <t>3M</t>
  </si>
  <si>
    <t>DIVISLAB</t>
  </si>
  <si>
    <t>MRPL</t>
  </si>
  <si>
    <t>COROMANDEL</t>
  </si>
  <si>
    <t>PFC</t>
  </si>
  <si>
    <t>WIPRO</t>
  </si>
  <si>
    <t>TECHM</t>
  </si>
  <si>
    <t>Stocks</t>
  </si>
  <si>
    <t>PRAJIND</t>
  </si>
  <si>
    <t>ALOKTEXT</t>
  </si>
  <si>
    <t>21STCENMGM</t>
  </si>
  <si>
    <t>3IINFOTECH</t>
  </si>
  <si>
    <t>3MINDIA</t>
  </si>
  <si>
    <t>3PLAND</t>
  </si>
  <si>
    <t>5PAISA</t>
  </si>
  <si>
    <t>63MOONS</t>
  </si>
  <si>
    <t>8KMILES</t>
  </si>
  <si>
    <t>A2ZINFRA</t>
  </si>
  <si>
    <t>AARTIDRUGS</t>
  </si>
  <si>
    <t>AARTIIND</t>
  </si>
  <si>
    <t>AARVEEDEN</t>
  </si>
  <si>
    <t>ABAN</t>
  </si>
  <si>
    <t>ABB</t>
  </si>
  <si>
    <t>ABBOTINDIA</t>
  </si>
  <si>
    <t>ABCAPITAL</t>
  </si>
  <si>
    <t>ABFRL</t>
  </si>
  <si>
    <t>ABGSHIP</t>
  </si>
  <si>
    <t>ACC</t>
  </si>
  <si>
    <t>ACCELYA</t>
  </si>
  <si>
    <t>ACCURACY</t>
  </si>
  <si>
    <t>ACE</t>
  </si>
  <si>
    <t>ADANIENT</t>
  </si>
  <si>
    <t>ADANIGREEN</t>
  </si>
  <si>
    <t>ADANIPORTS</t>
  </si>
  <si>
    <t>ADANIPOWER</t>
  </si>
  <si>
    <t>ADANITRANS</t>
  </si>
  <si>
    <t>ADFFOODS</t>
  </si>
  <si>
    <t>ADHUNIK</t>
  </si>
  <si>
    <t>ADHUNIKIND</t>
  </si>
  <si>
    <t>ADLABS</t>
  </si>
  <si>
    <t>ADORWELD</t>
  </si>
  <si>
    <t>ADROITINFO</t>
  </si>
  <si>
    <t>ADSL</t>
  </si>
  <si>
    <t>ADVANIHOTR</t>
  </si>
  <si>
    <t>ADVENZYMES</t>
  </si>
  <si>
    <t>AEGISCHEM</t>
  </si>
  <si>
    <t>AFL</t>
  </si>
  <si>
    <t>AGARIND</t>
  </si>
  <si>
    <t>AGCNET</t>
  </si>
  <si>
    <t>AGLSL</t>
  </si>
  <si>
    <t>AGRITECH</t>
  </si>
  <si>
    <t>AGROPHOS</t>
  </si>
  <si>
    <t>AHLEAST</t>
  </si>
  <si>
    <t>AHLUCONT</t>
  </si>
  <si>
    <t>AHLWEST</t>
  </si>
  <si>
    <t>AIAENG</t>
  </si>
  <si>
    <t>AICHAMP</t>
  </si>
  <si>
    <t>AIFL</t>
  </si>
  <si>
    <t>AIRAN</t>
  </si>
  <si>
    <t>AIROLAM</t>
  </si>
  <si>
    <t>AISL</t>
  </si>
  <si>
    <t>AJANTPHARM</t>
  </si>
  <si>
    <t>AJMERA</t>
  </si>
  <si>
    <t>AJOONI</t>
  </si>
  <si>
    <t>AKSHARCHEM</t>
  </si>
  <si>
    <t>AKSHOPTFBR</t>
  </si>
  <si>
    <t>AKZOINDIA</t>
  </si>
  <si>
    <t>ALANKIT</t>
  </si>
  <si>
    <t>ALBERTDAVD</t>
  </si>
  <si>
    <t>ALBK</t>
  </si>
  <si>
    <t>ALCHEM</t>
  </si>
  <si>
    <t>ALEMBICLTD</t>
  </si>
  <si>
    <t>ALICON</t>
  </si>
  <si>
    <t>ALKALI</t>
  </si>
  <si>
    <t>ALKEM</t>
  </si>
  <si>
    <t>ALKYLAMINE</t>
  </si>
  <si>
    <t>ALLCARGO</t>
  </si>
  <si>
    <t>ALLSEC</t>
  </si>
  <si>
    <t>ALMONDZ</t>
  </si>
  <si>
    <t>ALPA</t>
  </si>
  <si>
    <t>ALPHAGEO</t>
  </si>
  <si>
    <t>ALPSINDUS</t>
  </si>
  <si>
    <t>AMARAJABAT</t>
  </si>
  <si>
    <t>AMBANIORG</t>
  </si>
  <si>
    <t>AMBER</t>
  </si>
  <si>
    <t>AMBIKCO</t>
  </si>
  <si>
    <t>AMBUJACEM</t>
  </si>
  <si>
    <t>AMDIND</t>
  </si>
  <si>
    <t>AMJLAND</t>
  </si>
  <si>
    <t>AMJUMBO</t>
  </si>
  <si>
    <t>AMRUTANJAN</t>
  </si>
  <si>
    <t>AMTEKAUTO</t>
  </si>
  <si>
    <t>ANANTRAJ</t>
  </si>
  <si>
    <t>ANDHRABANK</t>
  </si>
  <si>
    <t>ANDHRACEMT</t>
  </si>
  <si>
    <t>ANDHRSUGAR</t>
  </si>
  <si>
    <t>ANGIND</t>
  </si>
  <si>
    <t>ANIKINDS</t>
  </si>
  <si>
    <t>ANKITMETAL</t>
  </si>
  <si>
    <t>ANSALAPI</t>
  </si>
  <si>
    <t>ANSALHSG</t>
  </si>
  <si>
    <t>ANTGRAPHIC</t>
  </si>
  <si>
    <t>APARINDS</t>
  </si>
  <si>
    <t>APCL</t>
  </si>
  <si>
    <t>APCOTEXIND</t>
  </si>
  <si>
    <t>APEX</t>
  </si>
  <si>
    <t>APLAPOLLO</t>
  </si>
  <si>
    <t>APLLTD</t>
  </si>
  <si>
    <t>APOLLO</t>
  </si>
  <si>
    <t>APOLLOHOSP</t>
  </si>
  <si>
    <t>APOLLOTYRE</t>
  </si>
  <si>
    <t>APOLSINHOT</t>
  </si>
  <si>
    <t>APTECHT</t>
  </si>
  <si>
    <t>ARCHIDPLY</t>
  </si>
  <si>
    <t>ARCHIES</t>
  </si>
  <si>
    <t>ARCOTECH</t>
  </si>
  <si>
    <t>ARIES</t>
  </si>
  <si>
    <t>ARIHANT</t>
  </si>
  <si>
    <t>ARIHANTSUP</t>
  </si>
  <si>
    <t>ARMANFIN</t>
  </si>
  <si>
    <t>AROGRANITE</t>
  </si>
  <si>
    <t>ARROWGREEN</t>
  </si>
  <si>
    <t>ARROWTEX</t>
  </si>
  <si>
    <t>ARSHIYA</t>
  </si>
  <si>
    <t>ARSSINFRA</t>
  </si>
  <si>
    <t>ARTNIRMAN</t>
  </si>
  <si>
    <t>ARVIND</t>
  </si>
  <si>
    <t>ARVSMART</t>
  </si>
  <si>
    <t>ASAHIINDIA</t>
  </si>
  <si>
    <t>ASAHISONG</t>
  </si>
  <si>
    <t>ASAL</t>
  </si>
  <si>
    <t>ASHAPURMIN</t>
  </si>
  <si>
    <t>ASHIANA</t>
  </si>
  <si>
    <t>ASHIMASYN</t>
  </si>
  <si>
    <t>ASHOKA</t>
  </si>
  <si>
    <t>ASHOKLEY</t>
  </si>
  <si>
    <t>ASIANHOTNR</t>
  </si>
  <si>
    <t>ASIANPAINT</t>
  </si>
  <si>
    <t>ASIANTILES</t>
  </si>
  <si>
    <t>ASPINWALL</t>
  </si>
  <si>
    <t>ASSAMCO</t>
  </si>
  <si>
    <t>ASTEC</t>
  </si>
  <si>
    <t>ASTERDM</t>
  </si>
  <si>
    <t>ASTRAL</t>
  </si>
  <si>
    <t>ASTRAMICRO</t>
  </si>
  <si>
    <t>ASTRAZEN</t>
  </si>
  <si>
    <t>ASTRON</t>
  </si>
  <si>
    <t>ATFL</t>
  </si>
  <si>
    <t>ATLANTA</t>
  </si>
  <si>
    <t>ATLASCYCLE</t>
  </si>
  <si>
    <t>ATUL</t>
  </si>
  <si>
    <t>ATULAUTO</t>
  </si>
  <si>
    <t>AUBANK</t>
  </si>
  <si>
    <t>AURDIS</t>
  </si>
  <si>
    <t>AURIONPRO</t>
  </si>
  <si>
    <t>AUSOMENT</t>
  </si>
  <si>
    <t>AUTOAXLES</t>
  </si>
  <si>
    <t>AUTOIND</t>
  </si>
  <si>
    <t>AUTOLITIND</t>
  </si>
  <si>
    <t>AVADHSUGAR</t>
  </si>
  <si>
    <t>AVANTIFEED</t>
  </si>
  <si>
    <t>AVG</t>
  </si>
  <si>
    <t>AVTNPL</t>
  </si>
  <si>
    <t>AXISBANK</t>
  </si>
  <si>
    <t>AXISCADES</t>
  </si>
  <si>
    <t>AXISGOLD</t>
  </si>
  <si>
    <t>AXISNIFTY</t>
  </si>
  <si>
    <t>AYMSYNTEX</t>
  </si>
  <si>
    <t>BAFNAPHARM</t>
  </si>
  <si>
    <t>BAGFILMS</t>
  </si>
  <si>
    <t>BAJAJ-AUTO</t>
  </si>
  <si>
    <t>BAJAJCORP</t>
  </si>
  <si>
    <t>BAJAJELEC</t>
  </si>
  <si>
    <t>BAJAJFINSV</t>
  </si>
  <si>
    <t>BAJAJHLDNG</t>
  </si>
  <si>
    <t>BAJFINANCE</t>
  </si>
  <si>
    <t>BALAJITELE</t>
  </si>
  <si>
    <t>BALAMINES</t>
  </si>
  <si>
    <t>BALKRISHNA</t>
  </si>
  <si>
    <t>BALKRISIND</t>
  </si>
  <si>
    <t>BALLARPUR</t>
  </si>
  <si>
    <t>BALPHARMA</t>
  </si>
  <si>
    <t>BANARBEADS</t>
  </si>
  <si>
    <t>BANARISUG</t>
  </si>
  <si>
    <t>BANCOINDIA</t>
  </si>
  <si>
    <t>BANDHANBNK</t>
  </si>
  <si>
    <t>BANG</t>
  </si>
  <si>
    <t>BANKBARODA</t>
  </si>
  <si>
    <t>BANKBEES</t>
  </si>
  <si>
    <t>BANKINDIA</t>
  </si>
  <si>
    <t>BANSAL</t>
  </si>
  <si>
    <t>BANSWRAS</t>
  </si>
  <si>
    <t>BARTRONICS</t>
  </si>
  <si>
    <t>BASF</t>
  </si>
  <si>
    <t>BASML</t>
  </si>
  <si>
    <t>BATAINDIA</t>
  </si>
  <si>
    <t>BAYERCROP</t>
  </si>
  <si>
    <t>BBL</t>
  </si>
  <si>
    <t>BBTC</t>
  </si>
  <si>
    <t>BCONCEPTS</t>
  </si>
  <si>
    <t>BDL</t>
  </si>
  <si>
    <t>BEARDSELL</t>
  </si>
  <si>
    <t>BEDMUTHA</t>
  </si>
  <si>
    <t>BEL</t>
  </si>
  <si>
    <t>BEML</t>
  </si>
  <si>
    <t>BEPL</t>
  </si>
  <si>
    <t>BERGEPAINT</t>
  </si>
  <si>
    <t>BFINVEST</t>
  </si>
  <si>
    <t>BFUTILITIE</t>
  </si>
  <si>
    <t>BGLOBAL</t>
  </si>
  <si>
    <t>BGRENERGY</t>
  </si>
  <si>
    <t>BHAGERIA</t>
  </si>
  <si>
    <t>BHAGYANGR</t>
  </si>
  <si>
    <t>BHAGYAPROP</t>
  </si>
  <si>
    <t>BHANDARI</t>
  </si>
  <si>
    <t>BHARATFIN</t>
  </si>
  <si>
    <t>BHARATFORG</t>
  </si>
  <si>
    <t>BHARATGEAR</t>
  </si>
  <si>
    <t>BHARATIDIL</t>
  </si>
  <si>
    <t>BHARATRAS</t>
  </si>
  <si>
    <t>BHARATWIRE</t>
  </si>
  <si>
    <t>BHARTIARTL</t>
  </si>
  <si>
    <t>BHEL</t>
  </si>
  <si>
    <t>BHUSANSTL</t>
  </si>
  <si>
    <t>BIGBLOC</t>
  </si>
  <si>
    <t>BIL</t>
  </si>
  <si>
    <t>BILENERGY</t>
  </si>
  <si>
    <t>BILPOWER</t>
  </si>
  <si>
    <t>BINANIIND</t>
  </si>
  <si>
    <t>BINDALAGRO</t>
  </si>
  <si>
    <t>BIOCON</t>
  </si>
  <si>
    <t>BIOFILCHEM</t>
  </si>
  <si>
    <t>BIRLACABLE</t>
  </si>
  <si>
    <t>BIRLACORPN</t>
  </si>
  <si>
    <t>BIRLAMONEY</t>
  </si>
  <si>
    <t>BKMINDST</t>
  </si>
  <si>
    <t>BLBLIMITED</t>
  </si>
  <si>
    <t>BLISSGVS</t>
  </si>
  <si>
    <t>BLKASHYAP</t>
  </si>
  <si>
    <t>BLS</t>
  </si>
  <si>
    <t>BLUEBLENDS</t>
  </si>
  <si>
    <t>BLUECOAST</t>
  </si>
  <si>
    <t>BLUEDART</t>
  </si>
  <si>
    <t>BLUESTARCO</t>
  </si>
  <si>
    <t>BODALCHEM</t>
  </si>
  <si>
    <t>BOHRA</t>
  </si>
  <si>
    <t>BOMDYEING</t>
  </si>
  <si>
    <t>BOROSIL</t>
  </si>
  <si>
    <t>BOSCHLTD</t>
  </si>
  <si>
    <t>BPCL</t>
  </si>
  <si>
    <t>BPL</t>
  </si>
  <si>
    <t>BRFL</t>
  </si>
  <si>
    <t>BRIGADE</t>
  </si>
  <si>
    <t>BRIGHT</t>
  </si>
  <si>
    <t>BRITANNIA</t>
  </si>
  <si>
    <t>BRNL</t>
  </si>
  <si>
    <t>BROOKS</t>
  </si>
  <si>
    <t>BSE</t>
  </si>
  <si>
    <t>BSELINFRA</t>
  </si>
  <si>
    <t>BSHSL</t>
  </si>
  <si>
    <t>BSL</t>
  </si>
  <si>
    <t>BSLGOLDETF</t>
  </si>
  <si>
    <t>BURNPUR</t>
  </si>
  <si>
    <t>BUTTERFLY</t>
  </si>
  <si>
    <t>BVCL</t>
  </si>
  <si>
    <t>BYKE</t>
  </si>
  <si>
    <t>CADILAHC</t>
  </si>
  <si>
    <t>CALSOFT</t>
  </si>
  <si>
    <t>CAMLINFINE</t>
  </si>
  <si>
    <t>CANBK</t>
  </si>
  <si>
    <t>CANDC</t>
  </si>
  <si>
    <t>CANFINHOME</t>
  </si>
  <si>
    <t>CANTABIL</t>
  </si>
  <si>
    <t>CAPACITE</t>
  </si>
  <si>
    <t>CAPF</t>
  </si>
  <si>
    <t>CAPLIPOINT</t>
  </si>
  <si>
    <t>CAPTRUST</t>
  </si>
  <si>
    <t>CARBORUNIV</t>
  </si>
  <si>
    <t>CAREERP</t>
  </si>
  <si>
    <t>CARERATING</t>
  </si>
  <si>
    <t>CASTEXTECH</t>
  </si>
  <si>
    <t>CASTROLIND</t>
  </si>
  <si>
    <t>CCCL</t>
  </si>
  <si>
    <t>CCHHL</t>
  </si>
  <si>
    <t>CCL</t>
  </si>
  <si>
    <t>CDSL</t>
  </si>
  <si>
    <t>CEATLTD</t>
  </si>
  <si>
    <t>CEBBCO</t>
  </si>
  <si>
    <t>CELEBRITY</t>
  </si>
  <si>
    <t>CELESTIAL</t>
  </si>
  <si>
    <t>CENTENKA</t>
  </si>
  <si>
    <t>CENTEXT</t>
  </si>
  <si>
    <t>CENTRALBK</t>
  </si>
  <si>
    <t>CENTRUM</t>
  </si>
  <si>
    <t>CENTUM</t>
  </si>
  <si>
    <t>CENTURYPLY</t>
  </si>
  <si>
    <t>CENTURYTEX</t>
  </si>
  <si>
    <t>CERA</t>
  </si>
  <si>
    <t>CEREBRAINT</t>
  </si>
  <si>
    <t>CES1RPG</t>
  </si>
  <si>
    <t>CESC</t>
  </si>
  <si>
    <t>CGCL</t>
  </si>
  <si>
    <t>CGPOWER</t>
  </si>
  <si>
    <t>CHEMFAB</t>
  </si>
  <si>
    <t>CHOLAFIN</t>
  </si>
  <si>
    <t>CHROMATIC</t>
  </si>
  <si>
    <t>CIGNITITEC</t>
  </si>
  <si>
    <t>CIMMCO</t>
  </si>
  <si>
    <t>CINELINE</t>
  </si>
  <si>
    <t>CINEVISTA</t>
  </si>
  <si>
    <t>CIPLA</t>
  </si>
  <si>
    <t>CLEDUCATE</t>
  </si>
  <si>
    <t>CLNINDIA</t>
  </si>
  <si>
    <t>CMICABLES</t>
  </si>
  <si>
    <t>CMMIPL</t>
  </si>
  <si>
    <t>CNOVAPETRO</t>
  </si>
  <si>
    <t>COALINDIA</t>
  </si>
  <si>
    <t>COCHINSHIP</t>
  </si>
  <si>
    <t>COFFEEDAY</t>
  </si>
  <si>
    <t>COLPAL</t>
  </si>
  <si>
    <t>COMPINFO</t>
  </si>
  <si>
    <t>COMPUSOFT</t>
  </si>
  <si>
    <t>CONCOR</t>
  </si>
  <si>
    <t>CONSOFINVT</t>
  </si>
  <si>
    <t>CONTROLPR</t>
  </si>
  <si>
    <t>CORALFINAC</t>
  </si>
  <si>
    <t>CORDSCABLE</t>
  </si>
  <si>
    <t>CORPBANK</t>
  </si>
  <si>
    <t>COSMOFILMS</t>
  </si>
  <si>
    <t>COUNCODOS</t>
  </si>
  <si>
    <t>COX&amp;KINGS</t>
  </si>
  <si>
    <t>CPSEETF</t>
  </si>
  <si>
    <t>CREST</t>
  </si>
  <si>
    <t>CRISIL</t>
  </si>
  <si>
    <t>CRMFGETF</t>
  </si>
  <si>
    <t>CROMPTON</t>
  </si>
  <si>
    <t>CTE</t>
  </si>
  <si>
    <t>CUB</t>
  </si>
  <si>
    <t>CUBEXTUB</t>
  </si>
  <si>
    <t>CUMMINSIND</t>
  </si>
  <si>
    <t>CUPID</t>
  </si>
  <si>
    <t>CYBERMEDIA</t>
  </si>
  <si>
    <t>CYBERTECH</t>
  </si>
  <si>
    <t>CYIENT</t>
  </si>
  <si>
    <t>DAAWAT</t>
  </si>
  <si>
    <t>DABUR</t>
  </si>
  <si>
    <t>DALMIABHA</t>
  </si>
  <si>
    <t>DALMIASUG</t>
  </si>
  <si>
    <t>DAMODARIND</t>
  </si>
  <si>
    <t>DATAMATICS</t>
  </si>
  <si>
    <t>DBCORP</t>
  </si>
  <si>
    <t>DBL</t>
  </si>
  <si>
    <t>DBREALTY</t>
  </si>
  <si>
    <t>DCAL</t>
  </si>
  <si>
    <t>DCBBANK</t>
  </si>
  <si>
    <t>DCM</t>
  </si>
  <si>
    <t>DCMSHRIRAM</t>
  </si>
  <si>
    <t>DCW</t>
  </si>
  <si>
    <t>DECCANCE</t>
  </si>
  <si>
    <t>DEEPAKFERT</t>
  </si>
  <si>
    <t>DEEPAKNTR</t>
  </si>
  <si>
    <t>DEEPIND</t>
  </si>
  <si>
    <t>DELTACORP</t>
  </si>
  <si>
    <t>DELTAMAGNT</t>
  </si>
  <si>
    <t>DEN</t>
  </si>
  <si>
    <t>DENABANK</t>
  </si>
  <si>
    <t>DENORA</t>
  </si>
  <si>
    <t>DFMFOODS</t>
  </si>
  <si>
    <t>DHANBANK</t>
  </si>
  <si>
    <t>DHANUKA</t>
  </si>
  <si>
    <t>DHARSUGAR</t>
  </si>
  <si>
    <t>DHFL</t>
  </si>
  <si>
    <t>DHUNINV</t>
  </si>
  <si>
    <t>DIAMONDYD</t>
  </si>
  <si>
    <t>DIAPOWER</t>
  </si>
  <si>
    <t>DICIND</t>
  </si>
  <si>
    <t>DIGJAMLTD</t>
  </si>
  <si>
    <t>DISHTV</t>
  </si>
  <si>
    <t>DIXON</t>
  </si>
  <si>
    <t>DLF</t>
  </si>
  <si>
    <t>DLINKINDIA</t>
  </si>
  <si>
    <t>DMART</t>
  </si>
  <si>
    <t>DNAMEDIA</t>
  </si>
  <si>
    <t>DOLLAR</t>
  </si>
  <si>
    <t>DOLPHINOFF</t>
  </si>
  <si>
    <t>DONEAR</t>
  </si>
  <si>
    <t>DPABHUSHAN</t>
  </si>
  <si>
    <t>DPL</t>
  </si>
  <si>
    <t>DPSCLTD</t>
  </si>
  <si>
    <t>DQE</t>
  </si>
  <si>
    <t>DREDGECORP</t>
  </si>
  <si>
    <t>DRL</t>
  </si>
  <si>
    <t>DRREDDY</t>
  </si>
  <si>
    <t>DSSL</t>
  </si>
  <si>
    <t>DTIL</t>
  </si>
  <si>
    <t>DUCON</t>
  </si>
  <si>
    <t>DWARKESH</t>
  </si>
  <si>
    <t>DYNAMATECH</t>
  </si>
  <si>
    <t>DYNPRO</t>
  </si>
  <si>
    <t>E2E</t>
  </si>
  <si>
    <t>EASTSILK</t>
  </si>
  <si>
    <t>EASUNREYRL</t>
  </si>
  <si>
    <t>ECEIND</t>
  </si>
  <si>
    <t>ECLERX</t>
  </si>
  <si>
    <t>ECLFINANCE</t>
  </si>
  <si>
    <t>EDELWEISS</t>
  </si>
  <si>
    <t>EDL</t>
  </si>
  <si>
    <t>EDUCOMP</t>
  </si>
  <si>
    <t>EHFLNCD</t>
  </si>
  <si>
    <t>EICHERMOT</t>
  </si>
  <si>
    <t>EIDPARRY</t>
  </si>
  <si>
    <t>EIFFL</t>
  </si>
  <si>
    <t>EIHAHOTELS</t>
  </si>
  <si>
    <t>EIHOTEL</t>
  </si>
  <si>
    <t>EIMCOELECO</t>
  </si>
  <si>
    <t>EKC</t>
  </si>
  <si>
    <t>ELAND</t>
  </si>
  <si>
    <t>ELECON</t>
  </si>
  <si>
    <t>ELECTCAST</t>
  </si>
  <si>
    <t>ELECTHERM</t>
  </si>
  <si>
    <t>ELECTROSL</t>
  </si>
  <si>
    <t>ELGIEQUIP</t>
  </si>
  <si>
    <t>ELGIRUBCO</t>
  </si>
  <si>
    <t>EMAMIINFRA</t>
  </si>
  <si>
    <t>EMAMILTD</t>
  </si>
  <si>
    <t>EMCO</t>
  </si>
  <si>
    <t>EMKAY</t>
  </si>
  <si>
    <t>EMMBI</t>
  </si>
  <si>
    <t>EMOFSR1RDP</t>
  </si>
  <si>
    <t>EMOFSR1RGG</t>
  </si>
  <si>
    <t>ENDURANCE</t>
  </si>
  <si>
    <t>ENERGYDEV</t>
  </si>
  <si>
    <t>ENGINERSIN</t>
  </si>
  <si>
    <t>ENIL</t>
  </si>
  <si>
    <t>EON</t>
  </si>
  <si>
    <t>EQ30</t>
  </si>
  <si>
    <t>EQUITAS</t>
  </si>
  <si>
    <t>ERFLNCDI</t>
  </si>
  <si>
    <t>ERIS</t>
  </si>
  <si>
    <t>EROSMEDIA</t>
  </si>
  <si>
    <t>ESABINDIA</t>
  </si>
  <si>
    <t>ESCORTS</t>
  </si>
  <si>
    <t>ESSARSHPNG</t>
  </si>
  <si>
    <t>ESSDEE</t>
  </si>
  <si>
    <t>ESSELPACK</t>
  </si>
  <si>
    <t>ESTER</t>
  </si>
  <si>
    <t>EUROCERA</t>
  </si>
  <si>
    <t>EUROTEXIND</t>
  </si>
  <si>
    <t>EVEREADY</t>
  </si>
  <si>
    <t>EVERESTIND</t>
  </si>
  <si>
    <t>EXCEL</t>
  </si>
  <si>
    <t>EXCELCROP</t>
  </si>
  <si>
    <t>EXCELINDUS</t>
  </si>
  <si>
    <t>EXIDEIND</t>
  </si>
  <si>
    <t>FACT</t>
  </si>
  <si>
    <t>FAIRCHEM</t>
  </si>
  <si>
    <t>FCL</t>
  </si>
  <si>
    <t>FCONSUMER</t>
  </si>
  <si>
    <t>FCSSOFT</t>
  </si>
  <si>
    <t>FDC</t>
  </si>
  <si>
    <t>FEDDERELEC</t>
  </si>
  <si>
    <t>FEDERALBNK</t>
  </si>
  <si>
    <t>FEL</t>
  </si>
  <si>
    <t>FELDVR</t>
  </si>
  <si>
    <t>FIEMIND</t>
  </si>
  <si>
    <t>FILATEX</t>
  </si>
  <si>
    <t>FINCABLES</t>
  </si>
  <si>
    <t>FINEORG</t>
  </si>
  <si>
    <t>FINPIPE</t>
  </si>
  <si>
    <t>FIVECORE</t>
  </si>
  <si>
    <t>FLEXITUFF</t>
  </si>
  <si>
    <t>FLFL</t>
  </si>
  <si>
    <t>FMGOETZE</t>
  </si>
  <si>
    <t>FMNL</t>
  </si>
  <si>
    <t>FORTIS</t>
  </si>
  <si>
    <t>FORTUNEFIN</t>
  </si>
  <si>
    <t>FOSECOIND</t>
  </si>
  <si>
    <t>FOURTHDIM</t>
  </si>
  <si>
    <t>FRETAIL</t>
  </si>
  <si>
    <t>FSC</t>
  </si>
  <si>
    <t>FSL</t>
  </si>
  <si>
    <t>GABRIEL</t>
  </si>
  <si>
    <t>GAEL</t>
  </si>
  <si>
    <t>GAIL</t>
  </si>
  <si>
    <t>GAL</t>
  </si>
  <si>
    <t>GALAXYSURF</t>
  </si>
  <si>
    <t>GALLANTT</t>
  </si>
  <si>
    <t>GALLISPAT</t>
  </si>
  <si>
    <t>GAMMNINFRA</t>
  </si>
  <si>
    <t>GANDHITUBE</t>
  </si>
  <si>
    <t>GANECOS</t>
  </si>
  <si>
    <t>GANESHHOUC</t>
  </si>
  <si>
    <t>GANGAFORGE</t>
  </si>
  <si>
    <t>GANGESSECU</t>
  </si>
  <si>
    <t>GANGOTRI</t>
  </si>
  <si>
    <t>GARDENSILK</t>
  </si>
  <si>
    <t>GARWALLROP</t>
  </si>
  <si>
    <t>GATI</t>
  </si>
  <si>
    <t>GAYAHWS</t>
  </si>
  <si>
    <t>GAYAPROJ</t>
  </si>
  <si>
    <t>GDL</t>
  </si>
  <si>
    <t>GEECEE</t>
  </si>
  <si>
    <t>GEMINI</t>
  </si>
  <si>
    <t>GENESYS</t>
  </si>
  <si>
    <t>GENUSPAPER</t>
  </si>
  <si>
    <t>GENUSPOWER</t>
  </si>
  <si>
    <t>GEOJITFSL</t>
  </si>
  <si>
    <t>GEPIL</t>
  </si>
  <si>
    <t>GESHIP</t>
  </si>
  <si>
    <t>GET&amp;D</t>
  </si>
  <si>
    <t>GHCL</t>
  </si>
  <si>
    <t>GICHSGFIN</t>
  </si>
  <si>
    <t>GICRE</t>
  </si>
  <si>
    <t>GILLANDERS</t>
  </si>
  <si>
    <t>GILLETTE</t>
  </si>
  <si>
    <t>GINNIFILA</t>
  </si>
  <si>
    <t>GIPCL</t>
  </si>
  <si>
    <t>GIRIRAJ</t>
  </si>
  <si>
    <t>GIRRESORTS</t>
  </si>
  <si>
    <t>GITANJALI</t>
  </si>
  <si>
    <t>GKWLIMITED</t>
  </si>
  <si>
    <t>GLAXO</t>
  </si>
  <si>
    <t>GLENMARK</t>
  </si>
  <si>
    <t>GLOBALVECT</t>
  </si>
  <si>
    <t>GLOBOFFS</t>
  </si>
  <si>
    <t>GLOBUSSPR</t>
  </si>
  <si>
    <t>GMBREW</t>
  </si>
  <si>
    <t>GMMPFAUDLR</t>
  </si>
  <si>
    <t>GMRINFRA</t>
  </si>
  <si>
    <t>GNA</t>
  </si>
  <si>
    <t>GNFC</t>
  </si>
  <si>
    <t>GOACARBON</t>
  </si>
  <si>
    <t>GOCLCORP</t>
  </si>
  <si>
    <t>GODFRYPHLP</t>
  </si>
  <si>
    <t>GODREJAGRO</t>
  </si>
  <si>
    <t>GODREJCP</t>
  </si>
  <si>
    <t>GODREJIND</t>
  </si>
  <si>
    <t>GODREJPROP</t>
  </si>
  <si>
    <t>GOENKA</t>
  </si>
  <si>
    <t>GOKEX</t>
  </si>
  <si>
    <t>GOKUL</t>
  </si>
  <si>
    <t>GOKULAGRO</t>
  </si>
  <si>
    <t>GOLDBEES</t>
  </si>
  <si>
    <t>GOLDENTOBC</t>
  </si>
  <si>
    <t>GOLDIAM</t>
  </si>
  <si>
    <t>GOLDINFRA</t>
  </si>
  <si>
    <t>GOLDSHARE</t>
  </si>
  <si>
    <t>GOLDTECH</t>
  </si>
  <si>
    <t>GOODLUCK</t>
  </si>
  <si>
    <t>GPIL</t>
  </si>
  <si>
    <t>GPPL</t>
  </si>
  <si>
    <t>GPTINFRA</t>
  </si>
  <si>
    <t>GRANULES</t>
  </si>
  <si>
    <t>GRAPHITE</t>
  </si>
  <si>
    <t>GRASIM</t>
  </si>
  <si>
    <t>GRAVITA</t>
  </si>
  <si>
    <t>GREAVESCOT</t>
  </si>
  <si>
    <t>GREENLAM</t>
  </si>
  <si>
    <t>GREENPLY</t>
  </si>
  <si>
    <t>GREENPOWER</t>
  </si>
  <si>
    <t>GRINDWELL</t>
  </si>
  <si>
    <t>GROBTEA</t>
  </si>
  <si>
    <t>GRPLTD</t>
  </si>
  <si>
    <t>GRUH</t>
  </si>
  <si>
    <t>GSCLCEMENT</t>
  </si>
  <si>
    <t>GSKCONS</t>
  </si>
  <si>
    <t>GSPL</t>
  </si>
  <si>
    <t>GSS</t>
  </si>
  <si>
    <t>GTL</t>
  </si>
  <si>
    <t>GTLINFRA</t>
  </si>
  <si>
    <t>GTNIND</t>
  </si>
  <si>
    <t>GTNTEX</t>
  </si>
  <si>
    <t>GTPL</t>
  </si>
  <si>
    <t>GUFICBIO</t>
  </si>
  <si>
    <t>GUJALKALI</t>
  </si>
  <si>
    <t>GUJAPOLLO</t>
  </si>
  <si>
    <t>GUJFLUORO</t>
  </si>
  <si>
    <t>GUJGASLTD</t>
  </si>
  <si>
    <t>GULFOILLUB</t>
  </si>
  <si>
    <t>GULFPETRO</t>
  </si>
  <si>
    <t>GULPOLY</t>
  </si>
  <si>
    <t>GVKPIL</t>
  </si>
  <si>
    <t>H1190M36RG</t>
  </si>
  <si>
    <t>HAL</t>
  </si>
  <si>
    <t>HANUNG</t>
  </si>
  <si>
    <t>HARITASEAT</t>
  </si>
  <si>
    <t>HARRMALAYA</t>
  </si>
  <si>
    <t>HATHWAY</t>
  </si>
  <si>
    <t>HATSUN</t>
  </si>
  <si>
    <t>HAVELLS</t>
  </si>
  <si>
    <t>HAVISHA</t>
  </si>
  <si>
    <t>HBLPOWER</t>
  </si>
  <si>
    <t>HCC</t>
  </si>
  <si>
    <t>HCG</t>
  </si>
  <si>
    <t>HCL-INSYS</t>
  </si>
  <si>
    <t>HCLTECH</t>
  </si>
  <si>
    <t>HDFCBANK</t>
  </si>
  <si>
    <t>HDFCLIFE</t>
  </si>
  <si>
    <t>HDFCMFGETF</t>
  </si>
  <si>
    <t>HDFCNIFETF</t>
  </si>
  <si>
    <t>HDFCSENETF</t>
  </si>
  <si>
    <t>HDIL</t>
  </si>
  <si>
    <t>HEG</t>
  </si>
  <si>
    <t>HEIDELBERG</t>
  </si>
  <si>
    <t>HERCULES</t>
  </si>
  <si>
    <t>HERITGFOOD</t>
  </si>
  <si>
    <t>HEROMOTOCO</t>
  </si>
  <si>
    <t>HESTERBIO</t>
  </si>
  <si>
    <t>HEXATRADEX</t>
  </si>
  <si>
    <t>HEXAWARE</t>
  </si>
  <si>
    <t>HFCL</t>
  </si>
  <si>
    <t>HGINFRA</t>
  </si>
  <si>
    <t>HGS</t>
  </si>
  <si>
    <t>HHOF1140RG</t>
  </si>
  <si>
    <t>HIGHGROUND</t>
  </si>
  <si>
    <t>HIKAL</t>
  </si>
  <si>
    <t>HIL</t>
  </si>
  <si>
    <t>HILTON</t>
  </si>
  <si>
    <t>HIMATSEIDE</t>
  </si>
  <si>
    <t>HINDALCO</t>
  </si>
  <si>
    <t>HINDCOMPOS</t>
  </si>
  <si>
    <t>HINDCOPPER</t>
  </si>
  <si>
    <t>HINDMOTORS</t>
  </si>
  <si>
    <t>HINDNATGLS</t>
  </si>
  <si>
    <t>HINDOILEXP</t>
  </si>
  <si>
    <t>HINDPETRO</t>
  </si>
  <si>
    <t>HINDUJAVEN</t>
  </si>
  <si>
    <t>HINDUNILVR</t>
  </si>
  <si>
    <t>HINDZINC</t>
  </si>
  <si>
    <t>HIRECT</t>
  </si>
  <si>
    <t>HISARMETAL</t>
  </si>
  <si>
    <t>HITECH</t>
  </si>
  <si>
    <t>HITECHCORP</t>
  </si>
  <si>
    <t>HITECHGEAR</t>
  </si>
  <si>
    <t>HMT</t>
  </si>
  <si>
    <t>HMVL</t>
  </si>
  <si>
    <t>HNGSNGBEES</t>
  </si>
  <si>
    <t>HONAUT</t>
  </si>
  <si>
    <t>HONDAPOWER</t>
  </si>
  <si>
    <t>HOTELEELA</t>
  </si>
  <si>
    <t>HOVS</t>
  </si>
  <si>
    <t>HPL</t>
  </si>
  <si>
    <t>HSCL</t>
  </si>
  <si>
    <t>HSIL</t>
  </si>
  <si>
    <t>HTMEDIA</t>
  </si>
  <si>
    <t>HUBTOWN</t>
  </si>
  <si>
    <t>HUDCO</t>
  </si>
  <si>
    <t>IBREALEST</t>
  </si>
  <si>
    <t>IBULHSGFIN</t>
  </si>
  <si>
    <t>IBULISL</t>
  </si>
  <si>
    <t>IBVENTURES</t>
  </si>
  <si>
    <t>ICEMAKE</t>
  </si>
  <si>
    <t>ICICI500</t>
  </si>
  <si>
    <t>ICICIB22</t>
  </si>
  <si>
    <t>ICICIBANK</t>
  </si>
  <si>
    <t>ICICIGI</t>
  </si>
  <si>
    <t>ICICIGOLD</t>
  </si>
  <si>
    <t>ICICILOVOL</t>
  </si>
  <si>
    <t>ICICIMCAP</t>
  </si>
  <si>
    <t>ICICINF100</t>
  </si>
  <si>
    <t>ICICINIFTY</t>
  </si>
  <si>
    <t>ICICINV20</t>
  </si>
  <si>
    <t>ICICIPRULI</t>
  </si>
  <si>
    <t>ICICISENSX</t>
  </si>
  <si>
    <t>ICIL</t>
  </si>
  <si>
    <t>ICRA</t>
  </si>
  <si>
    <t>ICSA</t>
  </si>
  <si>
    <t>IDBI</t>
  </si>
  <si>
    <t>IDBIGOLD</t>
  </si>
  <si>
    <t>IDEA</t>
  </si>
  <si>
    <t>IDFC</t>
  </si>
  <si>
    <t>IDFCBANK</t>
  </si>
  <si>
    <t>IDFNIFTYET</t>
  </si>
  <si>
    <t>IEX</t>
  </si>
  <si>
    <t>IFBAGRO</t>
  </si>
  <si>
    <t>IFBIND</t>
  </si>
  <si>
    <t>IFCI</t>
  </si>
  <si>
    <t>IFGLEXPOR</t>
  </si>
  <si>
    <t>IGARASHI</t>
  </si>
  <si>
    <t>IGL</t>
  </si>
  <si>
    <t>IGPL</t>
  </si>
  <si>
    <t>IIFCL</t>
  </si>
  <si>
    <t>IIFL</t>
  </si>
  <si>
    <t>IIFLFIN</t>
  </si>
  <si>
    <t>IIHFL</t>
  </si>
  <si>
    <t>IL&amp;FSENGG</t>
  </si>
  <si>
    <t>IL&amp;FSTRANS</t>
  </si>
  <si>
    <t>IMFA</t>
  </si>
  <si>
    <t>IMPAL</t>
  </si>
  <si>
    <t>IMPEXFERRO</t>
  </si>
  <si>
    <t>INDBANK</t>
  </si>
  <si>
    <t>INDHOTEL</t>
  </si>
  <si>
    <t>INDIACEM</t>
  </si>
  <si>
    <t>INDIAGLYCO</t>
  </si>
  <si>
    <t>INDIANB</t>
  </si>
  <si>
    <t>INDIANCARD</t>
  </si>
  <si>
    <t>INDIANHUME</t>
  </si>
  <si>
    <t>INDIGO</t>
  </si>
  <si>
    <t>INDIGRID</t>
  </si>
  <si>
    <t>INDLMETER</t>
  </si>
  <si>
    <t>INDNIPPON</t>
  </si>
  <si>
    <t>INDOCO</t>
  </si>
  <si>
    <t>INDORAMA</t>
  </si>
  <si>
    <t>INDOSOLAR</t>
  </si>
  <si>
    <t>INDOSTAR</t>
  </si>
  <si>
    <t>INDOTECH</t>
  </si>
  <si>
    <t>INDOTHAI</t>
  </si>
  <si>
    <t>INDOWIND</t>
  </si>
  <si>
    <t>INDRAMEDCO</t>
  </si>
  <si>
    <t>INDSWFTLAB</t>
  </si>
  <si>
    <t>INDSWFTLTD</t>
  </si>
  <si>
    <t>INDTERRAIN</t>
  </si>
  <si>
    <t>INDUSINDBK</t>
  </si>
  <si>
    <t>INEOSSTYRO</t>
  </si>
  <si>
    <t>INFIBEAM</t>
  </si>
  <si>
    <t>INFINITE</t>
  </si>
  <si>
    <t>INFOBEAN</t>
  </si>
  <si>
    <t>INFRABEES</t>
  </si>
  <si>
    <t>INFY</t>
  </si>
  <si>
    <t>INGERRAND</t>
  </si>
  <si>
    <t>INNOVANA</t>
  </si>
  <si>
    <t>INNOVATIVE</t>
  </si>
  <si>
    <t>INOXLEISUR</t>
  </si>
  <si>
    <t>INOXWIND</t>
  </si>
  <si>
    <t>INSECTICID</t>
  </si>
  <si>
    <t>INTELLECT</t>
  </si>
  <si>
    <t>INTENTECH</t>
  </si>
  <si>
    <t>INVENTURE</t>
  </si>
  <si>
    <t>IOB</t>
  </si>
  <si>
    <t>IOLCP</t>
  </si>
  <si>
    <t>IPAPPM</t>
  </si>
  <si>
    <t>IPCALAB</t>
  </si>
  <si>
    <t>IRB</t>
  </si>
  <si>
    <t>IRBINVIT</t>
  </si>
  <si>
    <t>IRFC</t>
  </si>
  <si>
    <t>ISEC</t>
  </si>
  <si>
    <t>ISFT</t>
  </si>
  <si>
    <t>ISMTLTD</t>
  </si>
  <si>
    <t>ITDC</t>
  </si>
  <si>
    <t>ITDCEM</t>
  </si>
  <si>
    <t>ITI</t>
  </si>
  <si>
    <t>IVC</t>
  </si>
  <si>
    <t>IVP</t>
  </si>
  <si>
    <t>IVRCLINFRA</t>
  </si>
  <si>
    <t>IVZINGOLD</t>
  </si>
  <si>
    <t>IVZINNIFTY</t>
  </si>
  <si>
    <t>IZMO</t>
  </si>
  <si>
    <t>J&amp;KBANK</t>
  </si>
  <si>
    <t>JAGRAN</t>
  </si>
  <si>
    <t>JAGSNPHARM</t>
  </si>
  <si>
    <t>JAIBALAJI</t>
  </si>
  <si>
    <t>JAICORPLTD</t>
  </si>
  <si>
    <t>JAKHARIA</t>
  </si>
  <si>
    <t>JAMNAAUTO</t>
  </si>
  <si>
    <t>JASH</t>
  </si>
  <si>
    <t>JAYAGROGN</t>
  </si>
  <si>
    <t>JAYBARMARU</t>
  </si>
  <si>
    <t>JAYNECOIND</t>
  </si>
  <si>
    <t>JAYSREETEA</t>
  </si>
  <si>
    <t>JBCHEPHARM</t>
  </si>
  <si>
    <t>JBFIND</t>
  </si>
  <si>
    <t>JBMA</t>
  </si>
  <si>
    <t>JCHAC</t>
  </si>
  <si>
    <t>JETAIRWAYS</t>
  </si>
  <si>
    <t>JHS</t>
  </si>
  <si>
    <t>JINDALPHOT</t>
  </si>
  <si>
    <t>JINDALPOLY</t>
  </si>
  <si>
    <t>JINDALSAW</t>
  </si>
  <si>
    <t>JINDALSTEL</t>
  </si>
  <si>
    <t>JINDCOT</t>
  </si>
  <si>
    <t>JINDRILL</t>
  </si>
  <si>
    <t>JINDWORLD</t>
  </si>
  <si>
    <t>JISLDVREQS</t>
  </si>
  <si>
    <t>JISLJALEQS</t>
  </si>
  <si>
    <t>JITFINFRA</t>
  </si>
  <si>
    <t>JKCEMENT</t>
  </si>
  <si>
    <t>JKLAKSHMI</t>
  </si>
  <si>
    <t>JKPAPER</t>
  </si>
  <si>
    <t>JKTYRE</t>
  </si>
  <si>
    <t>JMA</t>
  </si>
  <si>
    <t>JMCPROJECT</t>
  </si>
  <si>
    <t>JMFINANCIL</t>
  </si>
  <si>
    <t>JMTAUTOLTD</t>
  </si>
  <si>
    <t>JOCIL</t>
  </si>
  <si>
    <t>JPASSOCIAT</t>
  </si>
  <si>
    <t>JPINFRATEC</t>
  </si>
  <si>
    <t>JPOLYINVST</t>
  </si>
  <si>
    <t>JPPOWER</t>
  </si>
  <si>
    <t>JSL</t>
  </si>
  <si>
    <t>JSLHISAR</t>
  </si>
  <si>
    <t>JSWENERGY</t>
  </si>
  <si>
    <t>JSWHL</t>
  </si>
  <si>
    <t>JSWSTEEL</t>
  </si>
  <si>
    <t>JTEKTINDIA</t>
  </si>
  <si>
    <t>JUBILANT</t>
  </si>
  <si>
    <t>JUBLFOOD</t>
  </si>
  <si>
    <t>JUBLINDS</t>
  </si>
  <si>
    <t>JUNIORBEES</t>
  </si>
  <si>
    <t>JUSTDIAL</t>
  </si>
  <si>
    <t>JVLAGRO</t>
  </si>
  <si>
    <t>JYOTHYLAB</t>
  </si>
  <si>
    <t>JYOTISTRUC</t>
  </si>
  <si>
    <t>KABRAEXTRU</t>
  </si>
  <si>
    <t>KAJARIACER</t>
  </si>
  <si>
    <t>KAKATCEM</t>
  </si>
  <si>
    <t>KALPATPOWR</t>
  </si>
  <si>
    <t>KALYANIFRG</t>
  </si>
  <si>
    <t>KAMATHOTEL</t>
  </si>
  <si>
    <t>KAMDHENU</t>
  </si>
  <si>
    <t>KANANIIND</t>
  </si>
  <si>
    <t>KANORICHEM</t>
  </si>
  <si>
    <t>KANSAINER</t>
  </si>
  <si>
    <t>KAPSTON</t>
  </si>
  <si>
    <t>KARDA</t>
  </si>
  <si>
    <t>KARMAENG</t>
  </si>
  <si>
    <t>KARURVYSYA</t>
  </si>
  <si>
    <t>KAUSHALYA</t>
  </si>
  <si>
    <t>KAVVERITEL</t>
  </si>
  <si>
    <t>KAYA</t>
  </si>
  <si>
    <t>KCP</t>
  </si>
  <si>
    <t>KCPSUGIND</t>
  </si>
  <si>
    <t>KDDL</t>
  </si>
  <si>
    <t>KEC</t>
  </si>
  <si>
    <t>KECL</t>
  </si>
  <si>
    <t>KEERTI</t>
  </si>
  <si>
    <t>KEI</t>
  </si>
  <si>
    <t>KELLTONTEC</t>
  </si>
  <si>
    <t>KERNEX</t>
  </si>
  <si>
    <t>KESARENT</t>
  </si>
  <si>
    <t>KESORAMIND</t>
  </si>
  <si>
    <t>KEYCORPSER</t>
  </si>
  <si>
    <t>KGL</t>
  </si>
  <si>
    <t>KHADIM</t>
  </si>
  <si>
    <t>KHAITANELE</t>
  </si>
  <si>
    <t>KHAITANLTD</t>
  </si>
  <si>
    <t>KHANDSE</t>
  </si>
  <si>
    <t>KICL</t>
  </si>
  <si>
    <t>KILITCH</t>
  </si>
  <si>
    <t>KINGFA</t>
  </si>
  <si>
    <t>KIOCL</t>
  </si>
  <si>
    <t>KIRIINDUS</t>
  </si>
  <si>
    <t>KIRLOSBROS</t>
  </si>
  <si>
    <t>KIRLOSENG</t>
  </si>
  <si>
    <t>KIRLOSIND</t>
  </si>
  <si>
    <t>KITEX</t>
  </si>
  <si>
    <t>KKCL</t>
  </si>
  <si>
    <t>KMSUGAR</t>
  </si>
  <si>
    <t>KNRCON</t>
  </si>
  <si>
    <t>KOHINOOR</t>
  </si>
  <si>
    <t>KOKUYOCMLN</t>
  </si>
  <si>
    <t>KOLTEPATIL</t>
  </si>
  <si>
    <t>KOPRAN</t>
  </si>
  <si>
    <t>KOTAKBANK</t>
  </si>
  <si>
    <t>KOTAKBKETF</t>
  </si>
  <si>
    <t>KOTAKGOLD</t>
  </si>
  <si>
    <t>KOTAKNIFTY</t>
  </si>
  <si>
    <t>KOTAKNV20</t>
  </si>
  <si>
    <t>KOTAKPSUBK</t>
  </si>
  <si>
    <t>KOTARISUG</t>
  </si>
  <si>
    <t>KOTHARIPET</t>
  </si>
  <si>
    <t>KOTHARIPRO</t>
  </si>
  <si>
    <t>KPIT</t>
  </si>
  <si>
    <t>KPRMILL</t>
  </si>
  <si>
    <t>KRBL</t>
  </si>
  <si>
    <t>KREBSBIO</t>
  </si>
  <si>
    <t>KRIDHANINF</t>
  </si>
  <si>
    <t>KSBPUMPS</t>
  </si>
  <si>
    <t>KSCL</t>
  </si>
  <si>
    <t>KSERASERA</t>
  </si>
  <si>
    <t>KSK</t>
  </si>
  <si>
    <t>KSL</t>
  </si>
  <si>
    <t>KTIL</t>
  </si>
  <si>
    <t>KTKBANK</t>
  </si>
  <si>
    <t>KWALITY</t>
  </si>
  <si>
    <t>L&amp;TFH</t>
  </si>
  <si>
    <t>L&amp;TFINANCE</t>
  </si>
  <si>
    <t>L&amp;TINFRA</t>
  </si>
  <si>
    <t>LAKPRE</t>
  </si>
  <si>
    <t>LAKSHMIEFL</t>
  </si>
  <si>
    <t>LAKSHVILAS</t>
  </si>
  <si>
    <t>LALPATHLAB</t>
  </si>
  <si>
    <t>LAMBODHARA</t>
  </si>
  <si>
    <t>LAOPALA</t>
  </si>
  <si>
    <t>LASA</t>
  </si>
  <si>
    <t>LAURUSLABS</t>
  </si>
  <si>
    <t>LAXMICOT</t>
  </si>
  <si>
    <t>LAXMIMACH</t>
  </si>
  <si>
    <t>LEEL</t>
  </si>
  <si>
    <t>LEMONTREE</t>
  </si>
  <si>
    <t>LEXUS</t>
  </si>
  <si>
    <t>LFIC</t>
  </si>
  <si>
    <t>LGBBROSLTD</t>
  </si>
  <si>
    <t>LGBFORGE</t>
  </si>
  <si>
    <t>LIBAS</t>
  </si>
  <si>
    <t>LIBERTSHOE</t>
  </si>
  <si>
    <t>LICHSGFIN</t>
  </si>
  <si>
    <t>LICNETFGSC</t>
  </si>
  <si>
    <t>LICNETFN50</t>
  </si>
  <si>
    <t>LICNETFSEN</t>
  </si>
  <si>
    <t>LICNFNHGP</t>
  </si>
  <si>
    <t>LINCOLN</t>
  </si>
  <si>
    <t>LINCPEN</t>
  </si>
  <si>
    <t>LINDEINDIA</t>
  </si>
  <si>
    <t>LIQUIDBEES</t>
  </si>
  <si>
    <t>LIQUIDETF</t>
  </si>
  <si>
    <t>LITL</t>
  </si>
  <si>
    <t>LOKESHMACH</t>
  </si>
  <si>
    <t>LOTUSEYE</t>
  </si>
  <si>
    <t>LOVABLE</t>
  </si>
  <si>
    <t>LPDC</t>
  </si>
  <si>
    <t>LSIL</t>
  </si>
  <si>
    <t>LT</t>
  </si>
  <si>
    <t>LTI</t>
  </si>
  <si>
    <t>LTTS</t>
  </si>
  <si>
    <t>LUMAXIND</t>
  </si>
  <si>
    <t>LUMAXTECH</t>
  </si>
  <si>
    <t>LUPIN</t>
  </si>
  <si>
    <t>LUXIND</t>
  </si>
  <si>
    <t>LYCOS</t>
  </si>
  <si>
    <t>LYKALABS</t>
  </si>
  <si>
    <t>LYPSAGEMS</t>
  </si>
  <si>
    <t>M&amp;M</t>
  </si>
  <si>
    <t>M&amp;MFIN</t>
  </si>
  <si>
    <t>M100</t>
  </si>
  <si>
    <t>M14RG</t>
  </si>
  <si>
    <t>M50</t>
  </si>
  <si>
    <t>MAANALU</t>
  </si>
  <si>
    <t>MACPOWER</t>
  </si>
  <si>
    <t>MADHAV</t>
  </si>
  <si>
    <t>MADHUCON</t>
  </si>
  <si>
    <t>MADRASFERT</t>
  </si>
  <si>
    <t>MAGADSUGAR</t>
  </si>
  <si>
    <t>MAGMA</t>
  </si>
  <si>
    <t>MAGNUM</t>
  </si>
  <si>
    <t>MAHABANK</t>
  </si>
  <si>
    <t>MAHAPEXLTD</t>
  </si>
  <si>
    <t>MAHASTEEL</t>
  </si>
  <si>
    <t>MAHESHWARI</t>
  </si>
  <si>
    <t>MAHICKRA</t>
  </si>
  <si>
    <t>MAHINDCIE</t>
  </si>
  <si>
    <t>MAHLIFE</t>
  </si>
  <si>
    <t>MAHLOG</t>
  </si>
  <si>
    <t>MAHSCOOTER</t>
  </si>
  <si>
    <t>MAHSEAMLES</t>
  </si>
  <si>
    <t>MAITHANALL</t>
  </si>
  <si>
    <t>MAJESCO</t>
  </si>
  <si>
    <t>MALUPAPER</t>
  </si>
  <si>
    <t>MANAKALUCO</t>
  </si>
  <si>
    <t>MANAKCOAT</t>
  </si>
  <si>
    <t>MANAKSIA</t>
  </si>
  <si>
    <t>MANAKSTEEL</t>
  </si>
  <si>
    <t>MANALIPETC</t>
  </si>
  <si>
    <t>MANAPPURAM</t>
  </si>
  <si>
    <t>MANDHANA</t>
  </si>
  <si>
    <t>MANGALAM</t>
  </si>
  <si>
    <t>MANGCHEFER</t>
  </si>
  <si>
    <t>MANGLMCEM</t>
  </si>
  <si>
    <t>MANGTIMBER</t>
  </si>
  <si>
    <t>MANINDS</t>
  </si>
  <si>
    <t>MANINFRA</t>
  </si>
  <si>
    <t>MANPASAND</t>
  </si>
  <si>
    <t>MANUGRAPH</t>
  </si>
  <si>
    <t>MARALOVER</t>
  </si>
  <si>
    <t>MARATHON</t>
  </si>
  <si>
    <t>MARICO</t>
  </si>
  <si>
    <t>MARKSANS</t>
  </si>
  <si>
    <t>MARUTI</t>
  </si>
  <si>
    <t>MASFIN</t>
  </si>
  <si>
    <t>MASTEK</t>
  </si>
  <si>
    <t>MATRIMONY</t>
  </si>
  <si>
    <t>MAWANASUG</t>
  </si>
  <si>
    <t>MAXINDIA</t>
  </si>
  <si>
    <t>MAXVIL</t>
  </si>
  <si>
    <t>MAYURUNIQ</t>
  </si>
  <si>
    <t>MAZDA</t>
  </si>
  <si>
    <t>MBECL</t>
  </si>
  <si>
    <t>MBLINFRA</t>
  </si>
  <si>
    <t>MCDHOLDING</t>
  </si>
  <si>
    <t>MCDOWELL-N</t>
  </si>
  <si>
    <t>MCL</t>
  </si>
  <si>
    <t>MCLEODRUSS</t>
  </si>
  <si>
    <t>MCX</t>
  </si>
  <si>
    <t>MEGASOFT</t>
  </si>
  <si>
    <t>MEGH</t>
  </si>
  <si>
    <t>MENONBE</t>
  </si>
  <si>
    <t>MEP</t>
  </si>
  <si>
    <t>MERCATOR</t>
  </si>
  <si>
    <t>MERCK</t>
  </si>
  <si>
    <t>METALFORGE</t>
  </si>
  <si>
    <t>METKORE</t>
  </si>
  <si>
    <t>MFSL</t>
  </si>
  <si>
    <t>MGL</t>
  </si>
  <si>
    <t>MHHL</t>
  </si>
  <si>
    <t>MHRIL</t>
  </si>
  <si>
    <t>MIC</t>
  </si>
  <si>
    <t>MIDHANI</t>
  </si>
  <si>
    <t>MINDACORP</t>
  </si>
  <si>
    <t>MINDAIND</t>
  </si>
  <si>
    <t>MINDTECK</t>
  </si>
  <si>
    <t>MINDTREE</t>
  </si>
  <si>
    <t>MIRCELECTR</t>
  </si>
  <si>
    <t>MIRZAINT</t>
  </si>
  <si>
    <t>MITCON</t>
  </si>
  <si>
    <t>MITTAL</t>
  </si>
  <si>
    <t>MKPL</t>
  </si>
  <si>
    <t>MMFL</t>
  </si>
  <si>
    <t>MMP</t>
  </si>
  <si>
    <t>MMTC</t>
  </si>
  <si>
    <t>MOHITIND</t>
  </si>
  <si>
    <t>MOHOTAIND</t>
  </si>
  <si>
    <t>MOIL</t>
  </si>
  <si>
    <t>MOKSH</t>
  </si>
  <si>
    <t>MOLDTECH</t>
  </si>
  <si>
    <t>MOLDTKPAC</t>
  </si>
  <si>
    <t>MONNETISPA</t>
  </si>
  <si>
    <t>MONSANTO</t>
  </si>
  <si>
    <t>MONTECARLO</t>
  </si>
  <si>
    <t>MORARJEE</t>
  </si>
  <si>
    <t>MOREPENLAB</t>
  </si>
  <si>
    <t>MOSERBAER</t>
  </si>
  <si>
    <t>MOTHERSUMI</t>
  </si>
  <si>
    <t>MOTILALOFS</t>
  </si>
  <si>
    <t>MOTOGENFIN</t>
  </si>
  <si>
    <t>MPHASIS</t>
  </si>
  <si>
    <t>MPSLTD</t>
  </si>
  <si>
    <t>MPTODAY</t>
  </si>
  <si>
    <t>MRF</t>
  </si>
  <si>
    <t>MRO-TEK</t>
  </si>
  <si>
    <t>MSPL</t>
  </si>
  <si>
    <t>MTEDUCARE</t>
  </si>
  <si>
    <t>MTNL</t>
  </si>
  <si>
    <t>MUKANDENGG</t>
  </si>
  <si>
    <t>MUKANDLTD</t>
  </si>
  <si>
    <t>MUKTAARTS</t>
  </si>
  <si>
    <t>MUNJALAU</t>
  </si>
  <si>
    <t>MUNJALSHOW</t>
  </si>
  <si>
    <t>MURUDCERA</t>
  </si>
  <si>
    <t>MUTHOOTCAP</t>
  </si>
  <si>
    <t>MUTHOOTFIN</t>
  </si>
  <si>
    <t>MVL</t>
  </si>
  <si>
    <t>N100</t>
  </si>
  <si>
    <t>NABARD</t>
  </si>
  <si>
    <t>NACLIND</t>
  </si>
  <si>
    <t>NAGAFERT</t>
  </si>
  <si>
    <t>NAGAROIL</t>
  </si>
  <si>
    <t>NAGREEKCAP</t>
  </si>
  <si>
    <t>NAGREEKEXP</t>
  </si>
  <si>
    <t>NAHARCAP</t>
  </si>
  <si>
    <t>NAHARINDUS</t>
  </si>
  <si>
    <t>NAHARPOLY</t>
  </si>
  <si>
    <t>NAHARSPING</t>
  </si>
  <si>
    <t>NAKODA</t>
  </si>
  <si>
    <t>NATCOPHARM</t>
  </si>
  <si>
    <t>NATHBIOGEN</t>
  </si>
  <si>
    <t>NATIONALUM</t>
  </si>
  <si>
    <t>NATNLSTEEL</t>
  </si>
  <si>
    <t>NAUKRI</t>
  </si>
  <si>
    <t>NAVINFLUOR</t>
  </si>
  <si>
    <t>NAVKARCORP</t>
  </si>
  <si>
    <t>NAVNETEDUL</t>
  </si>
  <si>
    <t>NBCC</t>
  </si>
  <si>
    <t>NBIFIN</t>
  </si>
  <si>
    <t>NBVENTURES</t>
  </si>
  <si>
    <t>NCC</t>
  </si>
  <si>
    <t>NCLIND</t>
  </si>
  <si>
    <t>NDGL</t>
  </si>
  <si>
    <t>NDL</t>
  </si>
  <si>
    <t>NDTV</t>
  </si>
  <si>
    <t>NECCLTD</t>
  </si>
  <si>
    <t>NECLIFE</t>
  </si>
  <si>
    <t>NELCAST</t>
  </si>
  <si>
    <t>NELCO</t>
  </si>
  <si>
    <t>NESCO</t>
  </si>
  <si>
    <t>NESTLEIND</t>
  </si>
  <si>
    <t>NETWORK18</t>
  </si>
  <si>
    <t>NEULANDLAB</t>
  </si>
  <si>
    <t>NEWGEN</t>
  </si>
  <si>
    <t>NEXTMEDIA</t>
  </si>
  <si>
    <t>NFL</t>
  </si>
  <si>
    <t>NH</t>
  </si>
  <si>
    <t>NHAI</t>
  </si>
  <si>
    <t>NHBTF2014</t>
  </si>
  <si>
    <t>NHBTF2023</t>
  </si>
  <si>
    <t>NHPC</t>
  </si>
  <si>
    <t>NIACL</t>
  </si>
  <si>
    <t>NIBL</t>
  </si>
  <si>
    <t>NIFTYBEES</t>
  </si>
  <si>
    <t>NIFTYEES</t>
  </si>
  <si>
    <t>NIITLTD</t>
  </si>
  <si>
    <t>NIITTECH</t>
  </si>
  <si>
    <t>NILAINFRA</t>
  </si>
  <si>
    <t>NILKAMAL</t>
  </si>
  <si>
    <t>NIPPOBATRY</t>
  </si>
  <si>
    <t>NITCO</t>
  </si>
  <si>
    <t>NITESHEST</t>
  </si>
  <si>
    <t>NITINFIRE</t>
  </si>
  <si>
    <t>NITINSPIN</t>
  </si>
  <si>
    <t>NITIRAJ</t>
  </si>
  <si>
    <t>NKIND</t>
  </si>
  <si>
    <t>NOCIL</t>
  </si>
  <si>
    <t>NOIDATOLL</t>
  </si>
  <si>
    <t>NORBTEAEXP</t>
  </si>
  <si>
    <t>NRAIL</t>
  </si>
  <si>
    <t>NRBBEARING</t>
  </si>
  <si>
    <t>NSIL</t>
  </si>
  <si>
    <t>NTL</t>
  </si>
  <si>
    <t>NTPC</t>
  </si>
  <si>
    <t>NUCLEUS</t>
  </si>
  <si>
    <t>NUTEK</t>
  </si>
  <si>
    <t>OBEROIRLTY</t>
  </si>
  <si>
    <t>OCCL</t>
  </si>
  <si>
    <t>OCL</t>
  </si>
  <si>
    <t>OFSS</t>
  </si>
  <si>
    <t>OIL</t>
  </si>
  <si>
    <t>OILCOUNTUB</t>
  </si>
  <si>
    <t>OISL</t>
  </si>
  <si>
    <t>OMAXAUTO</t>
  </si>
  <si>
    <t>OMAXE</t>
  </si>
  <si>
    <t>OMKARCHEM</t>
  </si>
  <si>
    <t>OMMETALS</t>
  </si>
  <si>
    <t>ONELIFECAP</t>
  </si>
  <si>
    <t>ONEPOINT</t>
  </si>
  <si>
    <t>ONGC</t>
  </si>
  <si>
    <t>ONMOBILE</t>
  </si>
  <si>
    <t>ONWARDTEC</t>
  </si>
  <si>
    <t>OPTIEMUS</t>
  </si>
  <si>
    <t>OPTOCIRCUI</t>
  </si>
  <si>
    <t>ORBTEXP</t>
  </si>
  <si>
    <t>ORCHIDPHAR</t>
  </si>
  <si>
    <t>ORICONENT</t>
  </si>
  <si>
    <t>ORIENTABRA</t>
  </si>
  <si>
    <t>ORIENTALTL</t>
  </si>
  <si>
    <t>ORIENTBANK</t>
  </si>
  <si>
    <t>ORIENTBELL</t>
  </si>
  <si>
    <t>ORIENTCEM</t>
  </si>
  <si>
    <t>ORIENTELEC</t>
  </si>
  <si>
    <t>ORIENTHOT</t>
  </si>
  <si>
    <t>ORIENTLTD</t>
  </si>
  <si>
    <t>ORIENTPPR</t>
  </si>
  <si>
    <t>ORIENTREF</t>
  </si>
  <si>
    <t>ORISSAMINE</t>
  </si>
  <si>
    <t>ORTEL</t>
  </si>
  <si>
    <t>ORTINLABSS</t>
  </si>
  <si>
    <t>OSWALAGRO</t>
  </si>
  <si>
    <t>OSWALSEEDS</t>
  </si>
  <si>
    <t>PAGEIND</t>
  </si>
  <si>
    <t>PAISALO</t>
  </si>
  <si>
    <t>PALASHSECU</t>
  </si>
  <si>
    <t>PALREDTEC</t>
  </si>
  <si>
    <t>PANACEABIO</t>
  </si>
  <si>
    <t>PANAMAPET</t>
  </si>
  <si>
    <t>PANORAMUNI</t>
  </si>
  <si>
    <t>PAPERPROD</t>
  </si>
  <si>
    <t>PARABDRUGS</t>
  </si>
  <si>
    <t>PARACABLES</t>
  </si>
  <si>
    <t>PARAGMILK</t>
  </si>
  <si>
    <t>PARSVNATH</t>
  </si>
  <si>
    <t>PATELENG</t>
  </si>
  <si>
    <t>PATINTLOG</t>
  </si>
  <si>
    <t>PATSPINLTD</t>
  </si>
  <si>
    <t>PBAINFRA</t>
  </si>
  <si>
    <t>PCJEWELLER</t>
  </si>
  <si>
    <t>PDMJEPAPER</t>
  </si>
  <si>
    <t>PDPL</t>
  </si>
  <si>
    <t>PDSMFL</t>
  </si>
  <si>
    <t>PEARLPOLY</t>
  </si>
  <si>
    <t>PEL</t>
  </si>
  <si>
    <t>PENIND</t>
  </si>
  <si>
    <t>PENINLAND</t>
  </si>
  <si>
    <t>PENPEBS</t>
  </si>
  <si>
    <t>PERFECT</t>
  </si>
  <si>
    <t>PERSISTENT</t>
  </si>
  <si>
    <t>PETRONENGG</t>
  </si>
  <si>
    <t>PETRONET</t>
  </si>
  <si>
    <t>PFIZER</t>
  </si>
  <si>
    <t>PFOCUS</t>
  </si>
  <si>
    <t>PFS</t>
  </si>
  <si>
    <t>PGEL</t>
  </si>
  <si>
    <t>PGHH</t>
  </si>
  <si>
    <t>PGIL</t>
  </si>
  <si>
    <t>PHILIPCARB</t>
  </si>
  <si>
    <t>PHOENIXLTD</t>
  </si>
  <si>
    <t>PIDILITIND</t>
  </si>
  <si>
    <t>PIGL</t>
  </si>
  <si>
    <t>PIIND</t>
  </si>
  <si>
    <t>PILANIINVS</t>
  </si>
  <si>
    <t>PILITA</t>
  </si>
  <si>
    <t>PIONDIST</t>
  </si>
  <si>
    <t>PIONEEREMB</t>
  </si>
  <si>
    <t>PIRPHYTO</t>
  </si>
  <si>
    <t>PITTIENG</t>
  </si>
  <si>
    <t>PKTEA</t>
  </si>
  <si>
    <t>PLASTIBLEN</t>
  </si>
  <si>
    <t>PNB</t>
  </si>
  <si>
    <t>PNBGILTS</t>
  </si>
  <si>
    <t>PNBHOUSING</t>
  </si>
  <si>
    <t>PNC</t>
  </si>
  <si>
    <t>PNCINFRA</t>
  </si>
  <si>
    <t>POCHIRAJU</t>
  </si>
  <si>
    <t>PODDARHOUS</t>
  </si>
  <si>
    <t>PODDARMENT</t>
  </si>
  <si>
    <t>POKARNA</t>
  </si>
  <si>
    <t>POLARIS</t>
  </si>
  <si>
    <t>POLYMED</t>
  </si>
  <si>
    <t>POLYPLEX</t>
  </si>
  <si>
    <t>PONNIERODE</t>
  </si>
  <si>
    <t>POWERGRID</t>
  </si>
  <si>
    <t>POWERMECH</t>
  </si>
  <si>
    <t>PPAP</t>
  </si>
  <si>
    <t>PRABHAT</t>
  </si>
  <si>
    <t>PRADIP</t>
  </si>
  <si>
    <t>PRAENG</t>
  </si>
  <si>
    <t>PRAKASH</t>
  </si>
  <si>
    <t>PRAKASHCON</t>
  </si>
  <si>
    <t>PRATIBHA</t>
  </si>
  <si>
    <t>PRAXIS</t>
  </si>
  <si>
    <t>PRECAM</t>
  </si>
  <si>
    <t>PRECOT</t>
  </si>
  <si>
    <t>PRECWIRE</t>
  </si>
  <si>
    <t>PREMEXPLN</t>
  </si>
  <si>
    <t>PREMIER</t>
  </si>
  <si>
    <t>PREMIERPOL</t>
  </si>
  <si>
    <t>PRESSMN</t>
  </si>
  <si>
    <t>PRESTIGE</t>
  </si>
  <si>
    <t>PRICOLLTD</t>
  </si>
  <si>
    <t>PRIMESECU</t>
  </si>
  <si>
    <t>PRITI</t>
  </si>
  <si>
    <t>PROLIFE</t>
  </si>
  <si>
    <t>PROVOGE</t>
  </si>
  <si>
    <t>PROZONINTU</t>
  </si>
  <si>
    <t>PRSMJOHNSN</t>
  </si>
  <si>
    <t>PSB</t>
  </si>
  <si>
    <t>PSL</t>
  </si>
  <si>
    <t>PSPPROJECT</t>
  </si>
  <si>
    <t>PSUBNKBEES</t>
  </si>
  <si>
    <t>PTL</t>
  </si>
  <si>
    <t>PUNJABCHEM</t>
  </si>
  <si>
    <t>PUNJLLOYD</t>
  </si>
  <si>
    <t>PURVA</t>
  </si>
  <si>
    <t>PVP</t>
  </si>
  <si>
    <t>PVR</t>
  </si>
  <si>
    <t>QGOLDHALF</t>
  </si>
  <si>
    <t>QUESS</t>
  </si>
  <si>
    <t>QUICKHEAL</t>
  </si>
  <si>
    <t>RADAAN</t>
  </si>
  <si>
    <t>RADICO</t>
  </si>
  <si>
    <t>RADIOCITY</t>
  </si>
  <si>
    <t>RAIN</t>
  </si>
  <si>
    <t>RAINBOWPAP</t>
  </si>
  <si>
    <t>RAJESHEXPO</t>
  </si>
  <si>
    <t>RAJRAYON</t>
  </si>
  <si>
    <t>RAJSREESUG</t>
  </si>
  <si>
    <t>RAJTV</t>
  </si>
  <si>
    <t>RAJVIR</t>
  </si>
  <si>
    <t>RALLIS</t>
  </si>
  <si>
    <t>RAMANEWS</t>
  </si>
  <si>
    <t>RAMASTEEL</t>
  </si>
  <si>
    <t>RAMCOCEM</t>
  </si>
  <si>
    <t>RAMCOIND</t>
  </si>
  <si>
    <t>RAMCOSYS</t>
  </si>
  <si>
    <t>RAMGOPOLY</t>
  </si>
  <si>
    <t>RAMKY</t>
  </si>
  <si>
    <t>RANASUG</t>
  </si>
  <si>
    <t>RANEENGINE</t>
  </si>
  <si>
    <t>RANEHOLDIN</t>
  </si>
  <si>
    <t>RATNAMANI</t>
  </si>
  <si>
    <t>RAYMOND</t>
  </si>
  <si>
    <t>RBL</t>
  </si>
  <si>
    <t>RBLBANK</t>
  </si>
  <si>
    <t>RCF</t>
  </si>
  <si>
    <t>RCOM</t>
  </si>
  <si>
    <t>RECLTD</t>
  </si>
  <si>
    <t>REDINGTON</t>
  </si>
  <si>
    <t>REFEX</t>
  </si>
  <si>
    <t>REGENCERAM</t>
  </si>
  <si>
    <t>RELAXO</t>
  </si>
  <si>
    <t>RELCAPITAL</t>
  </si>
  <si>
    <t>RELCNX100</t>
  </si>
  <si>
    <t>RELCONS</t>
  </si>
  <si>
    <t>RELDIVOPP</t>
  </si>
  <si>
    <t>RELIABLE</t>
  </si>
  <si>
    <t>RELIANCE</t>
  </si>
  <si>
    <t>RELIFIN</t>
  </si>
  <si>
    <t>RELIGARE</t>
  </si>
  <si>
    <t>RELINFRA</t>
  </si>
  <si>
    <t>RELNV20</t>
  </si>
  <si>
    <t>REMSONSIND</t>
  </si>
  <si>
    <t>RENUKA</t>
  </si>
  <si>
    <t>REPCOHOME</t>
  </si>
  <si>
    <t>REPL</t>
  </si>
  <si>
    <t>REPRO</t>
  </si>
  <si>
    <t>RESPONIND</t>
  </si>
  <si>
    <t>REVATHI</t>
  </si>
  <si>
    <t>RHFL</t>
  </si>
  <si>
    <t>RICOAUTO</t>
  </si>
  <si>
    <t>RIIL</t>
  </si>
  <si>
    <t>RITES</t>
  </si>
  <si>
    <t>RJL</t>
  </si>
  <si>
    <t>RKDL</t>
  </si>
  <si>
    <t>RKEC</t>
  </si>
  <si>
    <t>RKFORGE</t>
  </si>
  <si>
    <t>RMCL</t>
  </si>
  <si>
    <t>RMDRIP</t>
  </si>
  <si>
    <t>RML</t>
  </si>
  <si>
    <t>RNAM</t>
  </si>
  <si>
    <t>RNAVAL</t>
  </si>
  <si>
    <t>ROHITFERRO</t>
  </si>
  <si>
    <t>ROHLTD</t>
  </si>
  <si>
    <t>ROLLT</t>
  </si>
  <si>
    <t>ROSSELLIND</t>
  </si>
  <si>
    <t>RPGLIFE</t>
  </si>
  <si>
    <t>RPOWER</t>
  </si>
  <si>
    <t>RPPINFRA</t>
  </si>
  <si>
    <t>RSSOFTWARE</t>
  </si>
  <si>
    <t>RSWM</t>
  </si>
  <si>
    <t>RSYSTEMS</t>
  </si>
  <si>
    <t>RTNINFRA</t>
  </si>
  <si>
    <t>RTNPOWER</t>
  </si>
  <si>
    <t>RUBYMILLS</t>
  </si>
  <si>
    <t>RUCHIRA</t>
  </si>
  <si>
    <t>RUCHISOYA</t>
  </si>
  <si>
    <t>RUPA</t>
  </si>
  <si>
    <t>RUSHIL</t>
  </si>
  <si>
    <t>SABEVENTS</t>
  </si>
  <si>
    <t>SABTN</t>
  </si>
  <si>
    <t>SADBHAV</t>
  </si>
  <si>
    <t>SADBHIN</t>
  </si>
  <si>
    <t>SAGCEM</t>
  </si>
  <si>
    <t>SAIL</t>
  </si>
  <si>
    <t>SAKHTISUG</t>
  </si>
  <si>
    <t>SAKSOFT</t>
  </si>
  <si>
    <t>SAKUMA</t>
  </si>
  <si>
    <t>SALASAR</t>
  </si>
  <si>
    <t>SALONA</t>
  </si>
  <si>
    <t>SALORAINTL</t>
  </si>
  <si>
    <t>SALSTEEL</t>
  </si>
  <si>
    <t>SALZERELEC</t>
  </si>
  <si>
    <t>SAMBHAAV</t>
  </si>
  <si>
    <t>SANCO</t>
  </si>
  <si>
    <t>SANDESH</t>
  </si>
  <si>
    <t>SANDHAR</t>
  </si>
  <si>
    <t>SANGAMIND</t>
  </si>
  <si>
    <t>SANGHIIND</t>
  </si>
  <si>
    <t>SANGHVIFOR</t>
  </si>
  <si>
    <t>SANGHVIMOV</t>
  </si>
  <si>
    <t>SANGINITA</t>
  </si>
  <si>
    <t>SANOFI</t>
  </si>
  <si>
    <t>SANWARIA</t>
  </si>
  <si>
    <t>SARDAEN</t>
  </si>
  <si>
    <t>SAREGAMA</t>
  </si>
  <si>
    <t>SARLAPOLY</t>
  </si>
  <si>
    <t>SARVESHWAR</t>
  </si>
  <si>
    <t>SASKEN</t>
  </si>
  <si>
    <t>SASTASUNDR</t>
  </si>
  <si>
    <t>SATHAISPAT</t>
  </si>
  <si>
    <t>SATIN</t>
  </si>
  <si>
    <t>SBILIFE</t>
  </si>
  <si>
    <t>SBIN</t>
  </si>
  <si>
    <t>SCAPDVR</t>
  </si>
  <si>
    <t>SCHAEFFLER</t>
  </si>
  <si>
    <t>SCHAND</t>
  </si>
  <si>
    <t>SCHNEIDER</t>
  </si>
  <si>
    <t>SCI</t>
  </si>
  <si>
    <t>SDBL</t>
  </si>
  <si>
    <t>SEAMECLTD</t>
  </si>
  <si>
    <t>SECURCRED</t>
  </si>
  <si>
    <t>SELAN</t>
  </si>
  <si>
    <t>SELMCL</t>
  </si>
  <si>
    <t>SEPOWER</t>
  </si>
  <si>
    <t>SEQUENT</t>
  </si>
  <si>
    <t>SESHAPAPER</t>
  </si>
  <si>
    <t>SETCO</t>
  </si>
  <si>
    <t>SETFGOLD</t>
  </si>
  <si>
    <t>SETFNIF50</t>
  </si>
  <si>
    <t>SETFNIFBK</t>
  </si>
  <si>
    <t>SETFNN50</t>
  </si>
  <si>
    <t>SEZAL</t>
  </si>
  <si>
    <t>SFL</t>
  </si>
  <si>
    <t>SGBAUG24</t>
  </si>
  <si>
    <t>SGBFEB24</t>
  </si>
  <si>
    <t>SGBJAN26</t>
  </si>
  <si>
    <t>SGBJUL25</t>
  </si>
  <si>
    <t>SGBMAR24</t>
  </si>
  <si>
    <t>SGBMAR25</t>
  </si>
  <si>
    <t>SGBMAY25</t>
  </si>
  <si>
    <t>SGBMAY26</t>
  </si>
  <si>
    <t>SGBNOV23</t>
  </si>
  <si>
    <t>SGBNOV24</t>
  </si>
  <si>
    <t>SGBNOV25</t>
  </si>
  <si>
    <t>SGBNOV25VI</t>
  </si>
  <si>
    <t>SGBOCT25</t>
  </si>
  <si>
    <t>SGBSEP24</t>
  </si>
  <si>
    <t>SGL</t>
  </si>
  <si>
    <t>SHAHALLOYS</t>
  </si>
  <si>
    <t>SHAKTIPUMP</t>
  </si>
  <si>
    <t>SHALBY</t>
  </si>
  <si>
    <t>SHALPAINTS</t>
  </si>
  <si>
    <t>SHANKARA</t>
  </si>
  <si>
    <t>SHANTIGEAR</t>
  </si>
  <si>
    <t>SHARDACROP</t>
  </si>
  <si>
    <t>SHARDAMOTR</t>
  </si>
  <si>
    <t>SHARIABEES</t>
  </si>
  <si>
    <t>SHARONBIO</t>
  </si>
  <si>
    <t>SHEMAROO</t>
  </si>
  <si>
    <t>SHILPAMED</t>
  </si>
  <si>
    <t>SHILPI</t>
  </si>
  <si>
    <t>SHIRPUR-G</t>
  </si>
  <si>
    <t>SHIVAMAUTO</t>
  </si>
  <si>
    <t>SHIVAMILLS</t>
  </si>
  <si>
    <t>SHIVATEX</t>
  </si>
  <si>
    <t>SHK</t>
  </si>
  <si>
    <t>SHOPERSTOP</t>
  </si>
  <si>
    <t>SHREECEM</t>
  </si>
  <si>
    <t>SHREEPUSHK</t>
  </si>
  <si>
    <t>SHREERAMA</t>
  </si>
  <si>
    <t>SHRENIK</t>
  </si>
  <si>
    <t>SHREYANIND</t>
  </si>
  <si>
    <t>SHREYAS</t>
  </si>
  <si>
    <t>SHRIPISTON</t>
  </si>
  <si>
    <t>SHRIRAMCIT</t>
  </si>
  <si>
    <t>SHRIRAMEPC</t>
  </si>
  <si>
    <t>SHYAMCENT</t>
  </si>
  <si>
    <t>SHYAMTEL</t>
  </si>
  <si>
    <t>SICAGEN</t>
  </si>
  <si>
    <t>SICAL</t>
  </si>
  <si>
    <t>SIEMENS</t>
  </si>
  <si>
    <t>SIGNET</t>
  </si>
  <si>
    <t>SIIL</t>
  </si>
  <si>
    <t>SIL</t>
  </si>
  <si>
    <t>SILINV</t>
  </si>
  <si>
    <t>SILLYMONKS</t>
  </si>
  <si>
    <t>SILVERTUC</t>
  </si>
  <si>
    <t>SIMBHALS</t>
  </si>
  <si>
    <t>SIMPLEX</t>
  </si>
  <si>
    <t>SIMPLEXINF</t>
  </si>
  <si>
    <t>SINTERCOM</t>
  </si>
  <si>
    <t>SINTEX</t>
  </si>
  <si>
    <t>SIRCA</t>
  </si>
  <si>
    <t>SIS</t>
  </si>
  <si>
    <t>SITASHREE</t>
  </si>
  <si>
    <t>SITINET</t>
  </si>
  <si>
    <t>SIYSIL</t>
  </si>
  <si>
    <t>SJVN</t>
  </si>
  <si>
    <t>SKFINDIA</t>
  </si>
  <si>
    <t>SKIL</t>
  </si>
  <si>
    <t>SKIPPER</t>
  </si>
  <si>
    <t>SKMEGGPROD</t>
  </si>
  <si>
    <t>SMARTLINK</t>
  </si>
  <si>
    <t>SMLISUZU</t>
  </si>
  <si>
    <t>SMPL</t>
  </si>
  <si>
    <t>SMSLIFE</t>
  </si>
  <si>
    <t>SMSPHARMA</t>
  </si>
  <si>
    <t>SMVD</t>
  </si>
  <si>
    <t>SNOWMAN</t>
  </si>
  <si>
    <t>SOBHA</t>
  </si>
  <si>
    <t>SOFTTECH</t>
  </si>
  <si>
    <t>SOLARA</t>
  </si>
  <si>
    <t>SOLARINDS</t>
  </si>
  <si>
    <t>SOLEX</t>
  </si>
  <si>
    <t>SOMANYCERA</t>
  </si>
  <si>
    <t>SOMATEX</t>
  </si>
  <si>
    <t>SOMICONVEY</t>
  </si>
  <si>
    <t>SONAMCLOCK</t>
  </si>
  <si>
    <t>SONATSOFTW</t>
  </si>
  <si>
    <t>SORILINFRA</t>
  </si>
  <si>
    <t>SOTL</t>
  </si>
  <si>
    <t>SOUTHBANK</t>
  </si>
  <si>
    <t>SOUTHWEST</t>
  </si>
  <si>
    <t>SPAL</t>
  </si>
  <si>
    <t>SPARC</t>
  </si>
  <si>
    <t>SPECIALITY</t>
  </si>
  <si>
    <t>SPENTEX</t>
  </si>
  <si>
    <t>SPIC</t>
  </si>
  <si>
    <t>SPICEMOBI</t>
  </si>
  <si>
    <t>SPLIL</t>
  </si>
  <si>
    <t>SPMLINFRA</t>
  </si>
  <si>
    <t>SPTL</t>
  </si>
  <si>
    <t>SPYL</t>
  </si>
  <si>
    <t>SQSBFSI</t>
  </si>
  <si>
    <t>SREEL</t>
  </si>
  <si>
    <t>SREIBNPNCD</t>
  </si>
  <si>
    <t>SREINFRA</t>
  </si>
  <si>
    <t>SRF</t>
  </si>
  <si>
    <t>SRHHYPOLTD</t>
  </si>
  <si>
    <t>SRIPIPES</t>
  </si>
  <si>
    <t>SRIRAM</t>
  </si>
  <si>
    <t>SRSLTD</t>
  </si>
  <si>
    <t>SRTRANSFIN</t>
  </si>
  <si>
    <t>SSWL</t>
  </si>
  <si>
    <t>STAMPEDE</t>
  </si>
  <si>
    <t>STAN</t>
  </si>
  <si>
    <t>STAR</t>
  </si>
  <si>
    <t>STARCEMENT</t>
  </si>
  <si>
    <t>STARPAPER</t>
  </si>
  <si>
    <t>STCINDIA</t>
  </si>
  <si>
    <t>STEELCITY</t>
  </si>
  <si>
    <t>STEELXIND</t>
  </si>
  <si>
    <t>STEL</t>
  </si>
  <si>
    <t>STERTOOLS</t>
  </si>
  <si>
    <t>STRTECH</t>
  </si>
  <si>
    <t>SUBEX</t>
  </si>
  <si>
    <t>SUBROS</t>
  </si>
  <si>
    <t>SUDARSCHEM</t>
  </si>
  <si>
    <t>SUJANAUNI</t>
  </si>
  <si>
    <t>SUMEETINDS</t>
  </si>
  <si>
    <t>SUMMITSEC</t>
  </si>
  <si>
    <t>SUNCLAYLTD</t>
  </si>
  <si>
    <t>SUNDARAM</t>
  </si>
  <si>
    <t>SUNDARMFIN</t>
  </si>
  <si>
    <t>SUNDARMHLD</t>
  </si>
  <si>
    <t>SUNDRMBRAK</t>
  </si>
  <si>
    <t>SUNDRMFAST</t>
  </si>
  <si>
    <t>SUNFLAG</t>
  </si>
  <si>
    <t>SUNILHITEC</t>
  </si>
  <si>
    <t>SUNPHARMA</t>
  </si>
  <si>
    <t>SUNTECK</t>
  </si>
  <si>
    <t>SUNTV</t>
  </si>
  <si>
    <t>SUPERHOUSE</t>
  </si>
  <si>
    <t>SUPERSPIN</t>
  </si>
  <si>
    <t>SUPPETRO</t>
  </si>
  <si>
    <t>SUPRAJIT</t>
  </si>
  <si>
    <t>SUPREMEIND</t>
  </si>
  <si>
    <t>SUPREMEINF</t>
  </si>
  <si>
    <t>SUPREMETEX</t>
  </si>
  <si>
    <t>SURANAIND</t>
  </si>
  <si>
    <t>SURANASOL</t>
  </si>
  <si>
    <t>SURANAT&amp;P</t>
  </si>
  <si>
    <t>SURYALAXMI</t>
  </si>
  <si>
    <t>SURYAROSNI</t>
  </si>
  <si>
    <t>SUTLEJTEX</t>
  </si>
  <si>
    <t>SUULD</t>
  </si>
  <si>
    <t>SUVEN</t>
  </si>
  <si>
    <t>SUZLON</t>
  </si>
  <si>
    <t>SWANENERGY</t>
  </si>
  <si>
    <t>SWARAJENG</t>
  </si>
  <si>
    <t>SWELECTES</t>
  </si>
  <si>
    <t>symbol</t>
  </si>
  <si>
    <t>SYMPHONY</t>
  </si>
  <si>
    <t>SYNCOM</t>
  </si>
  <si>
    <t>SYNDIBANK</t>
  </si>
  <si>
    <t>SYNGENE</t>
  </si>
  <si>
    <t>TAINWALCHM</t>
  </si>
  <si>
    <t>TAJGVK</t>
  </si>
  <si>
    <t>TAKE</t>
  </si>
  <si>
    <t>TALBROAUTO</t>
  </si>
  <si>
    <t>TALWALKARS</t>
  </si>
  <si>
    <t>TALWGYM</t>
  </si>
  <si>
    <t>TANLA</t>
  </si>
  <si>
    <t>TANTIACONS</t>
  </si>
  <si>
    <t>TARACHAND</t>
  </si>
  <si>
    <t>TARAJEWELS</t>
  </si>
  <si>
    <t>TARAPUR</t>
  </si>
  <si>
    <t>TARMAT</t>
  </si>
  <si>
    <t>TASTYBITE</t>
  </si>
  <si>
    <t>TATACHEM</t>
  </si>
  <si>
    <t>TATACOFFEE</t>
  </si>
  <si>
    <t>TATACOMM</t>
  </si>
  <si>
    <t>TATAELXSI</t>
  </si>
  <si>
    <t>TATAGLOBAL</t>
  </si>
  <si>
    <t>TATAINVEST</t>
  </si>
  <si>
    <t>TATAMETALI</t>
  </si>
  <si>
    <t>TATAMOTORS</t>
  </si>
  <si>
    <t>TATAMTRDVR</t>
  </si>
  <si>
    <t>TATAPOWER</t>
  </si>
  <si>
    <t>TATASPONGE</t>
  </si>
  <si>
    <t>TATASTEEL</t>
  </si>
  <si>
    <t>TBZ</t>
  </si>
  <si>
    <t>TCFSL</t>
  </si>
  <si>
    <t>TCI</t>
  </si>
  <si>
    <t>TCIDEVELOP</t>
  </si>
  <si>
    <t>TCIEXP</t>
  </si>
  <si>
    <t>TCIFINANCE</t>
  </si>
  <si>
    <t>TCPLPACK</t>
  </si>
  <si>
    <t>TCS</t>
  </si>
  <si>
    <t>TDPOWERSYS</t>
  </si>
  <si>
    <t>TEAMLEASE</t>
  </si>
  <si>
    <t>TECHIN</t>
  </si>
  <si>
    <t>TECHNO</t>
  </si>
  <si>
    <t>TECHNOFAB</t>
  </si>
  <si>
    <t>TEJASNET</t>
  </si>
  <si>
    <t>TERASOFT</t>
  </si>
  <si>
    <t>TEXINFRA</t>
  </si>
  <si>
    <t>TEXMOPIPES</t>
  </si>
  <si>
    <t>TEXRAIL</t>
  </si>
  <si>
    <t>TFCILTD</t>
  </si>
  <si>
    <t>TFL</t>
  </si>
  <si>
    <t>TGBHOTELS</t>
  </si>
  <si>
    <t>THANGAMAYL</t>
  </si>
  <si>
    <t>THEMISMED</t>
  </si>
  <si>
    <t>THERMAX</t>
  </si>
  <si>
    <t>THIRUSUGAR</t>
  </si>
  <si>
    <t>THOMASCOOK</t>
  </si>
  <si>
    <t>THOMASCOTT</t>
  </si>
  <si>
    <t>THYROCARE</t>
  </si>
  <si>
    <t>TI</t>
  </si>
  <si>
    <t>TIDEWATER</t>
  </si>
  <si>
    <t>TIFIN</t>
  </si>
  <si>
    <t>TIIL</t>
  </si>
  <si>
    <t>TIINDIA</t>
  </si>
  <si>
    <t>TIJARIA</t>
  </si>
  <si>
    <t>TIL</t>
  </si>
  <si>
    <t>TIMESGTY</t>
  </si>
  <si>
    <t>TIMETECHNO</t>
  </si>
  <si>
    <t>TIMKEN</t>
  </si>
  <si>
    <t>TINPLATE</t>
  </si>
  <si>
    <t>TIPSINDLTD</t>
  </si>
  <si>
    <t>TIRUMALCHM</t>
  </si>
  <si>
    <t>TIRUPATIFL</t>
  </si>
  <si>
    <t>TITAN</t>
  </si>
  <si>
    <t>TMRVL</t>
  </si>
  <si>
    <t>TNPETRO</t>
  </si>
  <si>
    <t>TNPL</t>
  </si>
  <si>
    <t>TNTELE</t>
  </si>
  <si>
    <t>TOKYOPLAST</t>
  </si>
  <si>
    <t>TORNTPHARM</t>
  </si>
  <si>
    <t>TORNTPOWER</t>
  </si>
  <si>
    <t>TOTAL</t>
  </si>
  <si>
    <t>TOUCHWOOD</t>
  </si>
  <si>
    <t>TPLPLASTEH</t>
  </si>
  <si>
    <t>TREEHOUSE</t>
  </si>
  <si>
    <t>TRENT</t>
  </si>
  <si>
    <t>TRF</t>
  </si>
  <si>
    <t>TRIDENT</t>
  </si>
  <si>
    <t>TRIGYN</t>
  </si>
  <si>
    <t>TRIL</t>
  </si>
  <si>
    <t>TRITURBINE</t>
  </si>
  <si>
    <t>TRIVENI</t>
  </si>
  <si>
    <t>TTKHLTCARE</t>
  </si>
  <si>
    <t>TTKPRESTIG</t>
  </si>
  <si>
    <t>TTL</t>
  </si>
  <si>
    <t>TTML</t>
  </si>
  <si>
    <t>TULSI</t>
  </si>
  <si>
    <t>TV18BRDCST</t>
  </si>
  <si>
    <t>TVSELECT</t>
  </si>
  <si>
    <t>TVSMOTOR</t>
  </si>
  <si>
    <t>TVSSRICHAK</t>
  </si>
  <si>
    <t>TVTODAY</t>
  </si>
  <si>
    <t>TVVISION</t>
  </si>
  <si>
    <t>TWL</t>
  </si>
  <si>
    <t>UBL</t>
  </si>
  <si>
    <t>UCALFUEL</t>
  </si>
  <si>
    <t>UCOBANK</t>
  </si>
  <si>
    <t>UFLEX</t>
  </si>
  <si>
    <t>UFO</t>
  </si>
  <si>
    <t>UGARSUGAR</t>
  </si>
  <si>
    <t>UJAAS</t>
  </si>
  <si>
    <t>UJJIVAN</t>
  </si>
  <si>
    <t>ULTRACEMCO</t>
  </si>
  <si>
    <t>UMANGDAIRY</t>
  </si>
  <si>
    <t>UMESLTD</t>
  </si>
  <si>
    <t>UNICHEMLAB</t>
  </si>
  <si>
    <t>UNIENTER</t>
  </si>
  <si>
    <t>UNIINFO</t>
  </si>
  <si>
    <t>UNIONBANK</t>
  </si>
  <si>
    <t>UNIPLY</t>
  </si>
  <si>
    <t>UNITECH</t>
  </si>
  <si>
    <t>UNITEDBNK</t>
  </si>
  <si>
    <t>UNITY</t>
  </si>
  <si>
    <t>UNIVCABLES</t>
  </si>
  <si>
    <t>UPL</t>
  </si>
  <si>
    <t>URJA</t>
  </si>
  <si>
    <t>USHAMART</t>
  </si>
  <si>
    <t>USHERAGRO</t>
  </si>
  <si>
    <t>UTIFEFRGR4</t>
  </si>
  <si>
    <t>UTINEXT50</t>
  </si>
  <si>
    <t>UTINIFTETF</t>
  </si>
  <si>
    <t>UTTAMSTL</t>
  </si>
  <si>
    <t>UTTAMSUGAR</t>
  </si>
  <si>
    <t>UVSL</t>
  </si>
  <si>
    <t>V2RETAIL</t>
  </si>
  <si>
    <t>VADILALIND</t>
  </si>
  <si>
    <t>VAIBHAVGBL</t>
  </si>
  <si>
    <t>VAKRANGEE</t>
  </si>
  <si>
    <t>VARDHACRLC</t>
  </si>
  <si>
    <t>VARDMNPOLY</t>
  </si>
  <si>
    <t>VARROC</t>
  </si>
  <si>
    <t>VASA</t>
  </si>
  <si>
    <t>VASCONEQ</t>
  </si>
  <si>
    <t>VASWANI</t>
  </si>
  <si>
    <t>VBL</t>
  </si>
  <si>
    <t>VEDL</t>
  </si>
  <si>
    <t>VENKEYS</t>
  </si>
  <si>
    <t>VENUSREM</t>
  </si>
  <si>
    <t>VERTOZ</t>
  </si>
  <si>
    <t>VESUVIUS</t>
  </si>
  <si>
    <t>VETO</t>
  </si>
  <si>
    <t>VGUARD</t>
  </si>
  <si>
    <t>VHL</t>
  </si>
  <si>
    <t>VICEROY</t>
  </si>
  <si>
    <t>VIDEOIND</t>
  </si>
  <si>
    <t>VIDHIING</t>
  </si>
  <si>
    <t>VIJAYABANK</t>
  </si>
  <si>
    <t>VIJIFIN</t>
  </si>
  <si>
    <t>VIJSHAN</t>
  </si>
  <si>
    <t>VIKASECO</t>
  </si>
  <si>
    <t>VIMTALABS</t>
  </si>
  <si>
    <t>VINATIORGA</t>
  </si>
  <si>
    <t>VINDHYATEL</t>
  </si>
  <si>
    <t>VINYLINDIA</t>
  </si>
  <si>
    <t>VIPCLOTHNG</t>
  </si>
  <si>
    <t>VIPIND</t>
  </si>
  <si>
    <t>VIPULLTD</t>
  </si>
  <si>
    <t>VISAKAIND</t>
  </si>
  <si>
    <t>VISASTEEL</t>
  </si>
  <si>
    <t>VISESHINFO</t>
  </si>
  <si>
    <t>VISHNU</t>
  </si>
  <si>
    <t>VIVIDHA</t>
  </si>
  <si>
    <t>VIVIMEDLAB</t>
  </si>
  <si>
    <t>VLSFINANCE</t>
  </si>
  <si>
    <t>VMART</t>
  </si>
  <si>
    <t>VOLTAMP</t>
  </si>
  <si>
    <t>VOLTAS</t>
  </si>
  <si>
    <t>VRLLOG</t>
  </si>
  <si>
    <t>VSCL</t>
  </si>
  <si>
    <t>VSSL</t>
  </si>
  <si>
    <t>VSTIND</t>
  </si>
  <si>
    <t>VSTTILLERS</t>
  </si>
  <si>
    <t>VTL</t>
  </si>
  <si>
    <t>WABAG</t>
  </si>
  <si>
    <t>WABCOINDIA</t>
  </si>
  <si>
    <t>WALCHANNAG</t>
  </si>
  <si>
    <t>WANBURY</t>
  </si>
  <si>
    <t>WEBELSOLAR</t>
  </si>
  <si>
    <t>WEIZFOREX</t>
  </si>
  <si>
    <t>WEIZMANIND</t>
  </si>
  <si>
    <t>WELCORP</t>
  </si>
  <si>
    <t>WELENT</t>
  </si>
  <si>
    <t>WELINV</t>
  </si>
  <si>
    <t>WELSPUNIND</t>
  </si>
  <si>
    <t>WENDT</t>
  </si>
  <si>
    <t>WHEELS</t>
  </si>
  <si>
    <t>WHIRLPOOL</t>
  </si>
  <si>
    <t>WILLAMAGOR</t>
  </si>
  <si>
    <t>WINDMACHIN</t>
  </si>
  <si>
    <t>WINSOME</t>
  </si>
  <si>
    <t>WOCKPHARMA</t>
  </si>
  <si>
    <t>WONDERLA</t>
  </si>
  <si>
    <t>WSI</t>
  </si>
  <si>
    <t>WSTCSTPAPR</t>
  </si>
  <si>
    <t>XCHANGING</t>
  </si>
  <si>
    <t>XLENERGY</t>
  </si>
  <si>
    <t>XPROINDIA</t>
  </si>
  <si>
    <t>YESBANK</t>
  </si>
  <si>
    <t>ZEEL</t>
  </si>
  <si>
    <t>ZEELEARN</t>
  </si>
  <si>
    <t>ZEEMEDIA</t>
  </si>
  <si>
    <t>ZENITHBIR</t>
  </si>
  <si>
    <t>ZENITHEXPO</t>
  </si>
  <si>
    <t>ZENSARTECH</t>
  </si>
  <si>
    <t>ZENTEC</t>
  </si>
  <si>
    <t>ZICOM</t>
  </si>
  <si>
    <t>ZODIAC</t>
  </si>
  <si>
    <t>ZODIACLOTH</t>
  </si>
  <si>
    <t>ZODJRDMKJ</t>
  </si>
  <si>
    <t>ZOTA</t>
  </si>
  <si>
    <t>ZUARI</t>
  </si>
  <si>
    <t>ZUARIGLOB</t>
  </si>
  <si>
    <t>ZYDUSWELL</t>
  </si>
  <si>
    <t>ZYLOG</t>
  </si>
  <si>
    <t>Open</t>
  </si>
  <si>
    <t>52 Week High</t>
  </si>
  <si>
    <t>52 Week Low</t>
  </si>
  <si>
    <t>Previous Close</t>
  </si>
  <si>
    <t>z</t>
  </si>
  <si>
    <t>Day High</t>
  </si>
  <si>
    <t>Day Low</t>
  </si>
  <si>
    <t>Last Price</t>
  </si>
  <si>
    <t>1W</t>
  </si>
  <si>
    <t>4W</t>
  </si>
  <si>
    <t>12W</t>
  </si>
  <si>
    <t>24W</t>
  </si>
  <si>
    <t>1Y</t>
  </si>
  <si>
    <t>ICICI Bank</t>
  </si>
  <si>
    <t>Bajaj Finance</t>
  </si>
  <si>
    <t>3Y</t>
  </si>
  <si>
    <t>Tenor</t>
  </si>
  <si>
    <t>PERIOD RETURNS</t>
  </si>
  <si>
    <t>PRICES</t>
  </si>
  <si>
    <t>NIFTY BANK</t>
  </si>
  <si>
    <t>NIFTY IT</t>
  </si>
  <si>
    <t>NIFTY FMCG</t>
  </si>
  <si>
    <t>NIFTY PHARMA</t>
  </si>
  <si>
    <t>NIFTY AUTO</t>
  </si>
  <si>
    <t>NIFTY ENERGY</t>
  </si>
  <si>
    <t>NIFTY METAL</t>
  </si>
  <si>
    <t>ValueError: x and y must not be None
    raise ValueError("x and y must not be None")
  File "C:\Users\Santosh Bag\Anaconda3\lib\site-packages\matplotlib\axes\_base.py", line 368, in _plot_args
    for seg in self._plot_args(remaining, kwargs):
  File "C:\Users\Santosh Bag\Anaconda3\lib\site-packages\matplotlib\axes\_base.py", line 407, in _grab_next_args
    for line in self._get_lines(*args, **kwargs):
  File "C:\Users\Santosh Bag\Anaconda3\lib\site-packages\matplotlib\axes\_axes.py", line 1406, in plot
    return func(ax, *args, **kwargs)
  File "C:\Users\Santosh Bag\Anaconda3\lib\site-packages\matplotlib\__init__.py", line 1891, in inner
    primary.plot(dates.insert(0,today),niftyrates.insert(0,todaynifty),"orange",label="Nifty")
  File "f:\mrig analytics\development\mriganalytics\interface\dashboard.py", line 150, in mrigxl_db_nifty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t>
  </si>
  <si>
    <t>OPTION CHAIN</t>
  </si>
  <si>
    <t>Expiry</t>
  </si>
  <si>
    <t>C A L L S</t>
  </si>
  <si>
    <t>P U T S</t>
  </si>
  <si>
    <t>CALL_OI</t>
  </si>
  <si>
    <t>CALL_Volume</t>
  </si>
  <si>
    <t>CALL_IV</t>
  </si>
  <si>
    <t>CALL_LTP</t>
  </si>
  <si>
    <t>CALL_BidQty</t>
  </si>
  <si>
    <t>CALL_BidPrice</t>
  </si>
  <si>
    <t>CALL_AskPrice</t>
  </si>
  <si>
    <t>CALL_AskQty</t>
  </si>
  <si>
    <t>PUT_BidQty</t>
  </si>
  <si>
    <t>PUT_BidPrice</t>
  </si>
  <si>
    <t>PUT_AskPrice</t>
  </si>
  <si>
    <t>PUT_AskQty</t>
  </si>
  <si>
    <t>PUT_LTP</t>
  </si>
  <si>
    <t>PUT_IV</t>
  </si>
  <si>
    <t>PUT_Volume</t>
  </si>
  <si>
    <t>PUT_OI</t>
  </si>
  <si>
    <t>CALL_Chng_in_OI</t>
  </si>
  <si>
    <t>CALL_Net_Chng</t>
  </si>
  <si>
    <t>PUT_Net_Chng</t>
  </si>
  <si>
    <t>PUT_Chng_in_OI</t>
  </si>
  <si>
    <t>Strike_Price</t>
  </si>
  <si>
    <t>NULL</t>
  </si>
  <si>
    <t>COMMODITIES</t>
  </si>
  <si>
    <t>Commodities@Moneycontrol | Roundup of key happenings in the market</t>
  </si>
  <si>
    <t>Here#39;s a roundup of the key happenings in the commodities market, with a deep dive into some of the most active counters</t>
  </si>
  <si>
    <t>What changed for the market while you were sleeping? 10 things you must know</t>
  </si>
  <si>
    <t>A collection of important stories from across news agencies.</t>
  </si>
  <si>
    <t>RESULTS</t>
  </si>
  <si>
    <t>Returns 12M</t>
  </si>
  <si>
    <t>Returns 6M</t>
  </si>
  <si>
    <t>Returns 3M</t>
  </si>
  <si>
    <t>Tenor(An)</t>
  </si>
  <si>
    <t>Buy Titan Company; target of Rs 1065: ICICI Direct</t>
  </si>
  <si>
    <t>ICICI Direct is bullish on Titan Company has recommended buy rating on the stock with a target price of Rs 1065 in its research report dated January 07, 2019.</t>
  </si>
  <si>
    <t>Buy CESC; target of Rs 801: Motilal Oswal</t>
  </si>
  <si>
    <t>Motilal Oswal is bullish on CESC has recommended buy rating on the stock with a target price of Rs 801 in its research report dated January 07, 2019.</t>
  </si>
  <si>
    <t>Buy Central Depository Services (India); target of Rs 290: Kotak Securities</t>
  </si>
  <si>
    <t>Kotak Securities is bullish on Central Depository Services (India) has recommended buy rating on the stock with a target price of Rs 290 in its research report dated January 07, 2019.</t>
  </si>
  <si>
    <t>Buy Bandhan Bank; target of Rs 575: ICICI Direct</t>
  </si>
  <si>
    <t>ICICI Direct is bullish on Bandhan Bank has recommended buy rating on the stock with a target price of Rs 575 in its research report dated January 08, 2019.</t>
  </si>
  <si>
    <t>Pfizer to shutdown Chennai, Aurangabad plants, may impact 1700 employees</t>
  </si>
  <si>
    <t>Both plants came under Pfizer#39;s ownership after it acquired Hospira in the US.</t>
  </si>
  <si>
    <t>RBI issues guidelines for tokenisation of card transactions</t>
  </si>
  <si>
    <t>Instead of using actual card details, this token is used to perform card transactions in contactless mode at point of sale (POS) terminals, quick response(QR) code payments.</t>
  </si>
  <si>
    <t>BoFA Merrill Lynch expects double-digit fall in equities; higher volatility in 2019</t>
  </si>
  <si>
    <t>India cannot be decoupled for extended period of time as asset prices globally are falling whether it is bond, real estate, equities or commodities</t>
  </si>
  <si>
    <t>Drone Regulations 1.0 can fetch India major slice of $100 billion industry</t>
  </si>
  <si>
    <t>The policy, formulated by the Ministry of Civil Aviation, has created a huge base for a drone ecosystem in the country.</t>
  </si>
  <si>
    <t>Talks with China going #39;very well#39;, says Donald Trump</t>
  </si>
  <si>
    <t>In recent weeks, China has showed some signs of flexibility or acceding to the American demands.</t>
  </si>
  <si>
    <t>Oil prices rise on trade talk optimism, OPEC cuts</t>
  </si>
  <si>
    <t>International Brent crude futures were at $57.77 per barrel at 0113 GMT, up 44 cents, or 0.8 percent from their last close.</t>
  </si>
  <si>
    <t>Festive sale: AirAsia offers domestic flight tickets from Rs 999, international at Rs 2,999</t>
  </si>
  <si>
    <t>The offer is valid on one-way fares for flyers booking flight tickets from January 7 to January 20, 2019 for travel between January 21 and July 31 next year</t>
  </si>
  <si>
    <t>Chorus grows for rate cut on two-wheelers, TVS Motor chairman also seeks revision</t>
  </si>
  <si>
    <t>A week ago, Hero Motocorp chairman Pawan Munjal called for reduction in GST on two-wheelers to 18 percent from the current 28 percent</t>
  </si>
  <si>
    <t>Myntra narrows consolidated losses to Rs 178.7 cr for 2017-18</t>
  </si>
  <si>
    <t>It attributed the growth to the company#39;s strategic initiative of hiving off its B2B business and focusing on its marketplace operations.</t>
  </si>
  <si>
    <t>Air India delays salaries for second month in a row</t>
  </si>
  <si>
    <t>Air India had failed to pay to its over 20,000 employees on time for most of the months last year.</t>
  </si>
  <si>
    <t>Droom plans to raise $50 million in 2019</t>
  </si>
  <si>
    <t>The company also eyes NASDAQ listing by 2020 while focusing on international expansion.</t>
  </si>
  <si>
    <t>Telcos services revenue dip by 20% to Rs 25,727 cr in Jul-Sep 2018</t>
  </si>
  <si>
    <t>Reliance Jio registered the highest growth rate of 81.98 percent in its customer base that reached 21.52 crore at the end of September 2018 on Y-o-Y basis.</t>
  </si>
  <si>
    <t>Royal Enfield President quits, Lalit Malik to take charge</t>
  </si>
  <si>
    <t>Rudratej Singh, who had joined the company in January 2015 to lead the commercial organisation in the capacity of the President, has decided to pursue opportunities outside of Royal Enfield owing to personal commitments.</t>
  </si>
  <si>
    <t>IBM receives 9,100 patents in 2018; India second highest contributor</t>
  </si>
  <si>
    <t>IBM inventors from India received over 800 of patents, the second highest contributor to the global record tally, it added.</t>
  </si>
  <si>
    <t>NCLT reserves order on Essar Steel Asia#39;s bid to January 31</t>
  </si>
  <si>
    <t>Essar Steel Asia Holdings told the bench that lenders not considering its debt settlement proposal, which was higher than its rival offer, is surprising.</t>
  </si>
  <si>
    <t>Infosys to discuss share buyback, special dividend at January 11 board meet</t>
  </si>
  <si>
    <t>The Bengaluru-based company is also slated to announce its third quarter results on January 11.</t>
  </si>
  <si>
    <t>Cyrus Mistry was removed from Tata Sons without any intimation: Investment firms to NCLAT</t>
  </si>
  <si>
    <t>Senior advocate C A Sundaram representing the two firms said that removal of the chairman was not even on the agenda item of the board meeting of Tata Sons on October 24, 2016, when he was sacked.</t>
  </si>
  <si>
    <t>Tata Steel BSL Q3 sales down at 0.92 MT; output almost flat at 1.04 MT</t>
  </si>
  <si>
    <t>The company had recorded 1.14 MT of sales in the previous quarter, it said in a regulatory filing to the BSE.</t>
  </si>
  <si>
    <t>Rs 10,253-cr agri loan by Syndicate Bank turned NPAs in last 5 fiscals: RTI reply</t>
  </si>
  <si>
    <t>The NPA of the public sector bank increased in the last three fiscals, with the bad loans soaring to Rs 3,851 crore in 2017-2018.</t>
  </si>
  <si>
    <t>Gold steady as dollar sags on Fed rate pause bets</t>
  </si>
  <si>
    <t>US gold futures eased slightly at $1,288 per ounce.</t>
  </si>
  <si>
    <t>Escorts, Vedanta among 10 stocks that could return up to 12% in 1 month</t>
  </si>
  <si>
    <t>Here is a list of top 10 short-term trading ideas by experts which could give 3-12% return in the next one month.</t>
  </si>
  <si>
    <t>SoftBank to slash planned WeWork investment: Report</t>
  </si>
  <si>
    <t>The deal will now not include the participation of SoftBank#39;s Vision Fund, which had been a major backer of SoftBank#39;s existing investment in WeWork, the report said, citing two people briefed on the deal.</t>
  </si>
  <si>
    <t>Intel working with Facebook on AI chip coming later this year</t>
  </si>
  <si>
    <t>The chips are Intel#39;s gambit to retain hold of a fast-growing segment of the artificial intelligence computing market but will face competition from similar chips from Nvidia Corp and Amazon.com#39;s Amazon Web Services unit.</t>
  </si>
  <si>
    <t>Tata Steel production at 3.33 MT in December quarter</t>
  </si>
  <si>
    <t>Sales during the quarter was, however, lower at 2.97 million tonne, as against 3.30 million tonne in the year-ago period.</t>
  </si>
  <si>
    <t>Bandhan Bank, Gruh Finance fall 4-10% post merger deal</t>
  </si>
  <si>
    <t>The amalgamation will result in enhancement of shareholders#39; value accruing from the synergy of operations, new products development, integration of technology and information</t>
  </si>
  <si>
    <t>Podcast | Editor#39;s pick of the Day: How does India make her money?</t>
  </si>
  <si>
    <t>This budget is a crucial one for the sitting government, as PM Modi will seek to return to power a second time on the back of what analysts are already guessing will be a populist budget.</t>
  </si>
  <si>
    <t>Federal Bank gains 1% as Centrum initiates with buy, target Rs 135</t>
  </si>
  <si>
    <t>The lower incremental stress is expected, while drivers are in place for NIM expansion, says Centrum.</t>
  </si>
  <si>
    <t>Sun Pharma gain 2% as CLSA maintains buy; upgrades Aurobindo Pharma</t>
  </si>
  <si>
    <t>CLSA like Torrent Pharma for its strong positioning in the chronic space in India.</t>
  </si>
  <si>
    <t>ICICI Prudential Life gains 2% as Morgan Stanley sees 33% upside</t>
  </si>
  <si>
    <t>The global brokerage house expects muted premium compounded annual growth rate of 6 percent over FY18-21.</t>
  </si>
  <si>
    <t>Hind Rectifiers gains 4% on orders win worth Rs 88 crore</t>
  </si>
  <si>
    <t>This includes substantial orders from diesel locomotive works worth RS 61 crore.</t>
  </si>
  <si>
    <t>Bharat Dynamics rises 9% on contract wins worth Rs 760 crore</t>
  </si>
  <si>
    <t>The missiles and launchers will be manufactured under continued technical collaboration with Russia at the Bhanur Unit of company in Telangana State.</t>
  </si>
  <si>
    <t>Soybean prices to trade sideways to higher: Angel Commodities</t>
  </si>
  <si>
    <t>According to Angel Commodities,NCDEX Jan Soybean futures closed higher due to some short covering on Monday. Moreover, firm trend in international markets and improved physical demand from the oil mills also supported price rise.</t>
  </si>
  <si>
    <t>Govt should be able to keep fiscal deficit target of 3.2-3.3%: JPMorgan</t>
  </si>
  <si>
    <t>Indian economy is expected to grow at 7.2 percent in 2018-19 against 6.7 percent in the previous fiscal, the CSO said on January 7.</t>
  </si>
  <si>
    <t>Opinion | Take the first advance GDP growth estimates with a pinch of salt</t>
  </si>
  <si>
    <t>The final sectoral growth numbers may be very different from the first estimates</t>
  </si>
  <si>
    <t>Delhi government to release funds to EDMC, North MCD as per 4th Delhi Finance Commission</t>
  </si>
  <si>
    <t>The court asked the Delhi government to file an affidavit of compliance after releasing the funds to the MCDs and listed the matter for January 18.</t>
  </si>
  <si>
    <t>CAG favours policy framework for off-budget financing</t>
  </si>
  <si>
    <t>CAG further said the government should also consider disclosing the details of off- budget borrowings through disclosure statements in Budget as well as in accounts.</t>
  </si>
  <si>
    <t>RBI sets up panel under Nandan Nilekani to boost digital payments</t>
  </si>
  <si>
    <t>The five-member panel on deepening of digital payments has been constituted with a view to encourage digitisation of payments and enhance financial inclusion through digitisation, the RBI said in a statement.</t>
  </si>
  <si>
    <t>Quick Take | Does the govt believe that more than 95% Indian households need job reservations?</t>
  </si>
  <si>
    <t>Studies show that at least 95% of Indian households earn less than the governmentâs cut-off income of Rs 8 lakh</t>
  </si>
  <si>
    <t>Centre, states, industry to discuss ways to boost export on January 10</t>
  </si>
  <si>
    <t>The issues would be deliberated upon in the fourth meeting of the Council for Trade Development and Promotion, which will be chaired by the Commerce and Industry Minister Suresh Prabhu.</t>
  </si>
  <si>
    <t>Bimal Jalan panel holds 1st meeting to examine reserve size of RBI; report likely in April</t>
  </si>
  <si>
    <t>The panel has been entrusted with the task of reviewing the best practices followed by central banks worldwide in making assessment and provisions for risks which a central bank balance sheets are subject to.</t>
  </si>
  <si>
    <t>Rupee tumbles 53 paise to 70.21 against US Dollar on crude woes</t>
  </si>
  <si>
    <t>The US dollar#39;s gains against major rival currencies yen, pound and euro too impacted the domestic currency market sentiments.</t>
  </si>
  <si>
    <t>Apple, Facebook propel Wall Street to three-week peak</t>
  </si>
  <si>
    <t>The Dow Jones Industrial Average jumped 1.09 percent to end at 23,787.45 points, while the SP 500 gained 0.97 percent to 2,574.41. The Nasdaq Composite added 1.08 percent to 6,897.</t>
  </si>
  <si>
    <t>Asian shares edge up on US-China trade optimism, oil climbs</t>
  </si>
  <si>
    <t>Japan#39;s Nikkei rose 0.9 percent while MSCI#39;s broadest index of Asia-Pacific shares outside Japan gained 0.3 percent.</t>
  </si>
  <si>
    <t>Asian shares extend rebound on hopes for trade deal, cautious Fed</t>
  </si>
  <si>
    <t>Japan#39;s Nikkei rose 1.0 percent while MSCI#39;s broadest index of Asia-Pacific shares outside Japan ticked up 0.1 percent.</t>
  </si>
  <si>
    <t>Amazon and Netflix push Wall Street higher</t>
  </si>
  <si>
    <t>The Dow Jones Industrial Average rose 0.42 percent to end at 23,531.35 points, while the SP 500 gained 0.70 percent to 2,549.69. The Nasdaq Composite added 1.26 percent to 6,823.47.</t>
  </si>
  <si>
    <t>Suzuki Burgman Street longterm review: Introduction</t>
  </si>
  <si>
    <t>Mutual funds data show market is running out of fuel</t>
  </si>
  <si>
    <t>The sharp fall in net equity mutual fund inflows in December 2018 is a cause of worry</t>
  </si>
  <si>
    <t>CLSA terms Bharti Airtel as top pick in telecom space; raises target to Rs 425</t>
  </si>
  <si>
    <t>Going forward, it expects average revenue per user (ARPU) to improve. It also expects Africa IPO and stake sale in Bharti Infratel to help in deleveraging.</t>
  </si>
  <si>
    <t>Dakar 2019: CS Santosh overcomes Stage 2 technical glitch to move to 33rd overall in Moto category</t>
  </si>
  <si>
    <t>Stocks in the news: Infosys, Tata Steel, IndusInd, Transgene Biotek, Kridhan Infra, R Systems</t>
  </si>
  <si>
    <t>NMDC | Transgene Biotek | Kridhan Infra | R Systems International | Infosys| Tata Steel and IndusInd Bank are stocks which are in the news today.</t>
  </si>
  <si>
    <t>The cost of not continuing an insurance policy</t>
  </si>
  <si>
    <t>People do not often know that an insurance policy is designed for long term, but the costs across the term are heavily front-loaded.</t>
  </si>
  <si>
    <t>A morning walk down Dalal Street | Stay positive as long as Nifty trades above 10,700 on closing basis</t>
  </si>
  <si>
    <t>Technically, on the downside 10628 for Nifty is important critical support. Traders are advised to remain positively biased as long as Nifty50 trades above 10700 on a closing basis.</t>
  </si>
  <si>
    <t>What changed for the market while you were sleeping? 12 things you must know</t>
  </si>
  <si>
    <t>Oorjaa launches an exclusive space in Bengaluru</t>
  </si>
  <si>
    <t>orjaa launches an exclusive space in Bengaluru</t>
  </si>
  <si>
    <t>Zaki Home Decor launched in India</t>
  </si>
  <si>
    <t>aki Home Decor launched in India</t>
  </si>
  <si>
    <t>Water bottle speaker, foldable Li-on battery: Quirky gadgets to watch out for at CES 2019</t>
  </si>
  <si>
    <t>While not all companies have the ability or resources to make a big splash at CES, certain quaint startups are more than capable of impressing with their innovative, strange, weird and out of the box gadgets.</t>
  </si>
  <si>
    <t>2019 Nissan Kicks to launch in India on January 22</t>
  </si>
  <si>
    <t>CES 2019: Here#39;s everything essential that tech enthusiasts can expect this year</t>
  </si>
  <si>
    <t>Considering CES 2018 had a number of technological innovations, this yearâs show is poised to become the biggest yet.</t>
  </si>
  <si>
    <t>Volkswagen India brings down total cost of ownership across range</t>
  </si>
  <si>
    <t>Carlos Ghosn claims innocence in first appearance since November arrest</t>
  </si>
  <si>
    <t>#39;I have been wrongly accused and unfairly detained based on meritless and unsubstantiated accusations,#39; he told the Tokyo District Court, according to a prepared statement which was obtained by Reuters.</t>
  </si>
  <si>
    <t>China approves five GM crops for import, first in 18 months</t>
  </si>
  <si>
    <t>The new approvals came after Chinese officials met their US counterparts in Beijing on Monday for the first face-to-face talks since US President Donald Trump and Chinese President Xi Jinping agreed in December to a 90-day truce in a trade war that has roiled global markets.</t>
  </si>
  <si>
    <t>Bharat Bandh: Buses go off roads as BEST staffers go on strike in Mumbai</t>
  </si>
  <si>
    <t>Responding to a call given by their union leaders, the agitating staff did not take out any bus from all 27 depots on Tuesday, even as the Brihanmumbai Electric Supply and Transport (BEST) administration and an industrial court declared the strike as #39;illegal#39;.</t>
  </si>
  <si>
    <t>Vivo Nex Dual Display Edition: All you need to know</t>
  </si>
  <si>
    <t>In its pursuit of a completely bezel-less display, Vivo has gone a step ahead with the Nex Dual Display Edition.</t>
  </si>
  <si>
    <t>Akhilesh Yadav tweets photo with family, says not worried over reports of questioning by CBI</t>
  </si>
  <si>
    <t>SP members had on January 7 protested in the Lok Sabha against the Central Bureau of Investigation#39;s alleged action against Akhilesh Yadav.</t>
  </si>
  <si>
    <t>CES 2019: Voice assistance everywhere, robotics and other expected smart home tech advancements</t>
  </si>
  <si>
    <t>The smart home industry has made several advancements in recent years with major brands like Google and Amazon at the forefront of innovation.</t>
  </si>
  <si>
    <t>Laptop trends to look forward to at CES 2019</t>
  </si>
  <si>
    <t>With all the biggest names in the PC industry set to exhibit at CES 2019, laptop users are in for some major surprises.</t>
  </si>
  <si>
    <t>CLSA turns cautious on cement sector, cuts price target for 8 stocks</t>
  </si>
  <si>
    <t>CLSA trimmed FY19-21 EPS estimates for major cement players by 3-15 percent.</t>
  </si>
  <si>
    <t>PSU banks look attractive after recent developments: Ajcon Global</t>
  </si>
  <si>
    <t>All eyes would be on last budget of the current government to be presented before the general elections</t>
  </si>
  <si>
    <t>A gist of important stories from news agencies across the globe.</t>
  </si>
  <si>
    <t>An evening walk down Dalal Street | Sensex gains 131 pts, Nifty ends above 10,800 on global cues</t>
  </si>
  <si>
    <t>Jayant Manglik of Religare Broking advises investors to stay focused on selective blue chip companies while traders should strictly hedge their leveraged positions.</t>
  </si>
  <si>
    <t>IndusInd Bank Q3: Brokerages say profit may take a hit on ILFS exposure</t>
  </si>
  <si>
    <t>Motilal Oswal, which has buy call on the stock with a price target at Rs 2,000, expects strong loan growth of around 35 percent YoY in Q3FY19, significantly ahead of system loan growth.</t>
  </si>
  <si>
    <t>Prabhat Dairy: Foray into nutrition a potential growth driver</t>
  </si>
  <si>
    <t>Buy IndusInd Bank; target of Rs 1900: Motilal Oswal</t>
  </si>
  <si>
    <t>Motilal Oswal is bullish on IndusInd Bank has recommended buy rating on the stock with a target price of Rs 1900 in its research report dated January 09, 2019.</t>
  </si>
  <si>
    <t>AC companies Q3FY19 Preview: Disappointing H1 show to continue</t>
  </si>
  <si>
    <t>Ideas for Profit | Hawkins Cooker: High RoCE business available at reasonable valuations</t>
  </si>
  <si>
    <t>The company is staring at an optimistic future as government initiatives along with new product launches should push sales up. Operating margin is also anticipated to improve on the back of weakness in metal prices</t>
  </si>
  <si>
    <t>Buy Coal India; target of Rs 388: Motilal Oswal</t>
  </si>
  <si>
    <t>Motilal Oswal is bullish on Coal India has recommended buy rating on the stock with a target price of Rs 388 in its research report dated January 08, 2019.</t>
  </si>
  <si>
    <t>Investors ask how the Bezos divorce will affect Amazon</t>
  </si>
  <si>
    <t>Divorce laws in Washington state, where they live, hold that property acquired during a marriage is generally divided equally between spouses.</t>
  </si>
  <si>
    <t>US expects China#39;s top trade negotiator to visit #39;most likely#39; this month</t>
  </si>
  <si>
    <t>People familiar with the talks in Beijing said on Thursday that hopes were mounting that Liu would continue talks with US Trade Representative Robert Lighthizer and Mnuchin.</t>
  </si>
  <si>
    <t>Gold prices rise as Fed rate tone weakens dollar</t>
  </si>
  <si>
    <t>Spot gold rose 0.4 percent to $1,290.84 per ounce as at 0310 GMT, heading for a fourth straight weekly gain.</t>
  </si>
  <si>
    <t>Alphabet board faces lawsuit on allegations of sexual misconduct cover-up</t>
  </si>
  <si>
    <t>The allegations stem primarily from large severance payments to Andy Rubin, who led Google#39;s Android mobile operating division until 2014, and Amit Singhal, head of Google#39;s search unit until 2016.</t>
  </si>
  <si>
    <t>BSE gets Sebi nod to introduce weekly FO contracts on SP BSE BANKEX</t>
  </si>
  <si>
    <t>The BSE will shortly introduce 7 weekly expiry futures and options contracts expiring on Thursday of the week, excluding the monthly expiry, the bourse said in a release.</t>
  </si>
  <si>
    <t>Tata#39;s JLR to shed 4,500 jobs worldwide amid slumping sales in China, Brexit concerns</t>
  </si>
  <si>
    <t>The company is expanding a business-wide organisation review aimed at reducing the size of its global workforce by around 4,500 people, JLR said in a statement.</t>
  </si>
  <si>
    <t>Johnson  Johnson raises US prices on around two dozen drugs</t>
  </si>
  <si>
    <t>JJ joined many other companies that raised US prices on hundreds of prescription medicines earlier this month.</t>
  </si>
  <si>
    <t>US oil inches down amid concerns of economic slowdown</t>
  </si>
  <si>
    <t>US West Texas Intermediate (WTI) crude futures had slipped 23 cents, or 0.4 percent, from their last settlement to $52.36 per barrel by 0016 GMT.</t>
  </si>
  <si>
    <t>ILFS won’t provide indemnity, warranties to buyers: Report</t>
  </si>
  <si>
    <t>It is a common practice in mergers and acquisition for the seller to indemnify and extends warranties to the buyer for future liabilities arising for the period prior to the deal</t>
  </si>
  <si>
    <t>TCS Q3 review: Earnings in line, but supply constraint a factor to watch out for; buy on dips</t>
  </si>
  <si>
    <t>We expect modest return from the stock in the medium term and recommend accumulation only on correction.</t>
  </si>
  <si>
    <t>JPMorgan Chase boosting employee bonus pool 3% for 2018</t>
  </si>
  <si>
    <t>JPMorgan employees who can look forward to bonus payments likely include those in the equities trading division.</t>
  </si>
  <si>
    <t>#39;Midcaps likely to outperform largecaps in 2019#39;; 25 stocks to buy</t>
  </si>
  <si>
    <t>Midcaps significantly underperformed large-caps in CY’18 - pushing down the valuation premium over large-caps from 30 percent, during the start of CY18 to the current level of -8%.</t>
  </si>
  <si>
    <t>Cabinet approves re-promulgation of ordinance to improve ease of doing business</t>
  </si>
  <si>
    <t>A bill to replace an earlier ordinance was passed by the Lok Sabha in the Winter Session and is pending in the Rajya Sabha.</t>
  </si>
  <si>
    <t>Volkswagen, Ford to reveal deeper alliance next week: Sources</t>
  </si>
  <si>
    <t>Ford and Volkswagen have been exploring closer cooperation as trade frictions force carmakers to rethink where they build vehicles for Europe, the United States and China, and as software companies prepare to launch their own self-driving cars.</t>
  </si>
  <si>
    <t>Gold prices steady as interest rate outlook pressures dollar</t>
  </si>
  <si>
    <t>US gold futures rose 0.1 percent to $1,293.20 per ounce.</t>
  </si>
  <si>
    <t>India#39;s inflation in December likely hit lowest since June 2017: Reuters poll</t>
  </si>
  <si>
    <t>If the latest consensus is realised it will mark the fifth month in a row consumer price inflation has held below the mid-point of the RBI#39;s target band.</t>
  </si>
  <si>
    <t>Pressure on iron ore prices god news for steel plants: Jindal Steel and Power</t>
  </si>
  <si>
    <t>We now see that the demand for steel is getting into the form of proper enquiries, which are getting converted into orders, said Naushad Akhter Ansari of Jindal Steel  Power.</t>
  </si>
  <si>
    <t>Slideshow | Super Six picks by brokerages for 18-44% returns</t>
  </si>
  <si>
    <t>Titan Company, Coal India and HCL Technologies are among the stocks that could give up to 44 percent return</t>
  </si>
  <si>
    <t>AMD shows off 7nm next-gen chips at CES, aims at Intel and Nvidia</t>
  </si>
  <si>
    <t>The Ryzen CPU chips will be launched in the middle of this year and will compete with Intel#39;s PC processors.</t>
  </si>
  <si>
    <t>Torrent Power seeks 5 LNG cargoes for 2019: Sources</t>
  </si>
  <si>
    <t>The utility company is seeking cargoes for delivery over February, May, July, October and December.</t>
  </si>
  <si>
    <t>Yes Bank shortlisted CEO names without consulting Rana Kapoor and Madhu Kapur: Report</t>
  </si>
  <si>
    <t>In 2015, the Bombay High Court ruled that the bank has to follow the Articles of Association and consult both promoters before the appointment of a whole-time director</t>
  </si>
  <si>
    <t>Kotak cuts target for metals stocks citing weak demand and China stimulus plan</t>
  </si>
  <si>
    <t>Kotak expects demand for metals in 2019 to be weaker than 2018 due to slower economic growth in these large metal consuming geographies</t>
  </si>
  <si>
    <t>China says trade talks with US set foundation to resolve concerns</t>
  </si>
  <si>
    <t>Both parties agreed to continue to maintain close contact, the ministry said in a brief statement on its website.</t>
  </si>
  <si>
    <t>Gujarat terminates metro contract given to ILFS arm</t>
  </si>
  <si>
    <t>The statement further said the corporation has awarded the balance work to J Kumar Infrastructure and has also started to encash the bank guarantee of ILFS.</t>
  </si>
  <si>
    <t>Oil falls 1% on swelling US supply, but mood generally upbeat on trade hopes</t>
  </si>
  <si>
    <t>International Brent crude futures were down 1 percent, or 63 cents, at $60.81 per barrel.</t>
  </si>
  <si>
    <t>Adani Enterprises trades flat despite signing MoU with Andhra Pradesh</t>
  </si>
  <si>
    <t>Adani Group will invest Rs 70,000 crores to build #39;green#39; data centre parks in Andhra Pradesh, potentially creating over 100,000 jobs over 20 years, the company said in a statement</t>
  </si>
  <si>
    <t>Infosys to announce Q3 earnings on Jan 11; Here#39;s what brokerages are expecting</t>
  </si>
  <si>
    <t>EBIT margin is expected to contract by around 20-30 bps sequentially despite rupee depreciation, brokerages said</t>
  </si>
  <si>
    <t>Focus of Syndicate Bank on recovering NPAs: S Krishnan</t>
  </si>
  <si>
    <t>S Krishnan, Executive Director of Syndicate Bank, said the bank has created a pool of 1,200 officers, who have been deployed across the country to bring down the NPA.</t>
  </si>
  <si>
    <t>Govt spend on telecom infra, service increase six fold between 2014-19 to Rs 60K cr</t>
  </si>
  <si>
    <t>Besides expenditure made in rolling out optical fibre-based broadband network for rural area, the government said that it made biggest ever telecom spend in the North-East Region with allocation of Rs 10,800 crore</t>
  </si>
  <si>
    <t>Tata Steel BSL to raise Rs 24,000 cr from Tata Steel</t>
  </si>
  <si>
    <t>Tata Steel last year acquired Tata Steel BSL, formerly known as Bhushan Steel, through its wholly-owned subsidiary Bamnipal Steel.</t>
  </si>
  <si>
    <t>Glenmark Pharma gains 1% on entering in agreement with Yuhan Corporation</t>
  </si>
  <si>
    <t>Glenmark will receive an upfront payment, regulatory and commercial milestone payments as well as royalties from Yuhan.</t>
  </si>
  <si>
    <t>NCC gains 2% as Rakesh Jhunjhunwala buys additional stake in co</t>
  </si>
  <si>
    <t>Rakesh Jhunjhunwala bought additional 80,00,000 shares of the company during October-December 2018.</t>
  </si>
  <si>
    <t>D-Street Buzz: Bank Nifty in red dragged by IndusInd Bank; realty stocks gain, HPCL sheds 2%</t>
  </si>
  <si>
    <t>The breadth of the market favoured the advances with 908 stocks advancing and 644 declining while 505 remained unchanged. On the BSE, 1026 stocks advanced, 705 declined and 88 remained unchanged.</t>
  </si>
  <si>
    <t>Ashok Leyland gains 2% on bus orders from STU; acquires additional stake in Ashley Aviation</t>
  </si>
  <si>
    <t>The company has acquired additional 5,00,010 shares of Rs 10 each constituting 12.50 percent in the paid-up share capital of Ashley Aviation.</t>
  </si>
  <si>
    <t>AGC Networks surges 8% as co completes acquisition of Black Box Corp</t>
  </si>
  <si>
    <t>Company  subsidiary completed the acquisition of Black Box Corporation.</t>
  </si>
  <si>
    <t>Vakrangee locked at 5% upper circuit post inspection by MCA</t>
  </si>
  <si>
    <t>There were pending buy orders of 290,226 shares, with no sellers available.</t>
  </si>
  <si>
    <t>D-Street Buzz: Auto stocks gain led by Tata Motors; NTPC most active, Bata hits new 52-week high</t>
  </si>
  <si>
    <t>The breadth of the market favoured the advances with 839 stocks advancing and 800 declining while 424 remained unchanged. On the BSE, 1165 stocks advanced, 1130 declined and 161 remained unchanged.</t>
  </si>
  <si>
    <t>D-Street Buzz: Nifty Auto continues to roll led by Tata Motors; Axis Bank down 2%, media gains</t>
  </si>
  <si>
    <t>stral Poly Technik, Bata India, Maharashtra Scooters, PVR, Torrent Pharma and Info Edge (India) have hit new 52-week high in this afternoon session.</t>
  </si>
  <si>
    <t>Delta Corp slips 2% despite healthy Q3 numbers</t>
  </si>
  <si>
    <t>The company declared interim dividend at 60 percent i.e. Rs. 0.60 per equity share.</t>
  </si>
  <si>
    <t>Goa Carbon slips 3% on reporting net loss in December quarter</t>
  </si>
  <si>
    <t>Revenue of the company was down 49.5 percent at Rs 94.3 crore versus Rs 186.6 crore.</t>
  </si>
  <si>
    <t>D-Street Buzz: Nifty Media outshines led by DB Corp; ITC gains, Tata Steel at new 52-week low</t>
  </si>
  <si>
    <t>ICICI Bank, PVR, IOL Chemicals and Pharmaceuticals, Praj Industries and Gujarat Fluorochemicals have hit new 52-week high in this afternoon session.</t>
  </si>
  <si>
    <t>Tera Software locked at 20% upper circuit on order win of Rs 324 cr</t>
  </si>
  <si>
    <t>The company has bagged a work order worth of Rs 324.89 crore from Andhra Pradesh State FiberNet (APSFL).</t>
  </si>
  <si>
    <t>Godrej Consumer Products dips 1% after fire incident at Nigerian subsidiary premises</t>
  </si>
  <si>
    <t>The estimated loss from the fire is approximately Rs 35 crore (including potential business disruption), Godrej said.</t>
  </si>
  <si>
    <t>D-Street Buzz: Nifty Metal underperforms dragged by JSPL, NMDC; BPCL down 3%, FMCG rises</t>
  </si>
  <si>
    <t>The breadth of the market favoured the declines with 648 stocks advancing and 1032 declining while 386 remained unchanged. On the BSE, 1044 stocks advanced, 1466 declined and 152 remained unchanged.</t>
  </si>
  <si>
    <t>Motherson Sumi Systems gains 2% as China plans fresh incentives to boost domestic consumption</t>
  </si>
  <si>
    <t>The move is positive for Motherson Sumi Systems as it is leading supplier to global passenger vehicle players, Sharekhan said.</t>
  </si>
  <si>
    <t>R Systems International spikes 17% ahead of board meet to consider share buyback</t>
  </si>
  <si>
    <t>Trading window for dealing in equity shares will continue to remain closed for the directors/officers/designated persons of the company.</t>
  </si>
  <si>
    <t>Dilip Buildcon slips 5% after CRISIL downgrades long term bank facilities</t>
  </si>
  <si>
    <t>Dilip Buildcon said the outlook may be revised to #39;Negative#39; if the liquidity position does not correct and continues to remain stretched.</t>
  </si>
  <si>
    <t>Ashok Leyland up 2% despite Kotak Securities cuts target; maintains buy</t>
  </si>
  <si>
    <t>Kotak Securities has maintained buy rating on the stock but cut target price to Rs 150 from Rs 170 per share.</t>
  </si>
  <si>
    <t>Transgene Biotek locked at upper circuit as US grants patent approval</t>
  </si>
  <si>
    <t>There were pending buy orders of 471,870 shares, with no sellers available.</t>
  </si>
  <si>
    <t>Kridhan Infra jumps 9% after Singapore subsidiary bags order worth over Rs 160 cr</t>
  </si>
  <si>
    <t>Kridhan Infra#39;s subsidiary will construct link sewers for the DTSS Phase 2 project at Old Choa Chu Kang Road/ Jalan Bahar, in Singapore.</t>
  </si>
  <si>
    <t>US oil export boom sparks a battle to build Texas ports</t>
  </si>
  <si>
    <t>Commodities trader Trafigura has taken an early lead with a planned offshore facility that has an easier path to regulatory approval and faces fewer objections from environmentalists.</t>
  </si>
  <si>
    <t>Crude Palm oil prices to trade sideways to higher: Angel Commodities</t>
  </si>
  <si>
    <t>According to Angel Commodities, MCX CPO edged higher on Wednesday tracking firm Malaysian palm oil and soy oil prices in India.</t>
  </si>
  <si>
    <t>RBI makes changes in Gold Monetisation Scheme</t>
  </si>
  <si>
    <t>In 2015, the government launched the GMS to mobilise the gold held by households and institutions in the country.</t>
  </si>
  <si>
    <t>Oil prices surge on hopes of successful US-China trade talks</t>
  </si>
  <si>
    <t>U.S. West Texas Intermediate (WTI) crude oil futures were at $50.29 per barrel as at 0131, up 51 cents, or 1 percent from their last settlement. It was the first time this year that WTI has topped $50 a barrel.</t>
  </si>
  <si>
    <t>Toll collections may witness double-digit growth in FY#39;20: ICRA</t>
  </si>
  <si>
    <t>"Driven by strong growth in medium and heavy commercial vehicles (MHCV), along with an increase in WPI, toll collections are likely to witness a significant growth in 2019-20," ICRA said in a statement.</t>
  </si>
  <si>
    <t>EEPC for timely, affordable bank credit for exporters to boost shipments</t>
  </si>
  <si>
    <t>Engineering Exports Promotion Council (EEPC) said there was a sharp annualised drop of over 54 percent in the gross bank credit deployment in the export sector.</t>
  </si>
  <si>
    <t>Bank officials fret over fake Rs 500 notes, alert staff: Report</t>
  </si>
  <si>
    <t>Fake Rs 500 notes are circulating with the wrong spelling of Reserve Bank of India -- #39;Resurve Bank of India’ -- on the left side of the obverse</t>
  </si>
  <si>
    <t>Sikkim’s ruling SDF promises basic income ahead of assembly, Lok Sabha polls</t>
  </si>
  <si>
    <t>Many countries see it as an effective way of reducing poverty. It is also known as guaranteed minimum income</t>
  </si>
  <si>
    <t>PM Narendra Modi likely to lay foundation of projects worth Rs 80,000 cr in UP on January 20</t>
  </si>
  <si>
    <t>These projects, mostly related to IT and electronics sector, are part of the Rs 4.68 lakh crore worth Memorandum of Understanding (MoUs) signed by the Yogi Adityanath government with public and private sector companies during the UP Investors#39; Summit held here in February last year.</t>
  </si>
  <si>
    <t>Sri Lanka banks on RBI swaps to boost its reserves: PM Ranil Wickremesinghe</t>
  </si>
  <si>
    <t>"The Reserve Bank of India has agreed to give our Central Bank USD 400 million under the SAARC currency swap arrangement. They (the Indians) are considering a further large sum," Wickremesinghe told parliament.</t>
  </si>
  <si>
    <t>Rupee reverses 2-day losing streak, edges up 5 paise to 70.41 against US Dollar</t>
  </si>
  <si>
    <t>Forex traders said the American currency weakened after minutes of Federal Reserve#39;s policy meeting triggered uncertainty about future rate hikes.</t>
  </si>
  <si>
    <t>New year brings fresh hopes for bulls in Asian currencies: Reuters poll</t>
  </si>
  <si>
    <t>China#39;s soft factory-gate inflation raises prospect for more stimulus</t>
  </si>
  <si>
    <t>Consumer inflation for the month also eased from a year earlier due to lower non-food prices, data published by the National Statistics Bureau showed on January 10.</t>
  </si>
  <si>
    <t>Beware: Banks officials confirm growth in fake Rs 500 notes, alert staff</t>
  </si>
  <si>
    <t>Fake Rs 500 notes are circulating with the wrong spelling of Reserve bank of India (RBI) -- #39;Resurve Bank of India’ -- on the left side of the obverse</t>
  </si>
  <si>
    <t>Sell Indian bonds and buy Philippine debt, says Aberdeen</t>
  </si>
  <si>
    <t>Investors are worried that the government is granting farm loan waivers at a time when income tax collection and asset sales are falling short of estimates</t>
  </si>
  <si>
    <t>Tea export to Pakistan on the rise: Tea Board data</t>
  </si>
  <si>
    <t>The tea exports to Pakistan during the first 10 months of 2018 rose 22 percent to 13.07 million kg as compared to 10.65 million kg in the corresponding period of 2017, according to Tea Board data.</t>
  </si>
  <si>
    <t>PM Narendra Modi launches road, sewerage projects in Maharashtra</t>
  </si>
  <si>
    <t>At a public rally here, Modi launched the four-laning of Solapur-Osmanabad section of NH-211, underground sewerage system and three sewage treatment plants.</t>
  </si>
  <si>
    <t>Lanka#39;s Central Bank gets $400 mn swap from RBI</t>
  </si>
  <si>
    <t>"The RBI#39;s very rapid and timely assistance will serve to boost investor confidence by supporting Sri Lanka to maintain adequate level of external reserves while accommodating outflow related to imports, debt servicing and if necessary support for the currency to avoid disorderly adjustment," it said in a statement.</t>
  </si>
  <si>
    <t>India poised to become third-largest consumer market: WEF</t>
  </si>
  <si>
    <t>According to World Economic Forum (WEF), with an annual GDP growth rate of 7.5 percent, India is currently the world#39;s sixth-largest economy. By 2030, domestic private consumption, which accounts for 60 percent of the country#39;s GDP, is expected to develop into a USD 6-trillion growth opportunity.</t>
  </si>
  <si>
    <t>Women entrepreneurs are major beneficiaries of Mudra scheme: Textiles Minister</t>
  </si>
  <si>
    <t>The Pradhan Mantri Mudra Yojana (PMMY) is a flagship scheme of the government to provide loans of up to Rs 10 lakh to small entrepreneurs. The loans are being given by banks, small finance banks, non-banking financial companies (NBFCs) and microfinance institutions.</t>
  </si>
  <si>
    <t>Unaccounted foreign currency worth over Rs 1 crore seized at Hyderabad airport</t>
  </si>
  <si>
    <t>The foreign currency comprised UAE dirhams, Saudi riyals, Kuwaiti Dinars and US dollars.</t>
  </si>
  <si>
    <t>DATA STORY | India set to grow at a fast pace but here are its 3 biggest long-term challenges</t>
  </si>
  <si>
    <t>Here are the three major challenges that lie ahead of the country#39;s future.</t>
  </si>
  <si>
    <t>Rupee furthers losses by 25 paise to 70.46 against US Dollar on rising oil prices</t>
  </si>
  <si>
    <t>Besides, the stronger US dollar against major global currencies also put pressure on the domestic currency.</t>
  </si>
  <si>
    <t>Budget session likely from January 31 to February 13: Govt sources</t>
  </si>
  <si>
    <t>They said the Cabinet Committee on Political Affairs deliberated on the dates for the budget session at a meeting.</t>
  </si>
  <si>
    <t>India#39;s GDP expected to grow at 7.3% in 2018-19</t>
  </si>
  <si>
    <t>China#39;s economic growth is projected to slow down to 6.2 each in 2019 and 2020 and 6 percent in 2021, according to the January 2019 Global Economic Prospects report released by the World Bank on Tuesday.</t>
  </si>
  <si>
    <t>Outlook for India is fine macro-economically, says Adrian Mowat</t>
  </si>
  <si>
    <t>#39;If we do get some election-related spending and maybe some of the cement stocks that have performed poorly over the last year might benefit from that,#39; said Adrian Mowat.</t>
  </si>
  <si>
    <t>Budget in a minute: A comprehensive report of the government’s finances</t>
  </si>
  <si>
    <t>Gaurav Choudhury, Deputy Executive Editor at Moneycontrol, explains how the government’s annual budget is just like managing household finances.</t>
  </si>
  <si>
    <t>Upbeat on private sector banks; HUL still a great buy: Andrew Holland</t>
  </si>
  <si>
    <t>"Moreover, if the government spending increases on back of elections, then consumer discretionary space could do well." Holland added.</t>
  </si>
  <si>
    <t>Asia stocks at one-month high, focus stays on US-China trade talks</t>
  </si>
  <si>
    <t>MSCI#39;s broadest index of Asia-Pacific shares outside Japan edged 0.2 percent higher, while Japan#39;s benchmark Nikkei advanced 1.1 percent in early trade.</t>
  </si>
  <si>
    <t>Wall Street shrugs off Macy#39;s, rallies for fifth session</t>
  </si>
  <si>
    <t>The Dow Jones Industrial Average climbed 0.51 percent to end at 24,001.92 points, while the SP 500 gained 0.45 percent to 2,596.63.</t>
  </si>
  <si>
    <t>Wall Street extends rally as chipmakers rebound</t>
  </si>
  <si>
    <t>The Dow Jones Industrial Average rose 0.39 percent to finish at 23,879.12 points, while the SP 500 gained 0.41 percent to 2,584.96. The Nasdaq Composite added 0.87 percent to 6,957.08.</t>
  </si>
  <si>
    <t>Rupee opens flat at 70.42 per dollar</t>
  </si>
  <si>
    <t>Today, USD-INR pair is expected to quote in the range of 70.30 and 71, says Motilal Oswal.</t>
  </si>
  <si>
    <t>Should you buy, sell or hold the TCS stock after Q3 results?</t>
  </si>
  <si>
    <t>Revenue during the quarter grew 1.3 percent QoQ to Rs 37,338 crore in the October-December quarter.</t>
  </si>
  <si>
    <t>Royal Enfield Bullet 500 ABS launched in India at Rs 1.87 lakh</t>
  </si>
  <si>
    <t>Rahul Gandhi to interact with Indian community during his maiden UAE visit</t>
  </si>
  <si>
    <t>Gandhi, who will begin his tour on Friday, reached Dubai on Thursday evening.</t>
  </si>
  <si>
    <t>Upcoming 2019 Mahindra XUV300 compact SUV variants revealed</t>
  </si>
  <si>
    <t>Rahul Gandhi said he has immense trust in me: Alpesh Thakor</t>
  </si>
  <si>
    <t>Speaking to reporters at the city airport after returning here, Thakor claimed that Gandhi trusts him a lot.</t>
  </si>
  <si>
    <t>Bandhan Bank slips 2% as Macquarie downgrades to underperform</t>
  </si>
  <si>
    <t>The company reported a growth of 10 percent in its net profit for December quarter at Rs 331.3 crore against Rs 300 crore during the same period of last year.</t>
  </si>
  <si>
    <t>TCS slips 1% post Q3 show; Citi maintains sell rating</t>
  </si>
  <si>
    <t>Brokerage house Citi has maintained sell rating on the stock and cut target to Rs 1,785 per share.</t>
  </si>
  <si>
    <t>Tata Motors gains despite weak JLR sales numbers</t>
  </si>
  <si>
    <t>JLR said it will cut 4,500 jobs worldwide, hurt by slowing China sales and uncertainty in the UK after Brexit.</t>
  </si>
  <si>
    <t>TCS Q3 PAT seen up 26.6% YoY to Rs. 8,267.7 cr: Dolat Capital</t>
  </si>
  <si>
    <t>Net Sales are expected to increase by 23.5 percent Y-o-Y (up 3.5 percent Q-o-Q) to Rs. 38,159.4 crore, according to Dolat Capital.</t>
  </si>
  <si>
    <t>Rupee trades lower at 70.56 per dollar</t>
  </si>
  <si>
    <t>Today, USD-INR pair is expected to quote in the range of 70.40 and 71.05, says Motilal Oswal.</t>
  </si>
  <si>
    <t>Donald Trump campaign firm pleads guilty in Facebook data case</t>
  </si>
  <si>
    <t>The social media giant has admitted that Cambridge Analytica a political advisory that ran Trump#39;s digital outreach in 2016 used an app to collect the private details of 87 million users without their knowledge.</t>
  </si>
  <si>
    <t>Delta Corp Standalone December 2018 Net Sales at Rs 123.03 crore, up 21.11% Y-o-Y</t>
  </si>
  <si>
    <t>TCS Q3 PAT seen up 25.8% YoY to Rs. 8,213.5 cr: ICICI Direct</t>
  </si>
  <si>
    <t>Net Sales are expected to increase by 24.3 percent Y-o-Y (up 4.2 percent Q-o-Q) to Rs. 38,401.8 crore, according to ICICI Direct.</t>
  </si>
  <si>
    <t>Donald Trump walks out of meeting with Democratic leaders on border wall</t>
  </si>
  <si>
    <t>Trump entered the room and shared candies with the Congressional leadership, but walked out soon after getting #39;no#39; for an answer from the House speaker.</t>
  </si>
  <si>
    <t>GST anti-profiteering in realty sector: Price regulation vs profit regulation</t>
  </si>
  <si>
    <t>The anti-profiteering mechanism is far from being fool proof</t>
  </si>
  <si>
    <t>Delta Corp Consolidated December 2018 Net Sales at Rs 205.81 crore, Up 26.91% Y-o-Y.</t>
  </si>
  <si>
    <t>No trust between US and Russia: Russian deputy foreign minister</t>
  </si>
  <si>
    <t>The findings of the US special counsel Robert Mueller#39;s investigation into Russia meddling in the 2016 election are yet to come out.</t>
  </si>
  <si>
    <t>2019 will be a good year for commodities, healthcare: Ajay Srivastava</t>
  </si>
  <si>
    <t>Ajay Srivastava said he is not bullish on Sun Pharma because the structural story for the stock is not there and by and large it has been a big disappointment.</t>
  </si>
  <si>
    <t>How long will the fall in jeera prices continue?</t>
  </si>
  <si>
    <t>India exported around 1.43 lakh tonnes of jeera in FY17-18 and exports in FY18-19 are likely to be around 1.75 lakh tonnes</t>
  </si>
  <si>
    <t>High-conviction bets: 10 stocks that could give 15-100% return in a year</t>
  </si>
  <si>
    <t>Irrespective of global or political set up on the domestic front, long-term investors should focus on stocks which can give earnings visibility, and have a high margin of safety with high corporate governance standards.</t>
  </si>
  <si>
    <t>An evening walk down Dalal Street | Indices snap winning streak, Sensex down over 100 points; Nifty holds 10,800</t>
  </si>
  <si>
    <t>At the close of market hours, the Sensex was down 106.41 points or 0.29% at 36106.50, and the Nifty down 33.60 points or 0.31% at 10821.60.</t>
  </si>
  <si>
    <t>An evening walk down Dalal Street | Smart recovery on indices as Sensex soars 232 points, Nifty closes above 10,850</t>
  </si>
  <si>
    <t>At the close of market hours, the Sensex was up 231.98 points or 0.64% at 36212.91, while the Nifty higher 53.00 points or 0.49% at 10855.20.</t>
  </si>
  <si>
    <t>Graphite India Q3 PAT seen up 99.4% YoY to Rs. 678.8 cr: ICICI Direct</t>
  </si>
  <si>
    <t>Net Sales are expected to increase by 72 percent Y-o-Y (down 20.1 percent Q-o-Q) to Rs. 1,605.2 crore, according to ICICI Direct.</t>
  </si>
  <si>
    <t>Tata Steel Q3 PAT seen up 112.2% YoY to Rs. 2,410.5 cr: ICICI Direct</t>
  </si>
  <si>
    <t>Net Sales are expected to increase by 24.8 percent Y-o-Y (down 4.2 percent Q-o-Q) to Rs. 41,731.7 crore, according to ICICI Direct.</t>
  </si>
  <si>
    <t>TCS Q3 profit rises 2.6% to Rs 8,105 cr, constant currency revenue growth at 1.8% meets expectations</t>
  </si>
  <si>
    <t>TCS#39; revenue during the quarter grew by 1.3 percent quarter-on-quarter to Rs 37,338 crore in October-December quarter.</t>
  </si>
  <si>
    <t>Hindalco Q3 PAT may dip 5% YoY to Rs. 355 cr: ICICI Direct</t>
  </si>
  <si>
    <t>Net Sales are expected to decrease by 1.6 percent Y-o-Y (up 0.2 percent Q-o-Q) to Rs. 10,849.5 crore, according to ICICI Direct.</t>
  </si>
  <si>
    <t>TCS Consolidated December 2018 Net Sales at Rs 37,338.00 crore, Up 20.82% Y-o-Y.</t>
  </si>
  <si>
    <t>NMDC Q3 PAT seen up 20.1% YoY to Rs. 1,064.3 cr: ICICI Direct</t>
  </si>
  <si>
    <t>Net Sales are expected to increase by 28.7 percent Y-o-Y (up 30.4 percent Q-o-Q) to Rs. 3,177.9 crore, according to ICICI Direct.</t>
  </si>
  <si>
    <t>Coal India Q3 PAT seen up 14% YoY to Rs. 3,426.3 cr: ICICI Direct</t>
  </si>
  <si>
    <t>Net Sales are expected to increase by 13.4 percent Y-o-Y (up 10.6 percent Q-o-Q) to Rs. 24,545.7 crore, according to ICICI Direct.</t>
  </si>
  <si>
    <t>Sita Enterprise Standalone December 2018 Net Sales at Rs 0.09 crore, down 53.64% Y-o-Y</t>
  </si>
  <si>
    <t>TCS Q3: Here are 10 key takeaways from December quarter earnings</t>
  </si>
  <si>
    <t>The bottomline growth was driven by other income (up 59 percent QoQ), but limited by weak operational performance.</t>
  </si>
  <si>
    <t>Vedanta Q3 PAT may dip 47.9% YoY to Rs. 1,133.2 cr: ICICI Direct</t>
  </si>
  <si>
    <t>Net Sales are expected to decrease by 14.1 percent Y-o-Y (down 7.9 percent Q-o-Q) to Rs. 20,917.7 crore, according to ICICI Direct.</t>
  </si>
  <si>
    <t>HEG Q3 PAT seen up 99.3% YoY to Rs. 681.7 cr: ICICI Direct</t>
  </si>
  <si>
    <t>Net Sales are expected to increase by 93.5 percent Y-o-Y (down 9.1 percent Q-o-Q) to Rs. 1,630.8 crore, according to ICICI Direct.</t>
  </si>
  <si>
    <t>JSW Steel Q3 PAT may dip 16.2% YoY to Rs. 1,486 cr: ICICI Direct</t>
  </si>
  <si>
    <t>Net Sales are expected to increase by 18.1 percent Y-o-Y (down 2.2 percent Q-o-Q) to Rs. 21,087.9 crore, according to ICICI Direct.</t>
  </si>
  <si>
    <t>TCS Standalone December 2018 Net Sales at Rs 30,964.00 crore, up 27.54% Y-o-Y</t>
  </si>
  <si>
    <t>Hindustan Zinc Q3 PAT may dip 12.6% YoY to Rs. 1,949.8 cr: ICICI Direct</t>
  </si>
  <si>
    <t>Net Sales are expected to decrease by 10.4 percent Y-o-Y (up 11 percent Q-o-Q) to Rs. 5,304.5 crore, according to ICICI Direct.</t>
  </si>
  <si>
    <t>IndusInd Bank Standalone December 2018 Net Interest Income (NII) at Rs 2,288.09 crore, up  20.76% Y-o-Y</t>
  </si>
  <si>
    <t>GAIL India Q3 PAT seen up 21% YoY to Rs. 1,530.5 cr: Kotak</t>
  </si>
  <si>
    <t>Net Sales are expected to increase by 33 percent Y-o-Y to Rs. 19,109.7 crore, according to Kotak.</t>
  </si>
  <si>
    <t>K.P. Energy  Standalone December 2018 Net Sales at Rs 39.23 crore, up 412.8% Y-o-Y</t>
  </si>
  <si>
    <t>ONGC Q3 PAT seen up 53% YoY to Rs. 7,694 cr: Kotak</t>
  </si>
  <si>
    <t>Net Sales are expected to increase by 19 percent Y-o-Y (down 3 percent Q-o-Q) to Rs. 27,255 crore, according to Kotak.</t>
  </si>
  <si>
    <t>Mahanagar Gas Q3 PAT seen up 14% YoY to Rs. 141.8 cr: Kotak</t>
  </si>
  <si>
    <t>Net Sales are expected to increase by 28 percent Y-o-Y (up 7 percent Q-o-Q) to Rs. 745.2 crore, according to Kotak.</t>
  </si>
  <si>
    <t>Tata Elxsi Standalone December 2018 Net Sales at Rs 407.01 crore, up 17.79% Y-o-Y</t>
  </si>
  <si>
    <t>Indraprastha Gas Q3 PAT seen up 4% YoY to Rs. 189.2 cr: Kotak</t>
  </si>
  <si>
    <t>Net Sales are expected to increase by 23 percent Y-o-Y (up 2 percent Q-o-Q) to Rs. 1,455.2 crore, according to Kotak.</t>
  </si>
  <si>
    <t>Bajaj Corp Standalone December 2018 Net Sales at Rs 229.57 crore, up 10.34% Y-o-Y</t>
  </si>
  <si>
    <t>Indo Asian Fin Standalone December 2018 Net Sales at Rs 0.01 crore, down 82.28% Y-o-Y</t>
  </si>
  <si>
    <t>Umiya Tubes Standalone December 2018 Net Sales at Rs 2.25 crore, down 87.68% Y-o-Y</t>
  </si>
  <si>
    <t>GSPL Q3 PAT seen up 12% YoY to Rs. 203.1 cr: Kotak</t>
  </si>
  <si>
    <t>Net Sales are expected to increase by 37 percent Y-o-Y (down 2 percent Q-o-Q) to Rs. 478.3 crore, according to Kotak.</t>
  </si>
  <si>
    <t>Oil India Q3 PAT seen up 40% YoY to Rs. 987.8 cr: Kotak</t>
  </si>
  <si>
    <t>Net Sales are expected to increase by 22 percent Y-o-Y (down 7 percent Q-o-Q) to Rs. 3,489 crore, according to Kotak.</t>
  </si>
  <si>
    <t>Technical View: Nifty forms #39;Bearish Belt Hold#39; pattern; rangebound trade may continue</t>
  </si>
  <si>
    <t>Mazhar Mohammad of Chartviewindia.in advised traders to focus on the levels which can facilitate such a directional move going forward.</t>
  </si>
  <si>
    <t>Technical View: Nifty forms #39;Long Legged Doji#39; pattern, gains for 4th straight day; tread with caution</t>
  </si>
  <si>
    <t>Mazhar Mohammad of Chartviewindia.in said as Nifty is still trading inside a contracting structure traders are advised to remain cautious.</t>
  </si>
  <si>
    <t>Goa Carbon: Weak Q3, but volume rebound on horizon; margin to remain weak</t>
  </si>
  <si>
    <t>Post recent raw material mobilization, companyâs operations are in full swing. Company is sitting on sale order of 50,000 tonne and hopeful of capacity utilization of 96 percent in Q4. End market demand, particularly in aluminum industry (80 percent of sales) remains intact.</t>
  </si>
  <si>
    <t>Quick Take | Eveready: Stake sale positive, but other issues remain</t>
  </si>
  <si>
    <t>Buy Coal India; target of Rs 338: Motilal Oswal</t>
  </si>
  <si>
    <t>Motilal Oswal is bullish on Coal India has recommended buy rating on the stock with a target price of Rs 338 in its research report dated January 08, 2019.</t>
  </si>
  <si>
    <t>JK Bank Q3 net profit up 43% at Rs 104 crore</t>
  </si>
  <si>
    <t>Total income of the bank rose to Rs 2,184.22 crore as against Rs 1,790.77 crore in the same period a year ago.</t>
  </si>
  <si>
    <t>Saudi Arabia to set up USD 10 billion oil refinery in Pakistan</t>
  </si>
  <si>
    <t>The Pakistani prime minister#39;s office had said on January 10 that Islamabad expected to sign investment agreements with Saudi Arabia and the UAE in coming weeks.</t>
  </si>
  <si>
    <t>3.3% fiscal deficit target for 2018-19 likely to be breached, say experts</t>
  </si>
  <si>
    <t>Last month, Finance Minister Arun Jaitley had exuded the confidence in meeting the fiscal deficit target of 3.3 percent for the current fiscal.</t>
  </si>
  <si>
    <t>Bangladesh gets $200 million ADB loan for rural road improvements</t>
  </si>
  <si>
    <t>Poor infrastructure is often cited as one of the major hindrances to growth in the South Asian country of 165 million people.</t>
  </si>
  <si>
    <t>News in Pics: Your daily dose of pictures from around the world</t>
  </si>
  <si>
    <t>Moneycontrol brings to you select pictures that are making headlines across the globe.</t>
  </si>
  <si>
    <t>John Jacobs aims to clock Rs 500 crore revenue by March 2021</t>
  </si>
  <si>
    <t>The brand, which has eight stores currently in Delhi, Pune and Bengaluru, will add six more in the next two months and aims to set up about 50 stores by March 2021.</t>
  </si>
  <si>
    <t>Swaraj meets Turkmenistan counterpart; discusses enhancing bilateral cooperation</t>
  </si>
  <si>
    <t>The External Affairs Minister arrived in the ancient city of Samarkand on January 12 on a two-day visit to Uzbekistan to attend the first India-Central Asia Dialogue.</t>
  </si>
  <si>
    <t>RBI net-seller of dollars in November, unwinding USD 644 million</t>
  </si>
  <si>
    <t>In October 2018 also, the RBI was a net seller of dollars, after it purchased USD 945 million and sold USD 8.149 billion of the US currency in the spot market.</t>
  </si>
  <si>
    <t>Saudi energy minister affirms oil market on #39;right track#39;</t>
  </si>
  <si>
    <t>Khalid al-Falih said that secondary sources suggest OPEC production in December was already more than 600,000 barrels per day lower than in November.</t>
  </si>
  <si>
    <t>India committed to economic reconstruction of Afghanistan: Swaraj</t>
  </si>
  <si>
    <t>India#39;s position was enunciated by External Affairs Minister Sushma Swaraj at the historic India-Central Asia Dialogue.</t>
  </si>
  <si>
    <t>Nirmal Bang cautious on market ahead of Interim Budget; 3 chart picks for short term</t>
  </si>
  <si>
    <t>The Nifty has a good support at the 10670 mark. As long as it sustains above the mentioned levels, we maintain our cautious view, says Swati A. Hotkar of Nirmal Bang.</t>
  </si>
  <si>
    <t>Bank of China to enable payment in yuan on US e-commerce platforms: Xinhua</t>
  </si>
  <si>
    <t>The system will adhere to US anti-money laundering rules through artificial intelligence and cyber security technologies.</t>
  </si>
  <si>
    <t>NTPC seeks more NCL coal under flexi scheme</t>
  </si>
  <si>
    <t>Chairman and Managing Director Gurdeep Singh has urged NCL to extend its support further to the upcounty power stations of NTPC including Mauda Thermal Power Station in Maharashtra under the Flexi Utilization of Domestic Coal scheme.</t>
  </si>
  <si>
    <t>Volkswagen could face recall of more cars over emissions</t>
  </si>
  <si>
    <t>The Germany#39;s Federal Motor Transport Authority (KBA) has opened an investigation into whether a software update for 1.2-litre engine cars, including the popular Polo, enabled them to cheat emissions tests.</t>
  </si>
  <si>
    <t>FIS India revenue crosses USD 100 million</t>
  </si>
  <si>
    <t>A bulk 70 percent of the revenue accrue from the payments front, while the rest come from the legacy core banking systems for retail banks.</t>
  </si>
  <si>
    <t>Budget 2019: Where does the government spend its money?</t>
  </si>
  <si>
    <t>Watch the video to know how the government decides where to spend the money it has and more.</t>
  </si>
  <si>
    <t>BPCL outlook stable despite weak credit metrics: Moody#39;s</t>
  </si>
  <si>
    <t>Moody#39;s expects the company to moderate its dividend payments or adjust its capital spending over the next 12-18 months such that its credit metrics will improve to levels more appropriate for its Ba1 baseline credit assessment.</t>
  </si>
  <si>
    <t>Ashok Chawla resigns as NSE chairman with immediate effect</t>
  </si>
  <si>
    <t>Moneycontrol was the first to report in July that market regulator Securities and Exchange Board of India (SEBI) would take cognisance of the matter and look at whether or not to allow Chawla to continue holding the post.</t>
  </si>
  <si>
    <t>Budget in a minute: The different types of taxes that earn government revenue</t>
  </si>
  <si>
    <t>Gaurav Choudhury, Deputy Executive Editor at Moneycontrol, explains direct and indirect taxes.</t>
  </si>
  <si>
    <t>New life premium mop-up inches up 2.41% in December</t>
  </si>
  <si>
    <t>The industry collected Rs 1,41,584 crore as against Rs 1,38,253 crore last year, the Life Insurance Council said in a statement.</t>
  </si>
  <si>
    <t>New orders to get Ashok Leyland 50% share of state transport buses</t>
  </si>
  <si>
    <t>The company received a boost of 2,580 new orders from three state-owned transport corporations valued at Rs 300-390 crore</t>
  </si>
  <si>
    <t>RBI slaps Rs 3 crore penalty on Citibank India</t>
  </si>
  <si>
    <t>In July 2013, the RBI had issued a "cautionary letter" to Citibank for violations of instructions regarding know your customer or anti-money laundering.</t>
  </si>
  <si>
    <t>Macro@Moneycontrol I Linking your driving licence with Aadhaar</t>
  </si>
  <si>
    <t>Will the government#39;s move help catch those driving with duplicate licences, or will it streamline payments of fines? Tune in for more.</t>
  </si>
  <si>
    <t>BHEL approaches NCLAT seeking recovery in Monnet Ispat</t>
  </si>
  <si>
    <t>BHEL had provided equipment that was required for the functioning of Monnet Ispat#39;s Raigarh plant.</t>
  </si>
  <si>
    <t>NephroPlus to raise Rs 150 crore for international expansion</t>
  </si>
  <si>
    <t>So far the company raised Rs 200 crore funding from investors such as International Finance Corporation, SeaLink Capital Partners and Bessemer Venture Capital.</t>
  </si>
  <si>
    <t>Infosys Q3FY19 – good execution, revenue guidance should help close gap with the leader</t>
  </si>
  <si>
    <t>We see Infosys moving along the guided path and a hefty payout (additional dividend of Rs 4 per share and Rs 8,260 crore buyback) limiting the stock downside.</t>
  </si>
  <si>
    <t>GM sees higher 2019 profits on job cuts, solid US, China sales</t>
  </si>
  <si>
    <t>The biggest US automaker forecast 2019 profits of $6.50 to $7.00 a share, compared to the $5.88 now expected by Wall Street analysts.</t>
  </si>
  <si>
    <t>Assocham meets RBI governor Shaktikanta Das on NBFC, HFC crisis</t>
  </si>
  <si>
    <t>The delegation, which met the governor in New Delhi, told him that over-regulation of the sector is hampering the growth of the NBFC model of lending.</t>
  </si>
  <si>
    <t>Accenture CEO Pierre Nanterme steps down due to health reasons</t>
  </si>
  <si>
    <t>Chief Financial Officer David Rowland will serve as the interim CEO, Accenture said in a statement.</t>
  </si>
  <si>
    <t>Nobel Laureate Sir Richard Roberts honoured with Dhirubhai Ambani Life Time Achievement Award</t>
  </si>
  <si>
    <t>The award, instituted by Reliance Industries in the name of its Founder Chairman Dhirubhai Ambani, recognises outstanding professional and educational contributions made by individuals.</t>
  </si>
  <si>
    <t>D-Street Buzz: Infra, realty stocks fall led by Bharti Airtel, Unitech; Tata Motors sheds 2%</t>
  </si>
  <si>
    <t>The breadth of the market favoured the declines with 647 stocks advancing and 973 declining while 440 remained unchanged. On the BSE, 965 stocks advanced, 1291 declined and 168 remained unchanged.</t>
  </si>
  <si>
    <t>D-Street Buzz: Nifty Infra underperforms dragged by Interglobe Aviation; Tata Steel at fresh 52-week low</t>
  </si>
  <si>
    <t>The breadth of the market favoured the declines with 592 stocks advancing and 1062 declining while 408 remained unchanged. On the BSE, 980 stocks advanced, 1454 declined and 172 remained unchanged.</t>
  </si>
  <si>
    <t>Bharti Airtel dips 2% after BofAML cuts price target on likely earnings downgrade</t>
  </si>
  <si>
    <t>BofAML believes consensus not fully reflecting impact of IUC (interconnect charges) payments being zero from January 2020</t>
  </si>
  <si>
    <t>Lemon Tree Hotels gains 3% on signing a license agreement for resort property</t>
  </si>
  <si>
    <t>The hotel is expected to be operational by March, 2021.</t>
  </si>
  <si>
    <t>S H Kelkar rises 4% on appeal against I-T tax demand</t>
  </si>
  <si>
    <t>Keva Fragrances has filed an appeal contesting the assessment made by the Assessing Officer and has also filed for stay of demand.</t>
  </si>
  <si>
    <t>ITC gains 2% after CLSA hikes price target to Rs 400 on favourable risk-reward</t>
  </si>
  <si>
    <t>CLSA retained buy call and increased target price by Rs 10 apiece as the risk-reward is highly attractive  stock offers downside protection.</t>
  </si>
  <si>
    <t>Welspun Enterprises rises 3% on signing concession agreement with PWD</t>
  </si>
  <si>
    <t>The construction period is 2 years from the appointed date and OM period is 10 years after commercial operation date.</t>
  </si>
  <si>
    <t>HFCL gains nearly 6% on orders win worth Rs 502 crore</t>
  </si>
  <si>
    <t>Larsen  Toubro (LT) awarded a contract worth Rs 147.73 crore for supply of optical fibre cables to be executed by May 2019.</t>
  </si>
  <si>
    <t>Praj Industries jumps 9% as co expands bio-energy basket by adding compressed bio-gas technology</t>
  </si>
  <si>
    <t>CBG is a complementary renewable transportation fuel to compressed natural gas (CNG).</t>
  </si>
  <si>
    <t>D-Street Buzz: Nifty FMCG outperforms led by ITC; Hindalco rises; TCS falls 2%</t>
  </si>
  <si>
    <t>The breadth of the market favoured the advances with 825 stocks advancing and 721 declining while 507 remained unchanged. On the BSE, 987 stocks advanced, 771 declined and 95 remained unchanged.</t>
  </si>
  <si>
    <t>Gold prices continue to trade firm with near term target of $1320</t>
  </si>
  <si>
    <t>The gold price has maintained positive stance since last month and is trading steady towards USD 1290 per oz on shifting US Fed policy stance over its future rate hike pushing the dollar and US yields lower.</t>
  </si>
  <si>
    <t>UAE energy minister expects average oil price of $70 a barrel in 2019</t>
  </si>
  <si>
    <t>The minister spoke to reporters in Abu Dhabi.</t>
  </si>
  <si>
    <t>US shutdown sends economy into uncharted waters</t>
  </si>
  <si>
    <t>Switching off even a part of the government means that life force quickly begins to bleed away</t>
  </si>
  <si>
    <t>Chamling launches #39;One Family One Job#39; scheme in Sikkim</t>
  </si>
  <si>
    <t>At an employment fair organised at the Paljor stadium in Gangtok, over 12,000 unemployed youths were handed out appointment letters.</t>
  </si>
  <si>
    <t>10% reservation for economically weak in general category cleared by President</t>
  </si>
  <si>
    <t>The bill was passed by Parliament on January 9.</t>
  </si>
  <si>
    <t>P Chidambaram credits Congress state finance ministers for sorting out GST mess</t>
  </si>
  <si>
    <t>Taking to Twitter, he lauded the efforts of the six Congress finance ministers who were actively helping the GST Council.</t>
  </si>
  <si>
    <t>Govt spending over Rs 20,000 crore to fix accident prone spots: Nitin Gadkari</t>
  </si>
  <si>
    <t>Speaking here at the launch of a research report by Nissan India and SaveLife Foundation, Gadkari said the first priority of his ministry is to save more lives from road accidents which account for over 1 lakh deaths each year in the country.</t>
  </si>
  <si>
    <t>Quick Take | GST tweaks highlight that complicated structure needs to go</t>
  </si>
  <si>
    <t>Current move may be good politics, but it also shows up shoddy implementation</t>
  </si>
  <si>
    <t>Forex kitty swells by $2.68 bn to $396 bn</t>
  </si>
  <si>
    <t>The overall reserves had increased by $116.4 million to $393.404 billion in the previous reporting week.</t>
  </si>
  <si>
    <t>Rupee slips 8 paise to 70.49 against US Dollar on surging crude oil</t>
  </si>
  <si>
    <t>On January 10, the rupee ticked higher by 5 paise to close at 70.41 per US dollar.</t>
  </si>
  <si>
    <t>Government plans insurance scheme for GST-registered small traders</t>
  </si>
  <si>
    <t>According to sources, the scheme may provide accidental insurance cover on the lines of Pradhan Mantri Suraksha Bima Yojana (PMSBY) for the traders at an affordable premium.</t>
  </si>
  <si>
    <t>India takes EU to WTO#39;s safeguard committee over duty on steel products</t>
  </si>
  <si>
    <t>Against the US move to impose high customs duties on certain steel and aluminium products, the EU in July last year proposed imposition of definitive safeguard duties to protect their industry against a surge of imports.</t>
  </si>
  <si>
    <t>PM Narendra Modi aims to tempt voters with pre-election perks</t>
  </si>
  <si>
    <t>The measures are likely to be a drain on finances in Asia#39;s third-biggest economy, where Prime Minister Narendra Modi#39;s government is trying to stick to a decade-low fiscal deficit target of 3.3 percent of the gross domestic product.</t>
  </si>
  <si>
    <t>Govt giving attention to arrest India#39;s unutilised water under IWT from entering Pakistan: Nitin Gadkari</t>
  </si>
  <si>
    <t>Gadkari, the minister for water resources, river development and Ganga rejuvenation, also signed an MoU with six chief ministers for the construction of Renukaji Multi-Purpose Dam project in the Upper Yamuna Basin.</t>
  </si>
  <si>
    <t>India considering raising minimum selling price of sugar: Report</t>
  </si>
  <si>
    <t>Prime Minister Narendra Modi#39;s office was directly examining the proposal, ET Now said quoting sources.</t>
  </si>
  <si>
    <t>India#39;s fuel demand rose 3.2% in December</t>
  </si>
  <si>
    <t>Consumption of fuel, a proxy for oil demand, totalled 18.51 million tonnes, data from the Petroleum Planning and Analysis Cell (PPAC) of the oil ministry showed.</t>
  </si>
  <si>
    <t>100-Word Take | The 0.5% growth in IIP for November 2018 is not a sign of a slowdown</t>
  </si>
  <si>
    <t>The message after clubbing the growth for October and November 2018 together is that overall industrial production growth continues to hold up well, without any slowdown.</t>
  </si>
  <si>
    <t>Petrol price hiked by 19 paise, diesel by 28 paise</t>
  </si>
  <si>
    <t>Petrol in Delhi now costs Rs 69.07 per litre - the highest this month - up from Rs 68.88 per litre rate of Thursday, according to price notification issued by state-owned oil firms.</t>
  </si>
  <si>
    <t>Asian shares pause near one-and-a-half-month highs before China data</t>
  </si>
  <si>
    <t>MSCIâs broadest index of Asia-Pacific shares outside Japan was barely changed at 490.97 points after climbing to the highest since early December on Friday. Australian shares ticked up 0.3 percent while New Zealand#39;s benchmark index was off 0.2 percent.</t>
  </si>
  <si>
    <t>Wall Street#39;s five-day rally flickers out as earnings near</t>
  </si>
  <si>
    <t>The Dow Jones Industrial Average ended down 0.02 percent at 23,995.95 points, while the Nasdaq Composite dropped 0.21 percent to 6,971.48.</t>
  </si>
  <si>
    <t>A morning walk down Dalal Street | Q3FY19 earnings, macro-economic data in focus</t>
  </si>
  <si>
    <t>Q3FY19 earnings, macroeconomic data, global market sentiments, and crude oil price movement will dictate the trend on the bourses.</t>
  </si>
  <si>
    <t>Stocks in the news: Infosys, Tata Sponge, Avenue Supermarts, GNA Axles, SPARC, KNR Constructions</t>
  </si>
  <si>
    <t>GNA Axles | Sun Pharma Advanced Research | KNR Constructions | Shree Rama Newsprint and Cadila Healthcare are stocks which are in the news today.</t>
  </si>
  <si>
    <t>Podcast | Stocks picks of the day: Nifty likely to trade in 10,700-11,000 range</t>
  </si>
  <si>
    <t>If the index manages to breach 11000 levels and sustain above that than another round of short covering is expected that may drive Nifty towards 11,200 levels in the coming weeks.</t>
  </si>
  <si>
    <t>What changed for the market while you were sleeping? Top 12 things to know</t>
  </si>
  <si>
    <t>A list of important headlines from across news agencies that could help in your trade today.</t>
  </si>
  <si>
    <t>Lalu Prasad attacks BJP, makes #39;humble appeal#39; to people to be on guard</t>
  </si>
  <si>
    <t>The ailing former Bihar chief minister, who is serving sentences in fodder scam cases and is currently lodged in a Ranchi hospital, shared his views on the political situation prevailing in the country on his official Twitter handle.</t>
  </si>
  <si>
    <t>US threatens sanctions over Russia-Germany gas pipeline</t>
  </si>
  <si>
    <t>A letter envoy Richard Grenell sent to several businesses "reminds that any company operating in the Russian energy export pipeline sector... is in danger under CAATSA of US sanctions," an embassy spokesman told AFP.</t>
  </si>
  <si>
    <t>Rahul Gandhi should keep country#39;s dignity in mind while speaking on foreign soil: Shahnawaz Hussain</t>
  </si>
  <si>
    <t>Hussain criticised Gandhi a day after the Congress president, in a news conference in Dubai, accused Prime Minister Narendra Modi of "helping" Anil Ambani "steal Rs 30,000 crore" of the country.</t>
  </si>
  <si>
    <t>CBI row: Congress seeks immediate removal of chief vigilance commissioner</t>
  </si>
  <si>
    <t>The Congress alleged that CVC K V Chowdary is being made to "act like a puppet" to avoid any probe into the Rafale case.</t>
  </si>
  <si>
    <t>10% EWS quota to come into force in Gujarat from January 14</t>
  </si>
  <si>
    <t>The Constitutional amendment to provide the 10 percent quota received assent of President Ram Nath Kovind on January 12.</t>
  </si>
  <si>
    <t>Trade Setup for Monday: Top 15 things to know before Opening Bell</t>
  </si>
  <si>
    <t>Chandan Taparia of Motilal Oswal said derivatives setup suggests that support of 10,700-10,730 zones could provide comfort to bulls but intact Call writing at 11,000 and 10,900 strikes are going to restrict its momentum.</t>
  </si>
  <si>
    <t>Ram Vilas Paswan#39;s daughter stages sit-in against his #39;angootha chhap#39; jibe</t>
  </si>
  <si>
    <t>Ram Vilas Paswan had at a press conference on January 11 attacked the opposition Rashtriya Janata Dal (RJD) for opposing the NDA-led government#39;s bill to provide 10 percent reservation for the economically backward in general category.</t>
  </si>
  <si>
    <t>Rajkumar Hirani accused of sexual assault, filmmaker terms #MeToo story #39;malicious#39;</t>
  </si>
  <si>
    <t>In an article on HuffPost India, a woman, who calls herself "an assistant", alleged that Hirani sexually abused her more than once between March and September 2018.</t>
  </si>
  <si>
    <t>Justice AK Sikri withdraws consent to govt offer to nominate him to CSAT</t>
  </si>
  <si>
    <t>Sources close to the second senior-most judge after the Chief Justice of India told PTI that the consent was withdrawn on the evening of January 13 when the judge wrote to the government.</t>
  </si>
  <si>
    <t>Alchymi: Bathroom Suites</t>
  </si>
  <si>
    <t>lchymi: Bathroom Suites</t>
  </si>
  <si>
    <t>2019 Mahindra Alturas G4 road test review</t>
  </si>
  <si>
    <t>As midcap valuations now more reasonable, CLSA lists 7 stock picks</t>
  </si>
  <si>
    <t>Consumption, affordable housing and healthcare are possible beneficiaries of acceleration in the government spending on welfare programmes, CLSA said.</t>
  </si>
  <si>
    <t>Banker-turned-politician Meera Sanyal dies at 57</t>
  </si>
  <si>
    <t>Sanyal, 57, had joined the Aam Aadmi Party after quitting her job as the country chief executive of Royal Bank of Scotland and contested the Lok Sabha election in 2014.</t>
  </si>
  <si>
    <t>Merino Experience Centre now in Mumbai</t>
  </si>
  <si>
    <t>erino Experience Centre now in Mumbai</t>
  </si>
  <si>
    <t>Dakar 2019: Oriol Mena continues strong form, CS Santosh crashes out on Stage 5</t>
  </si>
  <si>
    <t>Podcast | Digging Deeper: Low food inflation and the state of the Indian farmer</t>
  </si>
  <si>
    <t>In this Moneycontrol Deep Dive, we will focus on both sides of the coin. The food inflation figures and the figures that remain often hidden amid reams of data. The farmers themselves.</t>
  </si>
  <si>
    <t>How an SP-BSP alliance can impact the BJP arithmetic in Uttar Pradesh</t>
  </si>
  <si>
    <t>An analysis of constituency-wise data from the 2014 general election shows that the BJP may lose as many as 37 Lok Sabha seats in Uttar Pradesh should the SP BSP RLD combine in 2019, leaving only 36 seat with the National Democratic Alliance (NDA).</t>
  </si>
  <si>
    <t>India witnessing over 4 yrs of #39;intolerance#39;, says Rahul Gandhi in UAE</t>
  </si>
  <si>
    <t>Rebuffing allegations that intolerance was rising in the country, Union Home Minister Rajnath Singh recently said no nation in the world was as tolerant as India.</t>
  </si>
  <si>
    <t>Shatrughan Sinha fires salvo at Modi govt on 10% quota, CBI feud, vendetta politics</t>
  </si>
  <si>
    <t>"You sure have mastered the art of Mann ki Baat. But let us not forget dil ki baat. Stop this jumle-baazi," he remarked in a veiled dig at Modi#39;s weekly radio broadcast.</t>
  </si>
  <si>
    <t>Markets@Moneycontrol I Here#39;s all you need to know about Q3 earnings</t>
  </si>
  <si>
    <t>Kshitij Anand, Market Editor, Moneycontrol wraps the weekâs action in the market and the triggers to watch out for in the coming week.</t>
  </si>
  <si>
    <t>Focus on companies that maintain robust earnings performance: Anand Rathi</t>
  </si>
  <si>
    <t>Regardless of international or political set up on the national front, investors should focus on companies which can give earning prominence, and have a high margin of safety with high corporate governance standard.</t>
  </si>
  <si>
    <t>100-Word Take | Was the recent market fall worse than the taper tantrum?</t>
  </si>
  <si>
    <t>For India, the extent of the fall in the Sensex from its highs was much more during the Chinese scare, but that was also the period when we had our spectacular demonetisation experiment</t>
  </si>
  <si>
    <t>May move into a more positive period for global markets: HSBC#39;s Bill Maldonado</t>
  </si>
  <si>
    <t>I think for international investors, the message is that one needs to be much more selective in India, Maldonado said.</t>
  </si>
  <si>
    <t>#39;Q3 earnings expected to be a mixed bag; could be company-specific#39;</t>
  </si>
  <si>
    <t>The predominant threats would be sharp rise in crude prices, trade war and retaliatory tariffs amongst the leading economies of the world, and a sharp rise in interest rates across the world</t>
  </si>
  <si>
    <t>An evening walk down Dalal Street | Indices recover in last hour to close off lows; Nifty below 10,800</t>
  </si>
  <si>
    <t>At the close of market hours, the Sensex was down 96.66 points or 0.27% at 36009.84, while the Nifty was down 26.60 points or 0.25% at 10795.00.</t>
  </si>
  <si>
    <t>Sonata Software Q3 PAT may dip 3% QoQ to Rs. 60.3 cr: Prabhudas Lilladher</t>
  </si>
  <si>
    <t>Net Sales are expected to increase by 8.7 percent Q-o-Q (down 15.9 percent Y-o-Y) to Rs. 644.8 crore, according to Prabhudas Lilladher.</t>
  </si>
  <si>
    <t>GNA Axles Standalone December 2018 Net Sales at Rs 246.25 crore, up 47.46% Y-o-Y</t>
  </si>
  <si>
    <t>TRF Consolidated December 2018 Net Sales at Rs 86.40 crore, Down 66.58% Y-o-Y.</t>
  </si>
  <si>
    <t>Mindtree Q3 PAT may dip 7.3% QoQ to Rs. 191.2 cr: Prabhudas Lilladher</t>
  </si>
  <si>
    <t>Net Sales are expected to increase by 1.8 percent Q-o-Q (up 29.8 percent Y-o-Y) to Rs. 1,787.7 crore, according to Prabhudas Lilladher.</t>
  </si>
  <si>
    <t>NIIT Technologies Q3 PAT may dip 4.9% QoQ to Rs. 106.3 cr: Prabhudas Lilladher</t>
  </si>
  <si>
    <t>Net Sales are expected to increase by 5.8 percent Q-o-Q (up 26.9 percent Y-o-Y) to Rs. 960.1 crore, according to Prabhudas Lilladher.</t>
  </si>
  <si>
    <t>Zensar Technologies Q3 PAT may dip 18.3% QoQ to Rs. 76.2 cr: Prabhudas Lilladher</t>
  </si>
  <si>
    <t>Net Sales are expected to increase by 4.1 percent Q-o-Q (up 27.1 percent Y-o-Y) to Rs. 1,010.8 crore, according to Prabhudas Lilladher.</t>
  </si>
  <si>
    <t>Persistent Systems Q3 PAT seen up 14% QoQ to Rs. 100.5 cr: Prabhudas Lilladher</t>
  </si>
  <si>
    <t>Net Sales are expected to increase by 3.5 percent Q-o-Q (up 11.6 percent Y-o-Y) to Rs. 831.3 crore, according to Prabhudas Lilladher.</t>
  </si>
  <si>
    <t>Avenue Supermar Standalone December 2018 Net Sales at Rs 5,450.94 crore, up 33.12% Y-o-Y</t>
  </si>
  <si>
    <t>Wipro Q3 PAT seen up 2.6% QoQ to Rs. 2,438 cr: Prabhudas Lilladher</t>
  </si>
  <si>
    <t>Net Sales are expected to increase by 4.6 percent Q-o-Q (up 11.3 percent Y-o-Y) to Rs. 15,212.6 crore, according to Prabhudas Lilladher.</t>
  </si>
  <si>
    <t>TeamLease Services Q3 PAT may dip 7% QoQ to Rs. 23.2 cr: Prabhudas Lilladher</t>
  </si>
  <si>
    <t>Net Sales are expected to increase by 4.9 percent Q-o-Q (up 24.7 percent Y-o-Y) to Rs. 1,144.6 crore, according to Prabhudas Lilladher.</t>
  </si>
  <si>
    <t>Redington India Q3 PAT seen up 64.7% QoQ to Rs. 158.3 cr: Prabhudas Lilladher</t>
  </si>
  <si>
    <t>Net Sales are expected to increase by 16.9 percent Q-o-Q (up 10.7 percent Y-o-Y) to Rs. 12,981.4 crore, according to Prabhudas Lilladher.</t>
  </si>
  <si>
    <t>Suraj Standalone December 2018 Net Sales at Rs 42.44 crore, down 7.34% Y-o-Y</t>
  </si>
  <si>
    <t>Tech Mahindra Q3 PAT seen up 10.4% QoQ to Rs. 1,189.3 cr: Prabhudas Lilladher</t>
  </si>
  <si>
    <t>Net Sales are expected to increase by 3.4 percent Q-o-Q (up 14.8 percent Y-o-Y) to Rs. 8,923.7 crore, according to Prabhudas Lilladher.</t>
  </si>
  <si>
    <t>Mphasis Q3 PAT may dip 11.3% QoQ to Rs. 241 cr: Prabhudas Lilladher</t>
  </si>
  <si>
    <t>Net Sales are expected to increase by 3.3 percent Q-o-Q (up 19.1 percent Y-o-Y) to Rs. 1,978.1 crore, according to Prabhudas Lilladher.</t>
  </si>
  <si>
    <t>Lupin Q3 PAT seen up 20.7% YoY to Rs. 267.1 cr: ICICI Direct</t>
  </si>
  <si>
    <t>Net Sales are expected to increase by 0.4 percent Y-o-Y (up 1 percent Q-o-Q) to Rs. 3,991 crore, according to ICICI Direct.</t>
  </si>
  <si>
    <t>Glenmark Q3 PAT seen up 121.5% YoY to Rs. 232 cr: ICICI Direct</t>
  </si>
  <si>
    <t>Net Sales are expected to increase by 14.4 percent Y-o-Y (down 2.3 percent Q-o-Q) to Rs. 2,521 crore, according to ICICI Direct.</t>
  </si>
  <si>
    <t>Jubilant Life Science Q3 PAT seen up 13.8% YoY to Rs. 241.8 cr: ICICI Direct</t>
  </si>
  <si>
    <t>Net Sales are expected to increase by 17.8 percent Y-o-Y (up 7.4 percent Q-o-Q) to Rs. 2,436.5 crore, according to ICICI Direct.</t>
  </si>
  <si>
    <t>Cipla Q3 PAT may dip 27.6% YoY to Rs. 290.1 cr: ICICI Direct</t>
  </si>
  <si>
    <t>Net Sales are expected to increase by 4.3 percent Y-o-Y (up 1.7 percent Q-o-Q) to Rs. 4,081.6 crore, according to ICICI Direct.</t>
  </si>
  <si>
    <t>Natco Pharma Q3 PAT may dip 30.3% YoY to Rs. 151.7 cr: ICICI Direct</t>
  </si>
  <si>
    <t>Net Sales are expected to decrease by 4.9 percent Y-o-Y (down 1.6 percent Q-o-Q) to Rs. 534.7 crore, according to ICICI Direct.</t>
  </si>
  <si>
    <t>Rasoi Standalone December 2018 Net Sales at Rs 3.63 crore, down 26.02% Y-o-Y</t>
  </si>
  <si>
    <t>Dr. Reddys Q3 PAT seen up 37.7% YoY to Rs. 416.9 cr: ICICI Direct</t>
  </si>
  <si>
    <t>Net Sales are expected to increase by 4.7 percent Y-o-Y (up 5.2 percent Q-o-Q) to Rs. 4,015.2 crore, according to ICICI Direct.</t>
  </si>
  <si>
    <t>Torrent Pharma Q3 PAT seen up 183.6% YoY to Rs. 164.5 cr: ICICI Direct</t>
  </si>
  <si>
    <t>Net Sales are expected to increase by 31.9 percent Y-o-Y (up 2.9 percent Q-o-Q) to Rs. 1,948.3 crore, according to ICICI Direct.</t>
  </si>
  <si>
    <t>Syngene International Q3 PAT seen up 1.5% YoY to Rs. 83.3 cr: ICICI Direct</t>
  </si>
  <si>
    <t>Net Sales are expected to increase by 11.2 percent Y-o-Y (up 3 percent Q-o-Q) to Rs. 431.1 crore, according to ICICI Direct.</t>
  </si>
  <si>
    <t>TRF Standalone December 2018 Net Sales at Rs 55.72 crore, down 37.87% Y-o-Y</t>
  </si>
  <si>
    <t>Apollo Hospitals Q3 PAT seen up 38.4% YoY to Rs. 93.3 cr: ICICI Direct</t>
  </si>
  <si>
    <t>Net Sales are expected to increase by 13.2 percent Y-o-Y (up 2.7 percent Q-o-Q) to Rs. 2,145.8 crore, according to ICICI Direct.</t>
  </si>
  <si>
    <t>Narayana Q3 PAT seen up 7.6% YoY to Rs. 15.2 cr: ICICI Direct</t>
  </si>
  <si>
    <t>Net Sales are expected to increase by 28.8 percent Y-o-Y (up 0.3 percent Q-o-Q) to Rs. 713.3 crore, according to ICICI Direct.</t>
  </si>
  <si>
    <t>Divi’s lab Q3 PAT seen up 82.3% YoY to Rs. 409.6 cr: ICICI Direct</t>
  </si>
  <si>
    <t>Net Sales are expected to increase by 26.1 percent Y-o-Y (up 1.8 percent Q-o-Q) to Rs. 1,308.2 crore, according to ICICI Direct.</t>
  </si>
  <si>
    <t>Sun Pharma Q3 PAT seen up 178.4% YoY to Rs. 1,017.1 cr: ICICI Direct</t>
  </si>
  <si>
    <t>Net Sales are expected to increase by 14.4 percent Y-o-Y (up 9.7 percent Q-o-Q) to Rs. 7,609 crore, according to ICICI Direct.</t>
  </si>
  <si>
    <t>IPCA Labs Q3 PAT seen up 1.5% YoY to Rs. 107.2 cr: ICICI Direct</t>
  </si>
  <si>
    <t>Net Sales are expected to increase by 9.3 percent Y-o-Y (down 7.3 percent Q-o-Q) to Rs. 939.1 crore, according to ICICI Direct.</t>
  </si>
  <si>
    <t>Technical Classroom: How to make trading strategy using Head  Shoulder patterns</t>
  </si>
  <si>
    <t>The pattern has the shape of a head and two shoulders. It can act as a reversal or continuation pattern depending on the trend prior to its formation and the type of the Head and Shoulders pattern</t>
  </si>
  <si>
    <t>#39;Bank Nifty to continue its outperformance, needs to hold 27,400 to extend gains#39;</t>
  </si>
  <si>
    <t>Positive to rangebound view on Bank Nifty till it holds above 27,000 zones while rangebound bias on Nifty index till it doesn#39;t surpass 10,925-10,985 zones decisively.</t>
  </si>
  <si>
    <t>Technical Analysis: How to use advanced triple candlestick chart patterns for trading</t>
  </si>
  <si>
    <t>The Three White Soldiers pattern can appear after an extended downtrend or a period of consolidation.</t>
  </si>
  <si>
    <t>Technical View: Nifty forms #39;Hammer#39; pattern, ends below 10,800; focus on stock specific opportunities</t>
  </si>
  <si>
    <t>Chandan Taparia of Motilal Oswal said now the index has to continue to hold above 10,750-10,777 zones to witness an upmove towards 10,880 then crucial hurdle at 10,925-10,985 zones.</t>
  </si>
  <si>
    <t>RISK</t>
  </si>
  <si>
    <t>FUNDAMENTAL</t>
  </si>
  <si>
    <t>SD</t>
  </si>
  <si>
    <t>Sharpe</t>
  </si>
  <si>
    <t>Sortino</t>
  </si>
  <si>
    <t>Treynor</t>
  </si>
  <si>
    <t>VaR(95)</t>
  </si>
  <si>
    <t>BASIC EPS</t>
  </si>
  <si>
    <t>BOOK VALUE PER SHARE EXCL REVAL</t>
  </si>
  <si>
    <t>BOOK VALUE PER SHARE INCL REVAL</t>
  </si>
  <si>
    <t>CASH EARNINGS RETENTION RATIO</t>
  </si>
  <si>
    <t>CASH EPS</t>
  </si>
  <si>
    <t>CURRENT RATIO</t>
  </si>
  <si>
    <t>DILUTED EPS</t>
  </si>
  <si>
    <t>DIVIDEND PAYOUT RATIO NP</t>
  </si>
  <si>
    <t>DIVIDEND PAYOUT RATIO CP</t>
  </si>
  <si>
    <t>DIVIDEND PER SHARE</t>
  </si>
  <si>
    <t>EARNINGS RETENTION RATIO</t>
  </si>
  <si>
    <t>EARNINGS YIELD</t>
  </si>
  <si>
    <t>EV TO EBITDA</t>
  </si>
  <si>
    <t>EV TO NET OPERATING REVENUE</t>
  </si>
  <si>
    <t>MARKETCAP TO NET OPERATING REVENUE</t>
  </si>
  <si>
    <t>NET PROFIT MARGIN</t>
  </si>
  <si>
    <t>NET PROFIT PER SHARE</t>
  </si>
  <si>
    <t>PBDIT MARGIN</t>
  </si>
  <si>
    <t>PBDIT PER SHARE</t>
  </si>
  <si>
    <t>PBIT MARGIN</t>
  </si>
  <si>
    <t>PBIT PER SHARE</t>
  </si>
  <si>
    <t>PBT MARGIN</t>
  </si>
  <si>
    <t>PBT PER SHARE</t>
  </si>
  <si>
    <t>PRICE TO BV</t>
  </si>
  <si>
    <t>PRICE TO NET OPERATING REVENUE</t>
  </si>
  <si>
    <t>QUICK RATIO</t>
  </si>
  <si>
    <t>RETENTION RATIOS</t>
  </si>
  <si>
    <t>RETURN ON ASSETS</t>
  </si>
  <si>
    <t>RETURN ON CAPITAL EMPLOYED</t>
  </si>
  <si>
    <t>RETURN ON EQUITY</t>
  </si>
  <si>
    <t>REVENUE FROM OPERATIONS PER SHARE</t>
  </si>
  <si>
    <t>DEBT TO EQUITY</t>
  </si>
  <si>
    <t>-</t>
  </si>
  <si>
    <t>NIFTY INFRASTRUCTURE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</si>
</sst>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00_);_(* \(#,##0.00\);_(* &quot;-&quot;??_);_(@_)"/>
    <numFmt numFmtId="165" formatCode="0.000%"/>
    <numFmt numFmtId="166" formatCode="0.0000"/>
    <numFmt numFmtId="167" formatCode="_(* #,##0.000000_);_(* \(#,##0.000000\);_(* &quot;-&quot;??_);_(@_)"/>
    <numFmt numFmtId="168" formatCode="[$-409]d\-mmm\-yy;@"/>
  </numFmts>
  <fonts count="18" x14ac:knownFonts="1">
    <font>
      <sz val="11"/>
      <color theme="1"/>
      <name val="Calibri"/>
      <family val="2"/>
      <scheme val="minor"/>
    </font>
    <font>
      <sz val="11"/>
      <color theme="1"/>
      <name val="Calibri"/>
      <family val="2"/>
      <scheme val="minor"/>
    </font>
    <font>
      <sz val="11"/>
      <color theme="0"/>
      <name val="Calibri"/>
      <family val="2"/>
      <scheme val="minor"/>
    </font>
    <font>
      <sz val="11"/>
      <color theme="5"/>
      <name val="Calibri"/>
      <family val="2"/>
      <scheme val="minor"/>
    </font>
    <font>
      <sz val="11"/>
      <color rgb="FFFF99FF"/>
      <name val="Calibri"/>
      <family val="2"/>
      <scheme val="minor"/>
    </font>
    <font>
      <sz val="11"/>
      <color rgb="FF00FFFF"/>
      <name val="Calibri"/>
      <family val="2"/>
      <scheme val="minor"/>
    </font>
    <font>
      <sz val="11"/>
      <name val="Calibri"/>
      <family val="2"/>
      <scheme val="minor"/>
    </font>
    <font>
      <sz val="11"/>
      <color theme="0"/>
      <name val="Calibri"/>
      <family val="2"/>
    </font>
    <font>
      <sz val="9.9"/>
      <color theme="0"/>
      <name val="Calibri"/>
      <family val="2"/>
    </font>
    <font>
      <sz val="11"/>
      <color rgb="FFFFFF00"/>
      <name val="Calibri"/>
      <family val="2"/>
      <scheme val="minor"/>
    </font>
    <font>
      <b/>
      <u/>
      <sz val="11"/>
      <color rgb="FFFFFF00"/>
      <name val="Calibri"/>
      <family val="2"/>
      <scheme val="minor"/>
    </font>
    <font>
      <b/>
      <u/>
      <sz val="14"/>
      <color rgb="FFFFFF00"/>
      <name val="Calibri"/>
      <family val="2"/>
      <scheme val="minor"/>
    </font>
    <font>
      <sz val="14"/>
      <color theme="5"/>
      <name val="Calibri"/>
      <family val="2"/>
      <scheme val="minor"/>
    </font>
    <font>
      <b/>
      <sz val="11"/>
      <color rgb="FF00FFFF"/>
      <name val="Calibri"/>
      <family val="2"/>
      <scheme val="minor"/>
    </font>
    <font>
      <b/>
      <sz val="11"/>
      <color rgb="FFFFFF00"/>
      <name val="Calibri"/>
      <family val="2"/>
      <scheme val="minor"/>
    </font>
    <font>
      <u/>
      <sz val="11"/>
      <color theme="0"/>
      <name val="Calibri"/>
      <family val="2"/>
      <scheme val="minor"/>
    </font>
    <font>
      <b/>
      <sz val="11"/>
      <color rgb="FF000000"/>
      <name val="Calibri"/>
      <family val="2"/>
    </font>
    <font>
      <sz val="11"/>
      <color rgb="FF000000"/>
      <name val="Calibri"/>
      <family val="2"/>
    </font>
  </fonts>
  <fills count="3">
    <fill>
      <patternFill patternType="none"/>
    </fill>
    <fill>
      <patternFill patternType="gray125"/>
    </fill>
    <fill>
      <patternFill patternType="solid">
        <fgColor theme="1"/>
        <bgColor indexed="64"/>
      </patternFill>
    </fill>
  </fills>
  <borders count="6">
    <border>
      <left/>
      <right/>
      <top/>
      <bottom/>
      <diagonal/>
    </border>
    <border>
      <left style="medium">
        <color theme="0" tint="-0.14996795556505021"/>
      </left>
      <right style="medium">
        <color theme="0" tint="-0.14996795556505021"/>
      </right>
      <top style="medium">
        <color theme="0" tint="-0.14996795556505021"/>
      </top>
      <bottom style="medium">
        <color theme="0" tint="-0.14996795556505021"/>
      </bottom>
      <diagonal/>
    </border>
    <border>
      <left style="thin">
        <color rgb="FFFF0000"/>
      </left>
      <right style="thin">
        <color rgb="FFFF0000"/>
      </right>
      <top/>
      <bottom style="thin">
        <color rgb="FFFF0000"/>
      </bottom>
      <diagonal/>
    </border>
    <border>
      <left/>
      <right/>
      <top/>
      <bottom style="thin">
        <color rgb="FFFFFF00"/>
      </bottom>
      <diagonal/>
    </border>
    <border>
      <left style="thin">
        <color rgb="FFFFFF00"/>
      </left>
      <right style="thin">
        <color rgb="FFFFFF00"/>
      </right>
      <top/>
      <bottom/>
      <diagonal/>
    </border>
    <border>
      <left style="thin">
        <color rgb="FFFFFF00"/>
      </left>
      <right style="thin">
        <color rgb="FFFFFF00"/>
      </right>
      <top style="thin">
        <color rgb="FFFFFF00"/>
      </top>
      <bottom style="thin">
        <color rgb="FFFFFF00"/>
      </bottom>
      <diagonal/>
    </border>
  </borders>
  <cellStyleXfs count="3">
    <xf numFmtId="0" fontId="0" fillId="0" borderId="0"/>
    <xf numFmtId="9" fontId="1" fillId="0" borderId="0" applyFont="0" applyFill="0" applyBorder="0" applyAlignment="0" applyProtection="0"/>
    <xf numFmtId="164" fontId="1" fillId="0" borderId="0" applyFont="0" applyFill="0" applyBorder="0" applyAlignment="0" applyProtection="0"/>
  </cellStyleXfs>
  <cellXfs count="55">
    <xf numFmtId="0" fontId="0" fillId="0" borderId="0" xfId="0"/>
    <xf numFmtId="0" fontId="2" fillId="2" borderId="0" xfId="0" applyFont="1" applyFill="1"/>
    <xf numFmtId="14" fontId="2" fillId="2" borderId="0" xfId="0" applyNumberFormat="1" applyFont="1" applyFill="1"/>
    <xf numFmtId="166" fontId="2" fillId="2" borderId="0" xfId="0" applyNumberFormat="1" applyFont="1" applyFill="1"/>
    <xf numFmtId="165" fontId="2" fillId="2" borderId="0" xfId="1" applyNumberFormat="1" applyFont="1" applyFill="1"/>
    <xf numFmtId="167" fontId="2" fillId="2" borderId="0" xfId="2" applyNumberFormat="1" applyFont="1" applyFill="1"/>
    <xf numFmtId="0" fontId="6" fillId="2" borderId="0" xfId="0" applyFont="1" applyFill="1"/>
    <xf numFmtId="0" fontId="7" fillId="2" borderId="0" xfId="0" applyFont="1" applyFill="1"/>
    <xf numFmtId="0" fontId="2" fillId="2" borderId="0" xfId="0" applyFont="1" applyFill="1" applyAlignment="1">
      <alignment horizontal="center" vertical="center"/>
    </xf>
    <xf numFmtId="14" fontId="2"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65" fontId="3" fillId="2" borderId="0" xfId="1" applyNumberFormat="1" applyFont="1" applyFill="1" applyAlignment="1">
      <alignment horizontal="center" vertical="center"/>
    </xf>
    <xf numFmtId="166" fontId="2" fillId="2" borderId="0" xfId="0" applyNumberFormat="1" applyFont="1" applyFill="1" applyAlignment="1">
      <alignment horizontal="center" vertical="center"/>
    </xf>
    <xf numFmtId="0" fontId="0" fillId="0" borderId="0" xfId="0" applyAlignment="1">
      <alignment horizontal="center" vertical="center"/>
    </xf>
    <xf numFmtId="165" fontId="4" fillId="2" borderId="0" xfId="1" applyNumberFormat="1" applyFont="1" applyFill="1" applyAlignment="1">
      <alignment horizontal="center" vertical="center"/>
    </xf>
    <xf numFmtId="165" fontId="5" fillId="2" borderId="0" xfId="1" applyNumberFormat="1" applyFont="1" applyFill="1" applyAlignment="1">
      <alignment horizontal="center" vertical="center"/>
    </xf>
    <xf numFmtId="165" fontId="9" fillId="2" borderId="0" xfId="1" applyNumberFormat="1" applyFont="1" applyFill="1" applyAlignment="1">
      <alignment horizontal="center" vertical="center"/>
    </xf>
    <xf numFmtId="10" fontId="2" fillId="2" borderId="0" xfId="1" applyNumberFormat="1" applyFont="1" applyFill="1" applyAlignment="1">
      <alignment horizontal="left" vertical="center"/>
    </xf>
    <xf numFmtId="0" fontId="2" fillId="2" borderId="0" xfId="0" applyFont="1" applyFill="1" applyAlignment="1">
      <alignment horizontal="right"/>
    </xf>
    <xf numFmtId="0" fontId="2" fillId="2" borderId="0" xfId="0" applyFont="1" applyFill="1" applyAlignment="1">
      <alignment horizontal="right" vertical="center"/>
    </xf>
    <xf numFmtId="0" fontId="10" fillId="2" borderId="0" xfId="0" applyFont="1" applyFill="1" applyAlignment="1">
      <alignment horizontal="right"/>
    </xf>
    <xf numFmtId="0" fontId="10" fillId="2" borderId="0" xfId="0" applyFont="1" applyFill="1" applyAlignment="1">
      <alignment horizontal="left" vertical="center"/>
    </xf>
    <xf numFmtId="0" fontId="6" fillId="0" borderId="0" xfId="0" applyFont="1"/>
    <xf numFmtId="0" fontId="10" fillId="2" borderId="0" xfId="0" applyFont="1" applyFill="1" applyAlignment="1">
      <alignment wrapText="1"/>
    </xf>
    <xf numFmtId="0" fontId="10" fillId="2" borderId="0" xfId="0" applyFont="1" applyFill="1" applyAlignment="1">
      <alignment horizontal="center" vertical="center" wrapText="1"/>
    </xf>
    <xf numFmtId="2" fontId="2" fillId="2" borderId="0" xfId="0" applyNumberFormat="1" applyFont="1" applyFill="1"/>
    <xf numFmtId="0" fontId="10" fillId="2" borderId="0" xfId="0" applyFont="1" applyFill="1" applyAlignment="1"/>
    <xf numFmtId="0" fontId="9" fillId="2" borderId="0" xfId="0" applyFont="1" applyFill="1" applyAlignment="1">
      <alignment horizontal="right"/>
    </xf>
    <xf numFmtId="164" fontId="2" fillId="2" borderId="0" xfId="2" applyNumberFormat="1" applyFont="1" applyFill="1"/>
    <xf numFmtId="0" fontId="0" fillId="0" borderId="0" xfId="0" applyAlignment="1">
      <alignment horizontal="left" vertical="center"/>
    </xf>
    <xf numFmtId="0" fontId="2" fillId="2" borderId="0" xfId="0" applyFont="1" applyFill="1" applyAlignment="1">
      <alignment horizontal="left" vertical="center"/>
    </xf>
    <xf numFmtId="14" fontId="2" fillId="2" borderId="0" xfId="0" applyNumberFormat="1" applyFont="1" applyFill="1" applyAlignment="1">
      <alignment horizontal="left" vertical="center"/>
    </xf>
    <xf numFmtId="0" fontId="2" fillId="2" borderId="0" xfId="0" applyFont="1" applyFill="1" applyAlignment="1">
      <alignment horizontal="left" vertical="center" wrapText="1"/>
    </xf>
    <xf numFmtId="0" fontId="11" fillId="2" borderId="0" xfId="0" applyFont="1" applyFill="1" applyAlignment="1">
      <alignment horizontal="center"/>
    </xf>
    <xf numFmtId="0" fontId="4" fillId="2" borderId="1" xfId="0" applyFont="1" applyFill="1" applyBorder="1" applyAlignment="1">
      <alignment horizontal="center" vertical="center"/>
    </xf>
    <xf numFmtId="10" fontId="3" fillId="2" borderId="0" xfId="1" applyNumberFormat="1" applyFont="1" applyFill="1" applyAlignment="1">
      <alignment horizontal="center" vertical="center"/>
    </xf>
    <xf numFmtId="14" fontId="0" fillId="0" borderId="0" xfId="0" applyNumberFormat="1" applyAlignment="1">
      <alignment horizontal="left" vertical="center"/>
    </xf>
    <xf numFmtId="0" fontId="9" fillId="2" borderId="1" xfId="0" applyFont="1" applyFill="1" applyBorder="1" applyAlignment="1">
      <alignment horizontal="center" vertical="center"/>
    </xf>
    <xf numFmtId="164" fontId="3" fillId="2" borderId="0" xfId="2" applyFont="1" applyFill="1" applyAlignment="1"/>
    <xf numFmtId="2" fontId="12" fillId="2" borderId="2" xfId="0" applyNumberFormat="1" applyFont="1" applyFill="1" applyBorder="1" applyAlignment="1">
      <alignment horizontal="center" vertical="center"/>
    </xf>
    <xf numFmtId="0" fontId="9" fillId="2" borderId="3" xfId="0" applyFont="1" applyFill="1" applyBorder="1" applyAlignment="1">
      <alignment horizontal="center" vertical="center" wrapText="1"/>
    </xf>
    <xf numFmtId="0" fontId="13" fillId="2" borderId="3" xfId="0" applyFont="1" applyFill="1" applyBorder="1" applyAlignment="1">
      <alignment horizontal="left" vertical="center"/>
    </xf>
    <xf numFmtId="164" fontId="6" fillId="2" borderId="0" xfId="2" applyFont="1" applyFill="1" applyAlignment="1"/>
    <xf numFmtId="0" fontId="13" fillId="2" borderId="0" xfId="0" applyFont="1" applyFill="1" applyBorder="1" applyAlignment="1">
      <alignment horizontal="left" vertical="center"/>
    </xf>
    <xf numFmtId="0" fontId="9" fillId="2" borderId="5" xfId="0" applyFont="1" applyFill="1" applyBorder="1" applyAlignment="1">
      <alignment horizontal="center" vertical="center" wrapText="1"/>
    </xf>
    <xf numFmtId="0" fontId="2" fillId="2" borderId="4" xfId="0" applyFont="1" applyFill="1" applyBorder="1" applyAlignment="1">
      <alignment horizontal="center" vertical="center"/>
    </xf>
    <xf numFmtId="168" fontId="2" fillId="2" borderId="0" xfId="0" applyNumberFormat="1" applyFont="1" applyFill="1" applyAlignment="1">
      <alignment horizontal="left"/>
    </xf>
    <xf numFmtId="0" fontId="5" fillId="2" borderId="0" xfId="0" applyFont="1" applyFill="1" applyAlignment="1">
      <alignment horizontal="center" vertical="center"/>
    </xf>
    <xf numFmtId="0" fontId="14" fillId="2" borderId="3" xfId="0" applyFont="1" applyFill="1" applyBorder="1" applyAlignment="1">
      <alignment horizontal="left" vertical="center"/>
    </xf>
    <xf numFmtId="0" fontId="10" fillId="2" borderId="0" xfId="0" applyFont="1" applyFill="1" applyAlignment="1">
      <alignment horizontal="center" vertical="center"/>
    </xf>
    <xf numFmtId="0" fontId="14" fillId="2" borderId="0" xfId="0" applyFont="1" applyFill="1" applyAlignment="1">
      <alignment horizontal="right" vertical="center"/>
    </xf>
    <xf numFmtId="0" fontId="15" fillId="2" borderId="0" xfId="0" applyFont="1" applyFill="1" applyAlignment="1"/>
    <xf numFmtId="0" fontId="15" fillId="2" borderId="0" xfId="0" applyFont="1" applyFill="1" applyAlignment="1">
      <alignment wrapText="1"/>
    </xf>
    <xf numFmtId="0" fontId="15" fillId="2" borderId="0" xfId="0" applyFont="1" applyFill="1" applyAlignment="1">
      <alignment horizontal="center" wrapText="1"/>
    </xf>
    <xf numFmtId="14" fontId="3" fillId="2" borderId="0" xfId="2" applyNumberFormat="1" applyFont="1" applyFill="1" applyAlignment="1"/>
  </cellXfs>
  <cellStyles count="3">
    <cellStyle name="Comma" xfId="2" builtinId="3"/>
    <cellStyle name="Normal" xfId="0" builtinId="0"/>
    <cellStyle name="Percent" xfId="1" builtinId="5"/>
  </cellStyles>
  <dxfs count="0"/>
  <tableStyles count="0" defaultTableStyle="TableStyleMedium2" defaultPivotStyle="PivotStyleLight16"/>
  <colors>
    <mruColors>
      <color rgb="FF00FF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 Id="rId5" Type="http://schemas.openxmlformats.org/officeDocument/2006/relationships/image" Target="../media/image13.png"/><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180975</xdr:colOff>
          <xdr:row>0</xdr:row>
          <xdr:rowOff>28575</xdr:rowOff>
        </xdr:from>
        <xdr:to>
          <xdr:col>13</xdr:col>
          <xdr:colOff>9525</xdr:colOff>
          <xdr:row>1</xdr:row>
          <xdr:rowOff>95250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 ALL</a:t>
              </a:r>
            </a:p>
          </xdr:txBody>
        </xdr:sp>
        <xdr:clientData fPrintsWithSheet="0"/>
      </xdr:twoCellAnchor>
    </mc:Choice>
    <mc:Fallback/>
  </mc:AlternateContent>
  <xdr:twoCellAnchor editAs="oneCell">
    <xdr:from>
      <xdr:col>4</xdr:col>
      <xdr:colOff>84665</xdr:colOff>
      <xdr:row>22</xdr:row>
      <xdr:rowOff>21169</xdr:rowOff>
    </xdr:from>
    <xdr:to>
      <xdr:col>9</xdr:col>
      <xdr:colOff>74083</xdr:colOff>
      <xdr:row>28</xdr:row>
      <xdr:rowOff>21167</xdr:rowOff>
    </xdr:to>
    <xdr:pic>
      <xdr:nvPicPr>
        <xdr:cNvPr id="13" name="Gold"/>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23140" y="4231219"/>
          <a:ext cx="3132668" cy="1162048"/>
        </a:xfrm>
        <a:prstGeom prst="rect">
          <a:avLst/>
        </a:prstGeom>
      </xdr:spPr>
    </xdr:pic>
    <xdr:clientData/>
  </xdr:twoCellAnchor>
  <xdr:twoCellAnchor editAs="oneCell">
    <xdr:from>
      <xdr:col>4</xdr:col>
      <xdr:colOff>105821</xdr:colOff>
      <xdr:row>1</xdr:row>
      <xdr:rowOff>1</xdr:rowOff>
    </xdr:from>
    <xdr:to>
      <xdr:col>9</xdr:col>
      <xdr:colOff>42332</xdr:colOff>
      <xdr:row>6</xdr:row>
      <xdr:rowOff>179917</xdr:rowOff>
    </xdr:to>
    <xdr:pic>
      <xdr:nvPicPr>
        <xdr:cNvPr id="9" name="Nifty"/>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4296" y="190501"/>
          <a:ext cx="3079761" cy="1132416"/>
        </a:xfrm>
        <a:prstGeom prst="rect">
          <a:avLst/>
        </a:prstGeom>
      </xdr:spPr>
    </xdr:pic>
    <xdr:clientData/>
  </xdr:twoCellAnchor>
  <xdr:twoCellAnchor editAs="oneCell">
    <xdr:from>
      <xdr:col>13</xdr:col>
      <xdr:colOff>1</xdr:colOff>
      <xdr:row>9</xdr:row>
      <xdr:rowOff>190499</xdr:rowOff>
    </xdr:from>
    <xdr:to>
      <xdr:col>21</xdr:col>
      <xdr:colOff>201083</xdr:colOff>
      <xdr:row>23</xdr:row>
      <xdr:rowOff>126998</xdr:rowOff>
    </xdr:to>
    <xdr:pic>
      <xdr:nvPicPr>
        <xdr:cNvPr id="2" name="Returns"/>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658226" y="1914524"/>
          <a:ext cx="5239807" cy="2613024"/>
        </a:xfrm>
        <a:prstGeom prst="rect">
          <a:avLst/>
        </a:prstGeom>
      </xdr:spPr>
    </xdr:pic>
    <xdr:clientData/>
  </xdr:twoCellAnchor>
  <xdr:twoCellAnchor editAs="oneCell">
    <xdr:from>
      <xdr:col>14</xdr:col>
      <xdr:colOff>10588</xdr:colOff>
      <xdr:row>0</xdr:row>
      <xdr:rowOff>190499</xdr:rowOff>
    </xdr:from>
    <xdr:to>
      <xdr:col>20</xdr:col>
      <xdr:colOff>560916</xdr:colOff>
      <xdr:row>9</xdr:row>
      <xdr:rowOff>137583</xdr:rowOff>
    </xdr:to>
    <xdr:pic>
      <xdr:nvPicPr>
        <xdr:cNvPr id="4" name="Rate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440338" y="190499"/>
          <a:ext cx="4207928" cy="1671109"/>
        </a:xfrm>
        <a:prstGeom prst="rect">
          <a:avLst/>
        </a:prstGeom>
      </xdr:spPr>
    </xdr:pic>
    <xdr:clientData/>
  </xdr:twoCellAnchor>
  <xdr:twoCellAnchor editAs="oneCell">
    <xdr:from>
      <xdr:col>4</xdr:col>
      <xdr:colOff>137582</xdr:colOff>
      <xdr:row>8</xdr:row>
      <xdr:rowOff>11639</xdr:rowOff>
    </xdr:from>
    <xdr:to>
      <xdr:col>9</xdr:col>
      <xdr:colOff>42334</xdr:colOff>
      <xdr:row>13</xdr:row>
      <xdr:rowOff>148166</xdr:rowOff>
    </xdr:to>
    <xdr:pic>
      <xdr:nvPicPr>
        <xdr:cNvPr id="5" name="INRUSD"/>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176057" y="1535639"/>
          <a:ext cx="3048002" cy="1108077"/>
        </a:xfrm>
        <a:prstGeom prst="rect">
          <a:avLst/>
        </a:prstGeom>
      </xdr:spPr>
    </xdr:pic>
    <xdr:clientData/>
  </xdr:twoCellAnchor>
  <xdr:twoCellAnchor editAs="oneCell">
    <xdr:from>
      <xdr:col>4</xdr:col>
      <xdr:colOff>105835</xdr:colOff>
      <xdr:row>15</xdr:row>
      <xdr:rowOff>8461</xdr:rowOff>
    </xdr:from>
    <xdr:to>
      <xdr:col>9</xdr:col>
      <xdr:colOff>84668</xdr:colOff>
      <xdr:row>21</xdr:row>
      <xdr:rowOff>74083</xdr:rowOff>
    </xdr:to>
    <xdr:pic>
      <xdr:nvPicPr>
        <xdr:cNvPr id="8" name="Brent"/>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44310" y="2885011"/>
          <a:ext cx="3122083" cy="1208622"/>
        </a:xfrm>
        <a:prstGeom prst="rect">
          <a:avLst/>
        </a:prstGeom>
      </xdr:spPr>
    </xdr:pic>
    <xdr:clientData/>
  </xdr:twoCellAnchor>
  <xdr:twoCellAnchor editAs="oneCell">
    <xdr:from>
      <xdr:col>13</xdr:col>
      <xdr:colOff>0</xdr:colOff>
      <xdr:row>26</xdr:row>
      <xdr:rowOff>0</xdr:rowOff>
    </xdr:from>
    <xdr:to>
      <xdr:col>21</xdr:col>
      <xdr:colOff>423332</xdr:colOff>
      <xdr:row>36</xdr:row>
      <xdr:rowOff>21167</xdr:rowOff>
    </xdr:to>
    <xdr:pic>
      <xdr:nvPicPr>
        <xdr:cNvPr id="12" name="Sector Returns"/>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658225" y="4991100"/>
          <a:ext cx="5462057" cy="19261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17</xdr:col>
      <xdr:colOff>149225</xdr:colOff>
      <xdr:row>15</xdr:row>
      <xdr:rowOff>63500</xdr:rowOff>
    </xdr:to>
    <xdr:pic>
      <xdr:nvPicPr>
        <xdr:cNvPr id="4" name="Industry"/>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81600" y="381000"/>
          <a:ext cx="6350000" cy="254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595842</xdr:colOff>
      <xdr:row>49</xdr:row>
      <xdr:rowOff>0</xdr:rowOff>
    </xdr:from>
    <xdr:to>
      <xdr:col>16</xdr:col>
      <xdr:colOff>56092</xdr:colOff>
      <xdr:row>61</xdr:row>
      <xdr:rowOff>63500</xdr:rowOff>
    </xdr:to>
    <xdr:pic>
      <xdr:nvPicPr>
        <xdr:cNvPr id="6" name="NewHighs Returns"/>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5" y="9525000"/>
          <a:ext cx="6350000" cy="2540000"/>
        </a:xfrm>
        <a:prstGeom prst="rect">
          <a:avLst/>
        </a:prstGeom>
      </xdr:spPr>
    </xdr:pic>
    <xdr:clientData/>
  </xdr:twoCellAnchor>
  <xdr:twoCellAnchor editAs="oneCell">
    <xdr:from>
      <xdr:col>6</xdr:col>
      <xdr:colOff>0</xdr:colOff>
      <xdr:row>64</xdr:row>
      <xdr:rowOff>0</xdr:rowOff>
    </xdr:from>
    <xdr:to>
      <xdr:col>16</xdr:col>
      <xdr:colOff>92075</xdr:colOff>
      <xdr:row>76</xdr:row>
      <xdr:rowOff>63500</xdr:rowOff>
    </xdr:to>
    <xdr:pic>
      <xdr:nvPicPr>
        <xdr:cNvPr id="7" name="GrowthIncome Returns"/>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75667" y="12573000"/>
          <a:ext cx="6367991" cy="2540000"/>
        </a:xfrm>
        <a:prstGeom prst="rect">
          <a:avLst/>
        </a:prstGeom>
      </xdr:spPr>
    </xdr:pic>
    <xdr:clientData/>
  </xdr:twoCellAnchor>
  <xdr:twoCellAnchor editAs="oneCell">
    <xdr:from>
      <xdr:col>6</xdr:col>
      <xdr:colOff>0</xdr:colOff>
      <xdr:row>18</xdr:row>
      <xdr:rowOff>0</xdr:rowOff>
    </xdr:from>
    <xdr:to>
      <xdr:col>16</xdr:col>
      <xdr:colOff>92075</xdr:colOff>
      <xdr:row>31</xdr:row>
      <xdr:rowOff>63500</xdr:rowOff>
    </xdr:to>
    <xdr:pic>
      <xdr:nvPicPr>
        <xdr:cNvPr id="2" name="SCG Returns"/>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7675" y="3619500"/>
          <a:ext cx="6350000" cy="2540000"/>
        </a:xfrm>
        <a:prstGeom prst="rect">
          <a:avLst/>
        </a:prstGeom>
      </xdr:spPr>
    </xdr:pic>
    <xdr:clientData/>
  </xdr:twoCellAnchor>
  <xdr:twoCellAnchor editAs="oneCell">
    <xdr:from>
      <xdr:col>6</xdr:col>
      <xdr:colOff>0</xdr:colOff>
      <xdr:row>1</xdr:row>
      <xdr:rowOff>0</xdr:rowOff>
    </xdr:from>
    <xdr:to>
      <xdr:col>16</xdr:col>
      <xdr:colOff>92075</xdr:colOff>
      <xdr:row>14</xdr:row>
      <xdr:rowOff>63500</xdr:rowOff>
    </xdr:to>
    <xdr:pic>
      <xdr:nvPicPr>
        <xdr:cNvPr id="3" name="BM Return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257675" y="381000"/>
          <a:ext cx="6350000" cy="2540000"/>
        </a:xfrm>
        <a:prstGeom prst="rect">
          <a:avLst/>
        </a:prstGeom>
      </xdr:spPr>
    </xdr:pic>
    <xdr:clientData/>
  </xdr:twoCellAnchor>
  <xdr:twoCellAnchor editAs="oneCell">
    <xdr:from>
      <xdr:col>6</xdr:col>
      <xdr:colOff>0</xdr:colOff>
      <xdr:row>34</xdr:row>
      <xdr:rowOff>0</xdr:rowOff>
    </xdr:from>
    <xdr:to>
      <xdr:col>16</xdr:col>
      <xdr:colOff>92075</xdr:colOff>
      <xdr:row>47</xdr:row>
      <xdr:rowOff>63500</xdr:rowOff>
    </xdr:to>
    <xdr:pic>
      <xdr:nvPicPr>
        <xdr:cNvPr id="4" name="TAFA Returns"/>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275667" y="6667500"/>
          <a:ext cx="6367991" cy="254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2</xdr:row>
          <xdr:rowOff>76200</xdr:rowOff>
        </xdr:from>
        <xdr:to>
          <xdr:col>1</xdr:col>
          <xdr:colOff>1209675</xdr:colOff>
          <xdr:row>3</xdr:row>
          <xdr:rowOff>104775</xdr:rowOff>
        </xdr:to>
        <xdr:sp macro="" textlink="">
          <xdr:nvSpPr>
            <xdr:cNvPr id="4107" name="Button 11" hidden="1">
              <a:extLst>
                <a:ext uri="{63B3BB69-23CF-44E3-9099-C40C66FF867C}">
                  <a14:compatExt spid="_x0000_s41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a:t>
              </a:r>
            </a:p>
          </xdr:txBody>
        </xdr:sp>
        <xdr:clientData fPrintsWithSheet="0"/>
      </xdr:twoCellAnchor>
    </mc:Choice>
    <mc:Fallback/>
  </mc:AlternateContent>
  <xdr:twoCellAnchor editAs="oneCell">
    <xdr:from>
      <xdr:col>11</xdr:col>
      <xdr:colOff>0</xdr:colOff>
      <xdr:row>2</xdr:row>
      <xdr:rowOff>0</xdr:rowOff>
    </xdr:from>
    <xdr:to>
      <xdr:col>21</xdr:col>
      <xdr:colOff>254000</xdr:colOff>
      <xdr:row>14</xdr:row>
      <xdr:rowOff>63500</xdr:rowOff>
    </xdr:to>
    <xdr:pic>
      <xdr:nvPicPr>
        <xdr:cNvPr id="14" name="Price"/>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01075" y="590550"/>
          <a:ext cx="6350000" cy="2540000"/>
        </a:xfrm>
        <a:prstGeom prst="rect">
          <a:avLst/>
        </a:prstGeom>
      </xdr:spPr>
    </xdr:pic>
    <xdr:clientData/>
  </xdr:twoCellAnchor>
  <xdr:twoCellAnchor editAs="oneCell">
    <xdr:from>
      <xdr:col>11</xdr:col>
      <xdr:colOff>0</xdr:colOff>
      <xdr:row>34</xdr:row>
      <xdr:rowOff>0</xdr:rowOff>
    </xdr:from>
    <xdr:to>
      <xdr:col>21</xdr:col>
      <xdr:colOff>254000</xdr:colOff>
      <xdr:row>47</xdr:row>
      <xdr:rowOff>63500</xdr:rowOff>
    </xdr:to>
    <xdr:pic>
      <xdr:nvPicPr>
        <xdr:cNvPr id="15" name="Bands"/>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01075" y="6877050"/>
          <a:ext cx="6350000" cy="2540000"/>
        </a:xfrm>
        <a:prstGeom prst="rect">
          <a:avLst/>
        </a:prstGeom>
      </xdr:spPr>
    </xdr:pic>
    <xdr:clientData/>
  </xdr:twoCellAnchor>
  <xdr:twoCellAnchor editAs="oneCell">
    <xdr:from>
      <xdr:col>11</xdr:col>
      <xdr:colOff>0</xdr:colOff>
      <xdr:row>51</xdr:row>
      <xdr:rowOff>0</xdr:rowOff>
    </xdr:from>
    <xdr:to>
      <xdr:col>21</xdr:col>
      <xdr:colOff>254000</xdr:colOff>
      <xdr:row>64</xdr:row>
      <xdr:rowOff>63500</xdr:rowOff>
    </xdr:to>
    <xdr:pic>
      <xdr:nvPicPr>
        <xdr:cNvPr id="16" name="MACD"/>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601075" y="10115550"/>
          <a:ext cx="6350000" cy="2540000"/>
        </a:xfrm>
        <a:prstGeom prst="rect">
          <a:avLst/>
        </a:prstGeom>
      </xdr:spPr>
    </xdr:pic>
    <xdr:clientData/>
  </xdr:twoCellAnchor>
  <xdr:twoCellAnchor editAs="oneCell">
    <xdr:from>
      <xdr:col>11</xdr:col>
      <xdr:colOff>0</xdr:colOff>
      <xdr:row>16</xdr:row>
      <xdr:rowOff>0</xdr:rowOff>
    </xdr:from>
    <xdr:to>
      <xdr:col>21</xdr:col>
      <xdr:colOff>254000</xdr:colOff>
      <xdr:row>29</xdr:row>
      <xdr:rowOff>63500</xdr:rowOff>
    </xdr:to>
    <xdr:pic>
      <xdr:nvPicPr>
        <xdr:cNvPr id="17" name="Return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601075" y="3448050"/>
          <a:ext cx="6350000" cy="254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I100"/>
  <sheetViews>
    <sheetView zoomScale="90" zoomScaleNormal="90" workbookViewId="0">
      <selection activeCell="L36" sqref="L36"/>
    </sheetView>
  </sheetViews>
  <sheetFormatPr defaultRowHeight="15" x14ac:dyDescent="0.25"/>
  <cols>
    <col min="2" max="2" width="13.28515625" style="13" bestFit="1" customWidth="1"/>
    <col min="3" max="4" width="11.5703125" style="13" bestFit="1" customWidth="1"/>
    <col min="7" max="7" width="10" bestFit="1" customWidth="1"/>
    <col min="8" max="8" width="9.7109375" bestFit="1" customWidth="1"/>
    <col min="10" max="10" width="4.5703125" customWidth="1"/>
    <col min="11" max="11" width="9.7109375" customWidth="1"/>
    <col min="12" max="12" width="11.5703125" style="13" bestFit="1" customWidth="1"/>
    <col min="13" max="13" width="11.28515625" style="13" customWidth="1"/>
    <col min="14" max="14" width="11.5703125" style="13" bestFit="1" customWidth="1"/>
  </cols>
  <sheetData>
    <row r="1" spans="1:35" x14ac:dyDescent="0.25">
      <c r="A1" s="1"/>
      <c r="B1" s="8"/>
      <c r="C1" s="8"/>
      <c r="D1" s="8"/>
      <c r="E1" s="1"/>
      <c r="F1" s="1"/>
      <c r="G1" s="1"/>
      <c r="H1" s="1"/>
      <c r="I1" s="1"/>
      <c r="J1" s="1"/>
      <c r="K1" s="1"/>
      <c r="L1" s="8"/>
      <c r="M1" s="8"/>
      <c r="N1" s="8"/>
      <c r="O1" s="1"/>
      <c r="P1" s="1"/>
      <c r="Q1" s="1"/>
      <c r="R1" s="1"/>
      <c r="S1" s="1"/>
      <c r="T1" s="1"/>
      <c r="U1" s="1"/>
      <c r="V1" s="6" t="s">
        <v>0</v>
      </c>
    </row>
    <row r="2" spans="1:35" x14ac:dyDescent="0.25">
      <c r="A2" s="1"/>
      <c r="B2" s="8"/>
      <c r="C2" s="8"/>
      <c r="D2" s="8"/>
      <c r="E2" s="1"/>
      <c r="F2" s="2"/>
      <c r="G2" s="2"/>
      <c r="H2" s="2"/>
      <c r="I2" s="1"/>
      <c r="J2" s="2"/>
      <c r="K2" s="2"/>
      <c r="L2" s="9"/>
      <c r="M2" s="9"/>
      <c r="N2" s="8"/>
      <c r="O2" s="1"/>
      <c r="P2" s="1"/>
      <c r="Q2" s="1"/>
      <c r="R2" s="1"/>
      <c r="S2" s="1"/>
      <c r="T2" s="1"/>
      <c r="U2" s="1"/>
      <c r="V2" s="1"/>
    </row>
    <row r="3" spans="1:35" x14ac:dyDescent="0.25">
      <c r="A3" s="1"/>
      <c r="B3" s="9" t="str">
        <f>mrigxl_db_nifty("f2","Macro")</f>
        <v>Moved Permanently
The last 30x error message was:
urllib.error.HTTPError: HTTP Error 301: The HTTP server returned a redirect error that would lead to an infinite loop.
    self.inf_msg + msg, headers, fp)
  File "C:\Users\Santosh Bag\Anaconda3\lib\urllib\request.py", line 746, in http_error_302
    result = func(*args)
  File "C:\Users\Santosh Bag\Anaconda3\lib\urllib\request.py", line 504, in _call_chain
    result = self._call_chain(*args)
  File "C:\Users\Santosh Bag\Anaconda3\lib\urllib\request.py", line 564, in error
    'http', request, response, code, msg, hdrs)
  File "C:\Users\Santosh Bag\Anaconda3\lib\urllib\request.py", line 642, in http_response
    response = meth(req, response)
  File "C:\Users\Santosh Bag\Anaconda3\lib\urllib\request.py", line 532, in open
    return self.parent.open(new, timeout=req.timeout)
  File "C:\Users\Santosh Bag\Anaconda3\lib\urllib\request.py", line 756, in http_error_302
    result = func(*args)
  File "C:\Users\Santosh Bag\Anaconda3\lib\urllib\request.py", line 504, in _call_chain
    result = self._call_chain(*args)
  File "C:\Users\Santosh Bag\Anaconda3\lib\urllib\request.py", line 564, in error
    'http', request, response, code, msg, hdrs)
  File "C:\Users\Santosh Bag\Anaconda3\lib\urllib\request.py", line 642, in http_response
    response = meth(req, response)
  File "C:\Users\Santosh Bag\Anaconda3\lib\urllib\request.py", line 532, in open
    return self.parent.open(new, timeout=req.timeout)
  File "C:\Users\Santosh Bag\Anaconda3\lib\urllib\request.py", line 756, in http_error_302
    result = func(*args)
  File "C:\Users\Santosh Bag\Anaconda3\lib\urllib\request.py", line 504, in _call_chain
    result = self._call_chain(*args)
  File "C:\Users\Santosh Bag\Anaconda3\lib\urllib\request.py", line 564, in error
    'http', request, response, code, msg, hdrs)
  File "C:\Users\Santosh Bag\Anaconda3\lib\urllib\request.py", line 642, in http_response
    response = meth(req, response)
  File "C:\Users\Santosh Bag\Anaconda3\lib\urllib\request.py", line 532, in open
    return self.parent.open(new, timeout=req.timeout)
  File "C:\Users\Santosh Bag\Anaconda3\lib\urllib\request.py", line 756, in http_error_302
    result = func(*args)
  File "C:\Users\Santosh Bag\Anaconda3\lib\urllib\request.py", line 504, in _call_chain
    result = self._call_chain(*args)
  File "C:\Users\Santosh Bag\Anaconda3\lib\urllib\request.py", line 564, in error
    'http', request, response, code, msg, hdrs)
  File "C:\Users\Santosh Bag\Anaconda3\lib\urllib\request.py", line 642, in http_response
    response = meth(req, response)
  File "C:\Users\Santosh Bag\Anaconda3\lib\urllib\request.py", line 532, in open
    return self.parent.open(new, timeout=req.timeout)
  File "C:\Users\Santosh Bag\Anaconda3\lib\urllib\request.py", line 756, in http_error_302
    result = func(*args)
  File "C:\Users\Santosh Bag\Anaconda3\lib\urllib\request.py", line 504, in _call_chain
    result = self._call_chain(*args)
  File "C:\Users\Santosh Bag\Anaconda3\lib\urllib\request.py", line 564, in error
    'http', request, response, code, msg, hdrs)
  File "C:\Users\Santosh Bag\Anaconda3\lib\urllib\request.py", line 642, in http_response
    response = meth(req, response)
  File "C:\Users\Santosh Bag\Anaconda3\lib\urllib\request.py", line 532, in open
    resp = self.opener.open(req)
  File "C:\Users\Santosh Bag\Anaconda3\lib\site-packages\nsetools\nse.py", line 197, in get_index_list
    index_list = self.get_index_list()
  File "C:\Users\Santosh Bag\Anaconda3\lib\site-packages\nsetools\nse.py", line 207, in is_valid_index
    if self.is_valid_index(code):
  File "C:\Users\Santosh Bag\Anaconda3\lib\site-packages\nsetools\nse.py", line 219, in get_index_quote
    indexQuote = nse.get_index_quote(symbol)['lastPrice']
  File "F:\Mrig Analytics\Development\mrigAnalytics\mrigutilities.py", line 461, in getIndexQuote
    todaynifty = mu.getIndexQuote('NIFTY 50')   #niftyrates[0]
  File "f:\mrig analytics\development\mriganalytics\interface\dashboard.py", line 135, in mrigxl_db_nifty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v>
      </c>
      <c r="C3" s="9">
        <v>43469</v>
      </c>
      <c r="D3" s="9">
        <v>43448</v>
      </c>
      <c r="E3" s="1"/>
      <c r="F3" s="3"/>
      <c r="G3" s="3"/>
      <c r="H3" s="3"/>
      <c r="I3" s="1"/>
      <c r="J3" s="3"/>
      <c r="K3" s="3"/>
      <c r="L3" s="9">
        <f>mrigxl_db_rates("o2","Macro")</f>
        <v>43936</v>
      </c>
      <c r="M3" s="9">
        <v>43472</v>
      </c>
      <c r="N3" s="9">
        <v>43448</v>
      </c>
      <c r="O3" s="1"/>
      <c r="P3" s="1"/>
      <c r="Q3" s="1"/>
      <c r="R3" s="1"/>
      <c r="S3" s="1"/>
      <c r="T3" s="1"/>
      <c r="U3" s="1"/>
      <c r="V3" s="1"/>
      <c r="AI3" t="s">
        <v>1866</v>
      </c>
    </row>
    <row r="4" spans="1:35" x14ac:dyDescent="0.25">
      <c r="A4" s="1" t="s">
        <v>5</v>
      </c>
      <c r="B4" s="10">
        <v>10737.6</v>
      </c>
      <c r="C4" s="10">
        <v>10727.35</v>
      </c>
      <c r="D4" s="10">
        <v>10805.45</v>
      </c>
      <c r="E4" s="1"/>
      <c r="F4" s="4"/>
      <c r="G4" s="4"/>
      <c r="H4" s="4"/>
      <c r="I4" s="1"/>
      <c r="J4" s="4"/>
      <c r="K4" s="4" t="s">
        <v>1</v>
      </c>
      <c r="L4" s="11">
        <v>6.6299999999999998E-2</v>
      </c>
      <c r="M4" s="11">
        <v>6.6100000000000006E-2</v>
      </c>
      <c r="N4" s="11">
        <v>6.7000000000000004E-2</v>
      </c>
      <c r="O4" s="1"/>
      <c r="P4" s="1"/>
      <c r="Q4" s="1"/>
      <c r="R4" s="1"/>
      <c r="S4" s="1"/>
      <c r="T4" s="1"/>
      <c r="U4" s="1"/>
      <c r="V4" s="1"/>
    </row>
    <row r="5" spans="1:35" x14ac:dyDescent="0.25">
      <c r="A5" s="7" t="s">
        <v>6</v>
      </c>
      <c r="B5" s="11">
        <v>0</v>
      </c>
      <c r="C5" s="11">
        <v>9.5550159172574922E-4</v>
      </c>
      <c r="D5" s="11">
        <v>-6.279238717499025E-3</v>
      </c>
      <c r="E5" s="1"/>
      <c r="F5" s="1"/>
      <c r="G5" s="1"/>
      <c r="H5" s="1"/>
      <c r="I5" s="1"/>
      <c r="J5" s="1"/>
      <c r="K5" s="1" t="s">
        <v>2</v>
      </c>
      <c r="L5" s="14">
        <v>6.8349999999999994E-2</v>
      </c>
      <c r="M5" s="14">
        <v>6.8409999999999999E-2</v>
      </c>
      <c r="N5" s="14">
        <v>6.9779999999999995E-2</v>
      </c>
      <c r="O5" s="1"/>
      <c r="P5" s="1"/>
      <c r="Q5" s="1"/>
      <c r="R5" s="1"/>
      <c r="S5" s="1"/>
      <c r="T5" s="1"/>
      <c r="U5" s="1"/>
      <c r="V5" s="1"/>
    </row>
    <row r="6" spans="1:35" x14ac:dyDescent="0.25">
      <c r="A6" s="1"/>
      <c r="B6" s="8"/>
      <c r="C6" s="8"/>
      <c r="D6" s="8"/>
      <c r="E6" s="1"/>
      <c r="F6" s="1"/>
      <c r="G6" s="5"/>
      <c r="H6" s="1"/>
      <c r="I6" s="1"/>
      <c r="J6" s="1"/>
      <c r="K6" s="1"/>
      <c r="L6" s="9">
        <v>43479</v>
      </c>
      <c r="M6" s="9">
        <v>43472</v>
      </c>
      <c r="N6" s="9">
        <v>43448</v>
      </c>
      <c r="O6" s="1"/>
      <c r="P6" s="1"/>
      <c r="Q6" s="1"/>
      <c r="R6" s="1"/>
      <c r="S6" s="1"/>
      <c r="T6" s="1"/>
      <c r="U6" s="1"/>
      <c r="V6" s="1"/>
    </row>
    <row r="7" spans="1:35" x14ac:dyDescent="0.25">
      <c r="A7" s="1"/>
      <c r="B7" s="9"/>
      <c r="C7" s="9"/>
      <c r="D7" s="9"/>
      <c r="E7" s="1"/>
      <c r="F7" s="1"/>
      <c r="G7" s="1"/>
      <c r="H7" s="1"/>
      <c r="I7" s="1"/>
      <c r="J7" s="1"/>
      <c r="K7" s="1" t="s">
        <v>3</v>
      </c>
      <c r="L7" s="15">
        <v>2.4219999999999998E-2</v>
      </c>
      <c r="M7" s="15">
        <v>2.4240000000000001E-2</v>
      </c>
      <c r="N7" s="15">
        <v>2.4279999999999999E-2</v>
      </c>
      <c r="O7" s="1"/>
      <c r="P7" s="1"/>
      <c r="Q7" s="1"/>
      <c r="R7" s="1"/>
      <c r="S7" s="1"/>
      <c r="T7" s="1"/>
      <c r="U7" s="1"/>
      <c r="V7" s="1"/>
    </row>
    <row r="8" spans="1:35" x14ac:dyDescent="0.25">
      <c r="A8" s="1"/>
      <c r="B8" s="12"/>
      <c r="C8" s="12"/>
      <c r="D8" s="12"/>
      <c r="E8" s="1"/>
      <c r="F8" s="1"/>
      <c r="G8" s="1"/>
      <c r="H8" s="1"/>
      <c r="I8" s="1"/>
      <c r="J8" s="1"/>
      <c r="K8" s="1" t="s">
        <v>4</v>
      </c>
      <c r="L8" s="16">
        <v>2.58E-2</v>
      </c>
      <c r="M8" s="16">
        <v>2.5729999999999999E-2</v>
      </c>
      <c r="N8" s="16">
        <v>2.6880000000000001E-2</v>
      </c>
      <c r="O8" s="1"/>
      <c r="P8" s="1"/>
      <c r="Q8" s="1"/>
      <c r="R8" s="1"/>
      <c r="S8" s="1"/>
      <c r="T8" s="1"/>
      <c r="U8" s="1"/>
      <c r="V8" s="1"/>
    </row>
    <row r="9" spans="1:35" ht="15.75" thickBot="1" x14ac:dyDescent="0.3">
      <c r="A9" s="1"/>
      <c r="B9" s="8"/>
      <c r="C9" s="8"/>
      <c r="D9" s="8"/>
      <c r="E9" s="1"/>
      <c r="F9" s="1"/>
      <c r="G9" s="1"/>
      <c r="H9" s="1"/>
      <c r="I9" s="1"/>
      <c r="J9" s="1"/>
      <c r="K9" s="1"/>
      <c r="L9" s="8"/>
      <c r="M9" s="8"/>
      <c r="N9" s="8"/>
      <c r="O9" s="1"/>
      <c r="P9" s="1"/>
      <c r="Q9" s="1"/>
      <c r="R9" s="1"/>
      <c r="S9" s="1"/>
      <c r="T9" s="1"/>
      <c r="U9" s="1"/>
      <c r="V9" s="1"/>
    </row>
    <row r="10" spans="1:35" ht="15.75" thickBot="1" x14ac:dyDescent="0.3">
      <c r="A10" s="1"/>
      <c r="B10" s="9">
        <f>mrigxl_db_fx("f9","Macro")</f>
        <v>43935</v>
      </c>
      <c r="C10" s="9">
        <v>43471</v>
      </c>
      <c r="D10" s="9">
        <v>43448</v>
      </c>
      <c r="E10" s="1"/>
      <c r="F10" s="1"/>
      <c r="G10" s="1"/>
      <c r="H10" s="1"/>
      <c r="I10" s="1"/>
      <c r="J10" s="1"/>
      <c r="K10" s="37" t="s">
        <v>1856</v>
      </c>
      <c r="L10" s="34" t="s">
        <v>81</v>
      </c>
      <c r="M10" s="8"/>
      <c r="N10" s="8"/>
      <c r="O10" s="1"/>
      <c r="P10" s="1"/>
      <c r="Q10" s="1"/>
      <c r="R10" s="1"/>
      <c r="S10" s="1"/>
      <c r="T10" s="1"/>
      <c r="U10" s="1"/>
      <c r="V10" s="1"/>
    </row>
    <row r="11" spans="1:35" x14ac:dyDescent="0.25">
      <c r="A11" s="1" t="s">
        <v>7</v>
      </c>
      <c r="B11" s="10">
        <v>70.38</v>
      </c>
      <c r="C11" s="10">
        <v>69.430000000000007</v>
      </c>
      <c r="D11" s="10">
        <v>71.92</v>
      </c>
      <c r="E11" s="1"/>
      <c r="F11" s="1"/>
      <c r="G11" s="1"/>
      <c r="H11" s="1"/>
      <c r="I11" s="1"/>
      <c r="J11" s="1"/>
      <c r="K11" s="1"/>
      <c r="L11" s="20" t="str">
        <f>mrigxl_top_mf_holdings("n11",L10,"Macro")</f>
        <v>Top MF Holdings</v>
      </c>
      <c r="M11" s="21" t="s">
        <v>19</v>
      </c>
      <c r="N11" s="8"/>
      <c r="O11" s="1"/>
      <c r="P11" s="1"/>
      <c r="Q11" s="1"/>
      <c r="R11" s="1"/>
      <c r="S11" s="1"/>
      <c r="T11" s="1"/>
      <c r="U11" s="1"/>
      <c r="V11" s="1"/>
    </row>
    <row r="12" spans="1:35" x14ac:dyDescent="0.25">
      <c r="A12" s="7" t="s">
        <v>8</v>
      </c>
      <c r="B12" s="11">
        <v>5.9424464113594551E-4</v>
      </c>
      <c r="C12" s="11">
        <v>1.3718715208113991E-2</v>
      </c>
      <c r="D12" s="11">
        <v>-2.1403564387271874E-2</v>
      </c>
      <c r="E12" s="1"/>
      <c r="F12" s="1"/>
      <c r="G12" s="1"/>
      <c r="H12" s="1"/>
      <c r="I12" s="1"/>
      <c r="J12" s="1"/>
      <c r="K12" s="1"/>
      <c r="L12" s="18" t="s">
        <v>13</v>
      </c>
      <c r="M12" s="17">
        <v>1.6315152761921744E-2</v>
      </c>
      <c r="N12" s="8"/>
      <c r="O12" s="1"/>
      <c r="P12" s="1"/>
      <c r="Q12" s="1"/>
      <c r="R12" s="1"/>
      <c r="S12" s="1"/>
      <c r="T12" s="1"/>
      <c r="U12" s="1"/>
      <c r="V12" s="1"/>
    </row>
    <row r="13" spans="1:35" x14ac:dyDescent="0.25">
      <c r="A13" s="1"/>
      <c r="B13" s="8"/>
      <c r="C13" s="8"/>
      <c r="D13" s="8"/>
      <c r="E13" s="1"/>
      <c r="F13" s="1"/>
      <c r="G13" s="1"/>
      <c r="H13" s="1"/>
      <c r="I13" s="1"/>
      <c r="J13" s="1"/>
      <c r="K13" s="1"/>
      <c r="L13" s="18" t="s">
        <v>1853</v>
      </c>
      <c r="M13" s="17">
        <v>8.585647391752875E-2</v>
      </c>
      <c r="N13" s="8"/>
      <c r="O13" s="1"/>
      <c r="P13" s="1"/>
      <c r="Q13" s="1"/>
      <c r="R13" s="1"/>
      <c r="S13" s="1"/>
      <c r="T13" s="1"/>
      <c r="U13" s="1"/>
      <c r="V13" s="1"/>
    </row>
    <row r="14" spans="1:35" x14ac:dyDescent="0.25">
      <c r="A14" s="1"/>
      <c r="B14" s="8"/>
      <c r="C14" s="8"/>
      <c r="D14" s="8"/>
      <c r="E14" s="1"/>
      <c r="F14" s="1"/>
      <c r="G14" s="1"/>
      <c r="H14" s="1"/>
      <c r="I14" s="1"/>
      <c r="J14" s="1"/>
      <c r="K14" s="1"/>
      <c r="L14" s="18" t="s">
        <v>16</v>
      </c>
      <c r="M14" s="17">
        <v>-4.2855879717212761E-2</v>
      </c>
      <c r="N14" s="8"/>
      <c r="O14" s="1"/>
      <c r="P14" s="1"/>
      <c r="Q14" s="1"/>
      <c r="R14" s="1"/>
      <c r="S14" s="1"/>
      <c r="T14" s="1"/>
      <c r="U14" s="1"/>
      <c r="V14" s="1"/>
    </row>
    <row r="15" spans="1:35" x14ac:dyDescent="0.25">
      <c r="A15" s="1"/>
      <c r="B15" s="8"/>
      <c r="C15" s="8"/>
      <c r="D15" s="8"/>
      <c r="E15" s="1"/>
      <c r="F15" s="1"/>
      <c r="G15" s="1"/>
      <c r="H15" s="1"/>
      <c r="I15" s="1"/>
      <c r="J15" s="1"/>
      <c r="K15" s="1"/>
      <c r="L15" s="18" t="s">
        <v>17</v>
      </c>
      <c r="M15" s="17">
        <v>-7.4922780014140822E-2</v>
      </c>
      <c r="N15" s="8"/>
      <c r="O15" s="1"/>
      <c r="P15" s="1"/>
      <c r="Q15" s="1"/>
      <c r="R15" s="1"/>
      <c r="S15" s="1"/>
      <c r="T15" s="1"/>
      <c r="U15" s="1"/>
      <c r="V15" s="1"/>
    </row>
    <row r="16" spans="1:35" x14ac:dyDescent="0.25">
      <c r="A16" s="1"/>
      <c r="B16" s="8"/>
      <c r="C16" s="8"/>
      <c r="D16" s="8"/>
      <c r="E16" s="1"/>
      <c r="F16" s="1"/>
      <c r="G16" s="1"/>
      <c r="H16" s="1"/>
      <c r="I16" s="1"/>
      <c r="J16" s="1"/>
      <c r="K16" s="1"/>
      <c r="L16" s="18" t="s">
        <v>15</v>
      </c>
      <c r="M16" s="17">
        <v>-0.71834354151383462</v>
      </c>
      <c r="N16" s="8"/>
      <c r="O16" s="1"/>
      <c r="P16" s="1"/>
      <c r="Q16" s="1"/>
      <c r="R16" s="1"/>
      <c r="S16" s="1"/>
      <c r="T16" s="1"/>
      <c r="U16" s="1"/>
      <c r="V16" s="1"/>
    </row>
    <row r="17" spans="1:22" x14ac:dyDescent="0.25">
      <c r="A17" s="1"/>
      <c r="B17" s="9">
        <f>mrigxl_db_crude("f16","Macro")</f>
        <v>43927</v>
      </c>
      <c r="C17" s="9">
        <v>43460</v>
      </c>
      <c r="D17" s="9">
        <v>43448</v>
      </c>
      <c r="E17" s="1"/>
      <c r="F17" s="1"/>
      <c r="G17" s="1"/>
      <c r="H17" s="1"/>
      <c r="I17" s="1"/>
      <c r="J17" s="1"/>
      <c r="K17" s="1"/>
      <c r="L17" s="18" t="s">
        <v>1854</v>
      </c>
      <c r="M17" s="17">
        <v>-7.6495769143180084E-4</v>
      </c>
      <c r="N17" s="8"/>
      <c r="O17" s="1"/>
      <c r="P17" s="1"/>
      <c r="Q17" s="1"/>
      <c r="R17" s="1"/>
      <c r="S17" s="1"/>
      <c r="T17" s="1"/>
      <c r="U17" s="1"/>
      <c r="V17" s="1"/>
    </row>
    <row r="18" spans="1:22" x14ac:dyDescent="0.25">
      <c r="A18" s="1" t="s">
        <v>10</v>
      </c>
      <c r="B18" s="10">
        <v>57.1</v>
      </c>
      <c r="C18" s="10">
        <v>51.93</v>
      </c>
      <c r="D18" s="10">
        <v>58.56</v>
      </c>
      <c r="E18" s="1"/>
      <c r="F18" s="1"/>
      <c r="G18" s="1"/>
      <c r="H18" s="1"/>
      <c r="I18" s="1"/>
      <c r="J18" s="1"/>
      <c r="K18" s="1"/>
      <c r="L18" s="18" t="s">
        <v>42</v>
      </c>
      <c r="M18" s="17">
        <v>-5.9185859359082594E-3</v>
      </c>
      <c r="N18" s="8"/>
      <c r="O18" s="1"/>
      <c r="P18" s="1"/>
      <c r="Q18" s="1"/>
      <c r="R18" s="1"/>
      <c r="S18" s="1"/>
      <c r="T18" s="1"/>
      <c r="U18" s="1"/>
      <c r="V18" s="1"/>
    </row>
    <row r="19" spans="1:22" x14ac:dyDescent="0.25">
      <c r="A19" s="7" t="s">
        <v>9</v>
      </c>
      <c r="B19" s="11">
        <v>2.6240115025161753E-2</v>
      </c>
      <c r="C19" s="11">
        <v>9.9557096090891584E-2</v>
      </c>
      <c r="D19" s="11">
        <v>-2.4931693989071038E-2</v>
      </c>
      <c r="E19" s="1"/>
      <c r="F19" s="1"/>
      <c r="G19" s="1"/>
      <c r="H19" s="1"/>
      <c r="I19" s="1"/>
      <c r="J19" s="1"/>
      <c r="K19" s="1"/>
      <c r="L19" s="18" t="s">
        <v>14</v>
      </c>
      <c r="M19" s="17">
        <v>-7.8834586884488789E-3</v>
      </c>
      <c r="N19" s="8"/>
      <c r="O19" s="1"/>
      <c r="P19" s="1"/>
      <c r="Q19" s="1"/>
      <c r="R19" s="1"/>
      <c r="S19" s="1"/>
      <c r="T19" s="1"/>
      <c r="U19" s="1"/>
      <c r="V19" s="1"/>
    </row>
    <row r="20" spans="1:22" x14ac:dyDescent="0.25">
      <c r="A20" s="1"/>
      <c r="B20" s="8"/>
      <c r="C20" s="8"/>
      <c r="D20" s="8"/>
      <c r="E20" s="1"/>
      <c r="F20" s="1"/>
      <c r="G20" s="1"/>
      <c r="H20" s="1"/>
      <c r="I20" s="1"/>
      <c r="J20" s="1"/>
      <c r="K20" s="1"/>
      <c r="L20" s="18" t="s">
        <v>18</v>
      </c>
      <c r="M20" s="17">
        <v>-9.3906127187988103E-2</v>
      </c>
      <c r="N20" s="8"/>
      <c r="O20" s="1"/>
      <c r="P20" s="1"/>
      <c r="Q20" s="1"/>
      <c r="R20" s="1"/>
      <c r="S20" s="1"/>
      <c r="T20" s="1"/>
      <c r="U20" s="1"/>
      <c r="V20" s="1"/>
    </row>
    <row r="21" spans="1:22" x14ac:dyDescent="0.25">
      <c r="A21" s="1"/>
      <c r="B21" s="8"/>
      <c r="C21" s="8"/>
      <c r="D21" s="8"/>
      <c r="E21" s="1"/>
      <c r="F21" s="1"/>
      <c r="G21" s="1"/>
      <c r="H21" s="1"/>
      <c r="I21" s="1"/>
      <c r="J21" s="1"/>
      <c r="K21" s="1"/>
      <c r="L21" s="19" t="s">
        <v>45</v>
      </c>
      <c r="M21" s="17">
        <v>4.361658523910987E-2</v>
      </c>
      <c r="N21" s="8"/>
      <c r="O21" s="1"/>
      <c r="P21" s="1"/>
      <c r="Q21" s="1"/>
      <c r="R21" s="1"/>
      <c r="S21" s="1"/>
      <c r="T21" s="1"/>
      <c r="U21" s="1"/>
      <c r="V21" s="1"/>
    </row>
    <row r="22" spans="1:22" x14ac:dyDescent="0.25">
      <c r="A22" s="1"/>
      <c r="B22" s="8"/>
      <c r="C22" s="8"/>
      <c r="D22" s="8"/>
      <c r="E22" s="1"/>
      <c r="F22" s="1"/>
      <c r="G22" s="1"/>
      <c r="H22" s="1"/>
      <c r="I22" s="1"/>
      <c r="J22" s="1"/>
      <c r="K22" s="1"/>
      <c r="L22" s="8"/>
      <c r="M22" s="8"/>
      <c r="N22" s="8"/>
      <c r="O22" s="1"/>
      <c r="P22" s="1"/>
      <c r="Q22" s="1"/>
      <c r="R22" s="1"/>
      <c r="S22" s="1"/>
      <c r="T22" s="1"/>
      <c r="U22" s="1"/>
      <c r="V22" s="1"/>
    </row>
    <row r="23" spans="1:22" x14ac:dyDescent="0.25">
      <c r="A23" s="1"/>
      <c r="B23" s="8"/>
      <c r="C23" s="8"/>
      <c r="D23" s="8"/>
      <c r="E23" s="1"/>
      <c r="F23" s="1"/>
      <c r="G23" s="1"/>
      <c r="H23" s="1"/>
      <c r="I23" s="1"/>
      <c r="J23" s="1"/>
      <c r="K23" s="1"/>
      <c r="L23" s="8"/>
      <c r="M23" s="8"/>
      <c r="N23" s="8"/>
      <c r="O23" s="1"/>
      <c r="P23" s="1"/>
      <c r="Q23" s="1"/>
      <c r="R23" s="1"/>
      <c r="S23" s="1"/>
      <c r="T23" s="1"/>
      <c r="U23" s="1"/>
      <c r="V23" s="1"/>
    </row>
    <row r="24" spans="1:22" ht="15.75" thickBot="1" x14ac:dyDescent="0.3">
      <c r="A24" s="1"/>
      <c r="B24" s="9" t="str">
        <f>mrigxl_db_gold("f23","Macro")</f>
        <v>IndexError: list index out of range
    lastweekgold = goldrates[6]
  File "f:\mrig analytics\development\mriganalytics\interface\dashboard.py", line 184, in mrigxl_db_gold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v>
      </c>
      <c r="C24" s="9">
        <v>43426</v>
      </c>
      <c r="D24" s="9">
        <v>43425</v>
      </c>
      <c r="E24" s="1"/>
      <c r="F24" s="1"/>
      <c r="G24" s="1"/>
      <c r="H24" s="1"/>
      <c r="I24" s="1"/>
      <c r="J24" s="1"/>
      <c r="K24" s="1"/>
      <c r="L24" s="8"/>
      <c r="M24" s="8"/>
      <c r="N24" s="8"/>
      <c r="O24" s="1"/>
      <c r="P24" s="1"/>
      <c r="Q24" s="1"/>
      <c r="R24" s="1"/>
      <c r="S24" s="1"/>
      <c r="T24" s="1"/>
      <c r="U24" s="1"/>
      <c r="V24" s="1"/>
    </row>
    <row r="25" spans="1:22" ht="15.75" thickBot="1" x14ac:dyDescent="0.3">
      <c r="A25" s="1" t="s">
        <v>11</v>
      </c>
      <c r="B25" s="10">
        <v>1252.75</v>
      </c>
      <c r="C25" s="10">
        <v>1228.6500000000001</v>
      </c>
      <c r="D25" s="10">
        <v>1223.2</v>
      </c>
      <c r="E25" s="1"/>
      <c r="F25" s="1"/>
      <c r="G25" s="1"/>
      <c r="H25" s="1"/>
      <c r="I25" s="1"/>
      <c r="J25" s="1"/>
      <c r="K25" s="37" t="s">
        <v>1856</v>
      </c>
      <c r="L25" s="34" t="s">
        <v>81</v>
      </c>
      <c r="M25" s="8"/>
      <c r="N25" s="8"/>
      <c r="O25" s="1"/>
      <c r="P25" s="1"/>
      <c r="Q25" s="1"/>
      <c r="R25" s="1"/>
      <c r="S25" s="1"/>
      <c r="T25" s="1"/>
      <c r="U25" s="1"/>
      <c r="V25" s="1"/>
    </row>
    <row r="26" spans="1:22" x14ac:dyDescent="0.25">
      <c r="A26" s="7" t="s">
        <v>12</v>
      </c>
      <c r="B26" s="11">
        <v>8.1845836887765779E-3</v>
      </c>
      <c r="C26" s="11">
        <v>1.9615024620518454E-2</v>
      </c>
      <c r="D26" s="11">
        <v>2.4157946370176587E-2</v>
      </c>
      <c r="E26" s="1"/>
      <c r="F26" s="1"/>
      <c r="G26" s="1"/>
      <c r="H26" s="1"/>
      <c r="I26" s="1"/>
      <c r="J26" s="1"/>
      <c r="K26" s="1"/>
      <c r="L26" s="20" t="str">
        <f ca="1">mrigxl_nifty_sectors("n27",L25,"Macro")</f>
        <v>Sectors</v>
      </c>
      <c r="M26" s="21" t="s">
        <v>19</v>
      </c>
      <c r="N26" s="8"/>
      <c r="O26" s="1"/>
      <c r="P26" s="1"/>
      <c r="Q26" s="1"/>
      <c r="R26" s="1"/>
      <c r="S26" s="1"/>
      <c r="T26" s="1"/>
      <c r="U26" s="1"/>
      <c r="V26" s="1"/>
    </row>
    <row r="27" spans="1:22" x14ac:dyDescent="0.25">
      <c r="A27" s="1"/>
      <c r="B27" s="8"/>
      <c r="C27" s="8"/>
      <c r="D27" s="8"/>
      <c r="E27" s="1"/>
      <c r="F27" s="1"/>
      <c r="G27" s="1"/>
      <c r="H27" s="1"/>
      <c r="I27" s="1"/>
      <c r="J27" s="1"/>
      <c r="K27" s="1"/>
      <c r="L27" s="18" t="s">
        <v>1859</v>
      </c>
      <c r="M27" s="17">
        <v>-0.32730383959807618</v>
      </c>
      <c r="N27" s="8"/>
      <c r="O27" s="1"/>
      <c r="P27" s="1"/>
      <c r="Q27" s="1"/>
      <c r="R27" s="1"/>
      <c r="S27" s="1"/>
      <c r="T27" s="1"/>
      <c r="U27" s="1"/>
      <c r="V27" s="1"/>
    </row>
    <row r="28" spans="1:22" x14ac:dyDescent="0.25">
      <c r="A28" s="1"/>
      <c r="B28" s="8"/>
      <c r="C28" s="8"/>
      <c r="D28" s="8"/>
      <c r="E28" s="1"/>
      <c r="F28" s="1"/>
      <c r="G28" s="1"/>
      <c r="H28" s="1"/>
      <c r="I28" s="1"/>
      <c r="J28" s="1"/>
      <c r="K28" s="1"/>
      <c r="L28" s="18" t="s">
        <v>1860</v>
      </c>
      <c r="M28" s="17">
        <v>-0.21537727985780958</v>
      </c>
      <c r="N28" s="8"/>
      <c r="O28" s="1"/>
      <c r="P28" s="1"/>
      <c r="Q28" s="1"/>
      <c r="R28" s="1"/>
      <c r="S28" s="1"/>
      <c r="T28" s="1"/>
      <c r="U28" s="1"/>
      <c r="V28" s="1"/>
    </row>
    <row r="29" spans="1:22" x14ac:dyDescent="0.25">
      <c r="A29" s="1"/>
      <c r="B29" s="8"/>
      <c r="C29" s="8"/>
      <c r="D29" s="8"/>
      <c r="E29" s="1"/>
      <c r="F29" s="1"/>
      <c r="G29" s="1"/>
      <c r="H29" s="1"/>
      <c r="I29" s="1"/>
      <c r="J29" s="1"/>
      <c r="K29" s="1"/>
      <c r="L29" s="18" t="s">
        <v>1861</v>
      </c>
      <c r="M29" s="17">
        <v>3.9960690015863488E-3</v>
      </c>
      <c r="N29" s="8"/>
      <c r="O29" s="1"/>
      <c r="P29" s="1"/>
      <c r="Q29" s="1"/>
      <c r="R29" s="1"/>
      <c r="S29" s="1"/>
      <c r="T29" s="1"/>
      <c r="U29" s="1"/>
      <c r="V29" s="1"/>
    </row>
    <row r="30" spans="1:22" x14ac:dyDescent="0.25">
      <c r="A30" s="1"/>
      <c r="B30" s="8"/>
      <c r="C30" s="8"/>
      <c r="D30" s="8"/>
      <c r="E30" s="1"/>
      <c r="F30" s="1"/>
      <c r="G30" s="1"/>
      <c r="H30" s="1"/>
      <c r="I30" s="1"/>
      <c r="J30" s="1"/>
      <c r="K30" s="1"/>
      <c r="L30" s="18" t="s">
        <v>1862</v>
      </c>
      <c r="M30" s="17">
        <v>0.16471282273637516</v>
      </c>
      <c r="N30" s="8"/>
      <c r="O30" s="1"/>
      <c r="P30" s="1"/>
      <c r="Q30" s="1"/>
      <c r="R30" s="1"/>
      <c r="S30" s="1"/>
      <c r="T30" s="1"/>
      <c r="U30" s="1"/>
      <c r="V30" s="1"/>
    </row>
    <row r="31" spans="1:22" x14ac:dyDescent="0.25">
      <c r="A31" s="1"/>
      <c r="B31" s="8"/>
      <c r="C31" s="8"/>
      <c r="D31" s="8"/>
      <c r="E31" s="1"/>
      <c r="F31" s="1"/>
      <c r="G31" s="1"/>
      <c r="H31" s="1"/>
      <c r="I31" s="1"/>
      <c r="J31" s="1"/>
      <c r="K31" s="1"/>
      <c r="L31" s="18" t="s">
        <v>1863</v>
      </c>
      <c r="M31" s="17">
        <v>-0.23659803841684207</v>
      </c>
      <c r="N31" s="8"/>
      <c r="O31" s="1"/>
      <c r="P31" s="1"/>
      <c r="Q31" s="1"/>
      <c r="R31" s="1"/>
      <c r="S31" s="1"/>
      <c r="T31" s="1"/>
      <c r="U31" s="1"/>
      <c r="V31" s="1"/>
    </row>
    <row r="32" spans="1:22" x14ac:dyDescent="0.25">
      <c r="A32" s="1"/>
      <c r="B32" s="8"/>
      <c r="C32" s="8"/>
      <c r="D32" s="8"/>
      <c r="E32" s="1"/>
      <c r="F32" s="1"/>
      <c r="G32" s="1"/>
      <c r="H32" s="1"/>
      <c r="I32" s="1"/>
      <c r="J32" s="1"/>
      <c r="K32" s="1"/>
      <c r="L32" s="18" t="s">
        <v>1864</v>
      </c>
      <c r="M32" s="17">
        <v>-0.160993759460379</v>
      </c>
      <c r="N32" s="8"/>
      <c r="O32" s="1"/>
      <c r="P32" s="1"/>
      <c r="Q32" s="1"/>
      <c r="R32" s="1"/>
      <c r="S32" s="1"/>
      <c r="T32" s="1"/>
      <c r="U32" s="1"/>
      <c r="V32" s="1"/>
    </row>
    <row r="33" spans="1:22" x14ac:dyDescent="0.25">
      <c r="A33" s="1"/>
      <c r="B33" s="8"/>
      <c r="C33" s="8"/>
      <c r="D33" s="8"/>
      <c r="E33" s="1"/>
      <c r="F33" s="1"/>
      <c r="G33" s="1"/>
      <c r="H33" s="1"/>
      <c r="I33" s="1"/>
      <c r="J33" s="1"/>
      <c r="K33" s="1"/>
      <c r="L33" s="18" t="s">
        <v>2586</v>
      </c>
      <c r="M33" s="17">
        <v>0.12214253035791925</v>
      </c>
      <c r="N33" s="8"/>
      <c r="O33" s="1"/>
      <c r="P33" s="1"/>
      <c r="Q33" s="1"/>
      <c r="R33" s="1"/>
      <c r="S33" s="1"/>
      <c r="T33" s="1"/>
      <c r="U33" s="1"/>
      <c r="V33" s="1"/>
    </row>
    <row r="34" spans="1:22" x14ac:dyDescent="0.25">
      <c r="A34" s="1"/>
      <c r="B34" s="8"/>
      <c r="C34" s="8"/>
      <c r="D34" s="8"/>
      <c r="E34" s="1"/>
      <c r="F34" s="1"/>
      <c r="G34" s="1"/>
      <c r="H34" s="1"/>
      <c r="I34" s="1"/>
      <c r="J34" s="1"/>
      <c r="K34" s="1"/>
      <c r="L34" s="8" t="s">
        <v>1865</v>
      </c>
      <c r="M34" s="8">
        <v>-0.23712723665634158</v>
      </c>
      <c r="N34" s="8"/>
      <c r="O34" s="1"/>
      <c r="P34" s="1"/>
      <c r="Q34" s="1"/>
      <c r="R34" s="1"/>
      <c r="S34" s="1"/>
      <c r="T34" s="1"/>
      <c r="U34" s="1"/>
      <c r="V34" s="1"/>
    </row>
    <row r="35" spans="1:22" x14ac:dyDescent="0.25">
      <c r="A35" s="1"/>
      <c r="B35" s="8"/>
      <c r="C35" s="8"/>
      <c r="D35" s="8"/>
      <c r="E35" s="1"/>
      <c r="F35" s="1"/>
      <c r="G35" s="1"/>
      <c r="H35" s="1"/>
      <c r="I35" s="1"/>
      <c r="J35" s="1"/>
      <c r="K35" s="1"/>
      <c r="L35" s="8"/>
      <c r="M35" s="8"/>
      <c r="N35" s="8"/>
      <c r="O35" s="1"/>
      <c r="P35" s="1"/>
      <c r="Q35" s="1"/>
      <c r="R35" s="1"/>
      <c r="S35" s="1"/>
      <c r="T35" s="1"/>
      <c r="U35" s="1"/>
      <c r="V35" s="1"/>
    </row>
    <row r="36" spans="1:22" x14ac:dyDescent="0.25">
      <c r="A36" s="1"/>
      <c r="B36" s="8"/>
      <c r="C36" s="8"/>
      <c r="D36" s="8"/>
      <c r="E36" s="1"/>
      <c r="F36" s="1"/>
      <c r="G36" s="1"/>
      <c r="H36" s="1"/>
      <c r="I36" s="1"/>
      <c r="J36" s="1"/>
      <c r="K36" s="1"/>
      <c r="L36" s="8"/>
      <c r="M36" s="8"/>
      <c r="N36" s="8"/>
      <c r="O36" s="1"/>
      <c r="P36" s="1"/>
      <c r="Q36" s="1"/>
      <c r="R36" s="1"/>
      <c r="S36" s="1"/>
      <c r="T36" s="1"/>
      <c r="U36" s="1"/>
      <c r="V36" s="1"/>
    </row>
    <row r="37" spans="1:22" x14ac:dyDescent="0.25">
      <c r="A37" s="1"/>
      <c r="B37" s="8"/>
      <c r="C37" s="8"/>
      <c r="D37" s="8"/>
      <c r="E37" s="1"/>
      <c r="F37" s="1"/>
      <c r="G37" s="1"/>
      <c r="H37" s="1"/>
      <c r="I37" s="1"/>
      <c r="J37" s="1"/>
      <c r="K37" s="1"/>
      <c r="L37" s="8"/>
      <c r="M37" s="8"/>
      <c r="N37" s="8"/>
      <c r="O37" s="1"/>
      <c r="P37" s="1"/>
      <c r="Q37" s="1"/>
      <c r="R37" s="1"/>
      <c r="S37" s="1"/>
      <c r="T37" s="1"/>
      <c r="U37" s="1"/>
      <c r="V37" s="1"/>
    </row>
    <row r="38" spans="1:22" x14ac:dyDescent="0.25">
      <c r="A38" s="1"/>
      <c r="B38" s="8"/>
      <c r="C38" s="8"/>
      <c r="D38" s="8"/>
      <c r="E38" s="1"/>
      <c r="F38" s="1"/>
      <c r="G38" s="1"/>
      <c r="H38" s="1"/>
      <c r="I38" s="1"/>
      <c r="J38" s="1"/>
      <c r="K38" s="1"/>
      <c r="L38" s="8"/>
      <c r="M38" s="8"/>
      <c r="N38" s="8"/>
      <c r="O38" s="1"/>
      <c r="P38" s="1"/>
      <c r="Q38" s="1"/>
      <c r="R38" s="1"/>
      <c r="S38" s="1"/>
      <c r="T38" s="1"/>
      <c r="U38" s="1"/>
      <c r="V38" s="1"/>
    </row>
    <row r="39" spans="1:22" x14ac:dyDescent="0.25">
      <c r="A39" s="1"/>
      <c r="B39" s="8"/>
      <c r="C39" s="8"/>
      <c r="D39" s="8"/>
      <c r="E39" s="1"/>
      <c r="F39" s="1"/>
      <c r="G39" s="1"/>
      <c r="H39" s="1"/>
      <c r="I39" s="1"/>
      <c r="J39" s="1"/>
      <c r="K39" s="1"/>
      <c r="L39" s="8"/>
      <c r="M39" s="8"/>
      <c r="N39" s="8"/>
      <c r="O39" s="1"/>
      <c r="P39" s="1"/>
      <c r="Q39" s="1"/>
      <c r="R39" s="1"/>
      <c r="S39" s="1"/>
      <c r="T39" s="1"/>
      <c r="U39" s="1"/>
      <c r="V39" s="1"/>
    </row>
    <row r="40" spans="1:22" x14ac:dyDescent="0.25">
      <c r="A40" s="1"/>
      <c r="B40" s="8"/>
      <c r="C40" s="8"/>
      <c r="D40" s="8"/>
      <c r="E40" s="1"/>
      <c r="F40" s="1"/>
      <c r="G40" s="1"/>
      <c r="H40" s="1"/>
      <c r="I40" s="1"/>
      <c r="J40" s="1"/>
      <c r="K40" s="1"/>
      <c r="L40" s="8"/>
      <c r="M40" s="8"/>
      <c r="N40" s="8"/>
      <c r="O40" s="1"/>
      <c r="P40" s="1"/>
      <c r="Q40" s="1"/>
      <c r="R40" s="1"/>
      <c r="S40" s="1"/>
      <c r="T40" s="1"/>
      <c r="U40" s="1"/>
      <c r="V40" s="1"/>
    </row>
    <row r="41" spans="1:22" x14ac:dyDescent="0.25">
      <c r="A41" s="1"/>
      <c r="B41" s="8"/>
      <c r="C41" s="8"/>
      <c r="D41" s="8"/>
      <c r="E41" s="1"/>
      <c r="F41" s="1"/>
      <c r="G41" s="1"/>
      <c r="H41" s="1"/>
      <c r="I41" s="1"/>
      <c r="J41" s="1"/>
      <c r="K41" s="1"/>
      <c r="L41" s="8"/>
      <c r="M41" s="8"/>
      <c r="N41" s="8"/>
      <c r="O41" s="1"/>
      <c r="P41" s="1"/>
      <c r="Q41" s="1"/>
      <c r="R41" s="1"/>
      <c r="S41" s="1"/>
      <c r="T41" s="1"/>
      <c r="U41" s="1"/>
      <c r="V41" s="1"/>
    </row>
    <row r="42" spans="1:22" x14ac:dyDescent="0.25">
      <c r="A42" s="1"/>
      <c r="B42" s="8"/>
      <c r="C42" s="8"/>
      <c r="D42" s="8"/>
      <c r="E42" s="1"/>
      <c r="F42" s="1"/>
      <c r="G42" s="1"/>
      <c r="H42" s="1"/>
      <c r="I42" s="1"/>
      <c r="J42" s="1"/>
      <c r="K42" s="1"/>
      <c r="L42" s="8"/>
      <c r="M42" s="8"/>
      <c r="N42" s="8"/>
      <c r="O42" s="1"/>
      <c r="P42" s="1"/>
      <c r="Q42" s="1"/>
      <c r="R42" s="1"/>
      <c r="S42" s="1"/>
      <c r="T42" s="1"/>
      <c r="U42" s="1"/>
      <c r="V42" s="1"/>
    </row>
    <row r="43" spans="1:22" x14ac:dyDescent="0.25">
      <c r="A43" s="1"/>
      <c r="B43" s="8"/>
      <c r="C43" s="8"/>
      <c r="D43" s="8"/>
      <c r="E43" s="1"/>
      <c r="F43" s="1"/>
      <c r="G43" s="1"/>
      <c r="H43" s="1"/>
      <c r="I43" s="1"/>
      <c r="J43" s="1"/>
      <c r="K43" s="1"/>
      <c r="L43" s="8"/>
      <c r="M43" s="8"/>
      <c r="N43" s="8"/>
      <c r="O43" s="1"/>
      <c r="P43" s="1"/>
      <c r="Q43" s="1"/>
      <c r="R43" s="1"/>
      <c r="S43" s="1"/>
      <c r="T43" s="1"/>
      <c r="U43" s="1"/>
      <c r="V43" s="1"/>
    </row>
    <row r="44" spans="1:22" x14ac:dyDescent="0.25">
      <c r="A44" s="1"/>
      <c r="B44" s="8"/>
      <c r="C44" s="8"/>
      <c r="D44" s="8"/>
      <c r="E44" s="1"/>
      <c r="F44" s="1"/>
      <c r="G44" s="1"/>
      <c r="H44" s="1"/>
      <c r="I44" s="1"/>
      <c r="J44" s="1"/>
      <c r="K44" s="1"/>
      <c r="L44" s="8"/>
      <c r="M44" s="8"/>
      <c r="N44" s="8"/>
      <c r="O44" s="1"/>
      <c r="P44" s="1"/>
      <c r="Q44" s="1"/>
      <c r="R44" s="1"/>
      <c r="S44" s="1"/>
      <c r="T44" s="1"/>
      <c r="U44" s="1"/>
      <c r="V44" s="1"/>
    </row>
    <row r="45" spans="1:22" x14ac:dyDescent="0.25">
      <c r="A45" s="1"/>
      <c r="B45" s="8"/>
      <c r="C45" s="8"/>
      <c r="D45" s="8"/>
      <c r="E45" s="1"/>
      <c r="F45" s="1"/>
      <c r="G45" s="1"/>
      <c r="H45" s="1"/>
      <c r="I45" s="1"/>
      <c r="J45" s="1"/>
      <c r="K45" s="1"/>
      <c r="L45" s="8"/>
      <c r="M45" s="8"/>
      <c r="N45" s="8"/>
      <c r="O45" s="1"/>
      <c r="P45" s="1"/>
      <c r="Q45" s="1"/>
      <c r="R45" s="1"/>
      <c r="S45" s="1"/>
      <c r="T45" s="1"/>
      <c r="U45" s="1"/>
      <c r="V45" s="1"/>
    </row>
    <row r="46" spans="1:22" x14ac:dyDescent="0.25">
      <c r="A46" s="1"/>
      <c r="B46" s="8"/>
      <c r="C46" s="8"/>
      <c r="D46" s="8"/>
      <c r="E46" s="1"/>
      <c r="F46" s="1"/>
      <c r="G46" s="1"/>
      <c r="H46" s="1"/>
      <c r="I46" s="1"/>
      <c r="J46" s="1"/>
      <c r="K46" s="1"/>
      <c r="L46" s="8"/>
      <c r="M46" s="8"/>
      <c r="N46" s="8"/>
      <c r="O46" s="1"/>
      <c r="P46" s="1"/>
      <c r="Q46" s="1"/>
      <c r="R46" s="1"/>
      <c r="S46" s="1"/>
      <c r="T46" s="1"/>
      <c r="U46" s="1"/>
      <c r="V46" s="1"/>
    </row>
    <row r="47" spans="1:22" x14ac:dyDescent="0.25">
      <c r="A47" s="1"/>
      <c r="B47" s="8"/>
      <c r="C47" s="8"/>
      <c r="D47" s="8"/>
      <c r="E47" s="1"/>
      <c r="F47" s="1"/>
      <c r="G47" s="1"/>
      <c r="H47" s="1"/>
      <c r="I47" s="1"/>
      <c r="J47" s="1"/>
      <c r="K47" s="1"/>
      <c r="L47" s="8"/>
      <c r="M47" s="8"/>
      <c r="N47" s="8"/>
      <c r="O47" s="1"/>
      <c r="P47" s="1"/>
      <c r="Q47" s="1"/>
      <c r="R47" s="1"/>
      <c r="S47" s="1"/>
      <c r="T47" s="1"/>
      <c r="U47" s="1"/>
      <c r="V47" s="1"/>
    </row>
    <row r="48" spans="1:22" x14ac:dyDescent="0.25">
      <c r="A48" s="1"/>
      <c r="B48" s="8"/>
      <c r="C48" s="8"/>
      <c r="D48" s="8"/>
      <c r="E48" s="1"/>
      <c r="F48" s="1"/>
      <c r="G48" s="1"/>
      <c r="H48" s="1"/>
      <c r="I48" s="1"/>
      <c r="J48" s="1"/>
      <c r="K48" s="1"/>
      <c r="L48" s="8"/>
      <c r="M48" s="8"/>
      <c r="N48" s="8"/>
      <c r="O48" s="1"/>
      <c r="P48" s="1"/>
      <c r="Q48" s="1"/>
      <c r="R48" s="1"/>
      <c r="S48" s="1"/>
      <c r="T48" s="1"/>
      <c r="U48" s="1"/>
      <c r="V48" s="1"/>
    </row>
    <row r="49" spans="1:22" x14ac:dyDescent="0.25">
      <c r="A49" s="1"/>
      <c r="B49" s="8"/>
      <c r="C49" s="8"/>
      <c r="D49" s="8"/>
      <c r="E49" s="1"/>
      <c r="F49" s="1"/>
      <c r="G49" s="1"/>
      <c r="H49" s="1"/>
      <c r="I49" s="1"/>
      <c r="J49" s="1"/>
      <c r="K49" s="1"/>
      <c r="L49" s="8"/>
      <c r="M49" s="8"/>
      <c r="N49" s="8"/>
      <c r="O49" s="1"/>
      <c r="P49" s="1"/>
      <c r="Q49" s="1"/>
      <c r="R49" s="1"/>
      <c r="S49" s="1"/>
      <c r="T49" s="1"/>
      <c r="U49" s="1"/>
      <c r="V49" s="1"/>
    </row>
    <row r="50" spans="1:22" x14ac:dyDescent="0.25">
      <c r="A50" s="1"/>
      <c r="B50" s="8"/>
      <c r="C50" s="8"/>
      <c r="D50" s="8"/>
      <c r="E50" s="1"/>
      <c r="F50" s="1"/>
      <c r="G50" s="1"/>
      <c r="H50" s="1"/>
      <c r="I50" s="1"/>
      <c r="J50" s="1"/>
      <c r="K50" s="1"/>
      <c r="L50" s="8"/>
      <c r="M50" s="8"/>
      <c r="N50" s="8"/>
      <c r="O50" s="1"/>
      <c r="P50" s="1"/>
      <c r="Q50" s="1"/>
      <c r="R50" s="1"/>
      <c r="S50" s="1"/>
      <c r="T50" s="1"/>
      <c r="U50" s="1"/>
      <c r="V50" s="1"/>
    </row>
    <row r="51" spans="1:22" x14ac:dyDescent="0.25">
      <c r="A51" s="1"/>
      <c r="B51" s="8"/>
      <c r="C51" s="8"/>
      <c r="D51" s="8"/>
      <c r="E51" s="1"/>
      <c r="F51" s="1"/>
      <c r="G51" s="1"/>
      <c r="H51" s="1"/>
      <c r="I51" s="1"/>
      <c r="J51" s="1"/>
      <c r="K51" s="1"/>
      <c r="L51" s="8"/>
      <c r="M51" s="8"/>
      <c r="N51" s="8"/>
      <c r="O51" s="1"/>
      <c r="P51" s="1"/>
      <c r="Q51" s="1"/>
      <c r="R51" s="1"/>
      <c r="S51" s="1"/>
      <c r="T51" s="1"/>
      <c r="U51" s="1"/>
      <c r="V51" s="1"/>
    </row>
    <row r="52" spans="1:22" x14ac:dyDescent="0.25">
      <c r="A52" s="1"/>
      <c r="B52" s="8"/>
      <c r="C52" s="8"/>
      <c r="D52" s="8"/>
      <c r="E52" s="1"/>
      <c r="F52" s="1"/>
      <c r="G52" s="1"/>
      <c r="H52" s="1"/>
      <c r="I52" s="1"/>
      <c r="J52" s="1"/>
      <c r="K52" s="1"/>
      <c r="L52" s="8"/>
      <c r="M52" s="8"/>
      <c r="N52" s="8"/>
      <c r="O52" s="1"/>
      <c r="P52" s="1"/>
      <c r="Q52" s="1"/>
      <c r="R52" s="1"/>
      <c r="S52" s="1"/>
      <c r="T52" s="1"/>
      <c r="U52" s="1"/>
      <c r="V52" s="1"/>
    </row>
    <row r="53" spans="1:22" x14ac:dyDescent="0.25">
      <c r="A53" s="1"/>
      <c r="B53" s="8"/>
      <c r="C53" s="8"/>
      <c r="D53" s="8"/>
      <c r="E53" s="1"/>
      <c r="F53" s="1"/>
      <c r="G53" s="1"/>
      <c r="H53" s="1"/>
      <c r="I53" s="1"/>
      <c r="J53" s="1"/>
      <c r="K53" s="1"/>
      <c r="L53" s="8"/>
      <c r="M53" s="8"/>
      <c r="N53" s="8"/>
      <c r="O53" s="1"/>
      <c r="P53" s="1"/>
      <c r="Q53" s="1"/>
      <c r="R53" s="1"/>
      <c r="S53" s="1"/>
      <c r="T53" s="1"/>
      <c r="U53" s="1"/>
      <c r="V53" s="1"/>
    </row>
    <row r="54" spans="1:22" x14ac:dyDescent="0.25">
      <c r="A54" s="1"/>
      <c r="B54" s="8"/>
      <c r="C54" s="8"/>
      <c r="D54" s="8"/>
      <c r="E54" s="1"/>
      <c r="F54" s="1"/>
      <c r="G54" s="1"/>
      <c r="H54" s="1"/>
      <c r="I54" s="1"/>
      <c r="J54" s="1"/>
      <c r="K54" s="1"/>
      <c r="L54" s="8"/>
      <c r="M54" s="8"/>
      <c r="N54" s="8"/>
      <c r="O54" s="1"/>
      <c r="P54" s="1"/>
      <c r="Q54" s="1"/>
      <c r="R54" s="1"/>
      <c r="S54" s="1"/>
      <c r="T54" s="1"/>
      <c r="U54" s="1"/>
      <c r="V54" s="1"/>
    </row>
    <row r="55" spans="1:22" x14ac:dyDescent="0.25">
      <c r="A55" s="1"/>
      <c r="B55" s="8"/>
      <c r="C55" s="8"/>
      <c r="D55" s="8"/>
      <c r="E55" s="1"/>
      <c r="F55" s="1"/>
      <c r="G55" s="1"/>
      <c r="H55" s="1"/>
      <c r="I55" s="1"/>
      <c r="J55" s="1"/>
      <c r="K55" s="1"/>
      <c r="L55" s="8"/>
      <c r="M55" s="8"/>
      <c r="N55" s="8"/>
      <c r="O55" s="1"/>
      <c r="P55" s="1"/>
      <c r="Q55" s="1"/>
      <c r="R55" s="1"/>
      <c r="S55" s="1"/>
      <c r="T55" s="1"/>
      <c r="U55" s="1"/>
      <c r="V55" s="1"/>
    </row>
    <row r="56" spans="1:22" x14ac:dyDescent="0.25">
      <c r="A56" s="1"/>
      <c r="B56" s="8"/>
      <c r="C56" s="8"/>
      <c r="D56" s="8"/>
      <c r="E56" s="1"/>
      <c r="F56" s="1"/>
      <c r="G56" s="1"/>
      <c r="H56" s="1"/>
      <c r="I56" s="1"/>
      <c r="J56" s="1"/>
      <c r="K56" s="1"/>
      <c r="L56" s="8"/>
      <c r="M56" s="8"/>
      <c r="N56" s="8"/>
      <c r="O56" s="1"/>
      <c r="P56" s="1"/>
      <c r="Q56" s="1"/>
      <c r="R56" s="1"/>
      <c r="S56" s="1"/>
      <c r="T56" s="1"/>
      <c r="U56" s="1"/>
      <c r="V56" s="1"/>
    </row>
    <row r="57" spans="1:22" x14ac:dyDescent="0.25">
      <c r="A57" s="1"/>
      <c r="B57" s="8"/>
      <c r="C57" s="8"/>
      <c r="D57" s="8"/>
      <c r="E57" s="1"/>
      <c r="F57" s="1"/>
      <c r="G57" s="1"/>
      <c r="H57" s="1"/>
      <c r="I57" s="1"/>
      <c r="J57" s="1"/>
      <c r="K57" s="1"/>
      <c r="L57" s="8"/>
      <c r="M57" s="8"/>
      <c r="N57" s="8"/>
      <c r="O57" s="1"/>
      <c r="P57" s="1"/>
      <c r="Q57" s="1"/>
      <c r="R57" s="1"/>
      <c r="S57" s="1"/>
      <c r="T57" s="1"/>
      <c r="U57" s="1"/>
      <c r="V57" s="1"/>
    </row>
    <row r="58" spans="1:22" x14ac:dyDescent="0.25">
      <c r="A58" s="1"/>
      <c r="B58" s="8"/>
      <c r="C58" s="8"/>
      <c r="D58" s="8"/>
      <c r="E58" s="1"/>
      <c r="F58" s="1"/>
      <c r="G58" s="1"/>
      <c r="H58" s="1"/>
      <c r="I58" s="1"/>
      <c r="J58" s="1"/>
      <c r="K58" s="1"/>
      <c r="L58" s="8"/>
      <c r="M58" s="8"/>
      <c r="N58" s="8"/>
      <c r="O58" s="1"/>
      <c r="P58" s="1"/>
      <c r="Q58" s="1"/>
      <c r="R58" s="1"/>
      <c r="S58" s="1"/>
      <c r="T58" s="1"/>
      <c r="U58" s="1"/>
      <c r="V58" s="1"/>
    </row>
    <row r="59" spans="1:22" x14ac:dyDescent="0.25">
      <c r="A59" s="1"/>
      <c r="B59" s="8"/>
      <c r="C59" s="8"/>
      <c r="D59" s="8"/>
      <c r="E59" s="1"/>
      <c r="F59" s="1"/>
      <c r="G59" s="1"/>
      <c r="H59" s="1"/>
      <c r="I59" s="1"/>
      <c r="J59" s="1"/>
      <c r="K59" s="1"/>
      <c r="L59" s="8"/>
      <c r="M59" s="8"/>
      <c r="N59" s="8"/>
      <c r="O59" s="1"/>
      <c r="P59" s="1"/>
      <c r="Q59" s="1"/>
      <c r="R59" s="1"/>
      <c r="S59" s="1"/>
      <c r="T59" s="1"/>
      <c r="U59" s="1"/>
      <c r="V59" s="1"/>
    </row>
    <row r="60" spans="1:22" x14ac:dyDescent="0.25">
      <c r="A60" s="1"/>
      <c r="B60" s="8"/>
      <c r="C60" s="8"/>
      <c r="D60" s="8"/>
      <c r="E60" s="1"/>
      <c r="F60" s="1"/>
      <c r="G60" s="1"/>
      <c r="H60" s="1"/>
      <c r="I60" s="1"/>
      <c r="J60" s="1"/>
      <c r="K60" s="1"/>
      <c r="L60" s="8"/>
      <c r="M60" s="8"/>
      <c r="N60" s="8"/>
      <c r="O60" s="1"/>
      <c r="P60" s="1"/>
      <c r="Q60" s="1"/>
      <c r="R60" s="1"/>
      <c r="S60" s="1"/>
      <c r="T60" s="1"/>
      <c r="U60" s="1"/>
      <c r="V60" s="1"/>
    </row>
    <row r="61" spans="1:22" x14ac:dyDescent="0.25">
      <c r="A61" s="1"/>
      <c r="B61" s="8"/>
      <c r="C61" s="8"/>
      <c r="D61" s="8"/>
      <c r="E61" s="1"/>
      <c r="F61" s="1"/>
      <c r="G61" s="1"/>
      <c r="H61" s="1"/>
      <c r="I61" s="1"/>
      <c r="J61" s="1"/>
      <c r="K61" s="1"/>
      <c r="L61" s="8"/>
      <c r="M61" s="8"/>
      <c r="N61" s="8"/>
      <c r="O61" s="1"/>
      <c r="P61" s="1"/>
      <c r="Q61" s="1"/>
      <c r="R61" s="1"/>
      <c r="S61" s="1"/>
      <c r="T61" s="1"/>
      <c r="U61" s="1"/>
      <c r="V61" s="1"/>
    </row>
    <row r="62" spans="1:22" x14ac:dyDescent="0.25">
      <c r="A62" s="1"/>
      <c r="B62" s="8"/>
      <c r="C62" s="8"/>
      <c r="D62" s="8"/>
      <c r="E62" s="1"/>
      <c r="F62" s="1"/>
      <c r="G62" s="1"/>
      <c r="H62" s="1"/>
      <c r="I62" s="1"/>
      <c r="J62" s="1"/>
      <c r="K62" s="1"/>
      <c r="L62" s="8"/>
      <c r="M62" s="8"/>
      <c r="N62" s="8"/>
      <c r="O62" s="1"/>
      <c r="P62" s="1"/>
      <c r="Q62" s="1"/>
      <c r="R62" s="1"/>
      <c r="S62" s="1"/>
      <c r="T62" s="1"/>
      <c r="U62" s="1"/>
      <c r="V62" s="1"/>
    </row>
    <row r="63" spans="1:22" x14ac:dyDescent="0.25">
      <c r="A63" s="1"/>
      <c r="B63" s="8"/>
      <c r="C63" s="8"/>
      <c r="D63" s="8"/>
      <c r="E63" s="1"/>
      <c r="F63" s="1"/>
      <c r="G63" s="1"/>
      <c r="H63" s="1"/>
      <c r="I63" s="1"/>
      <c r="J63" s="1"/>
      <c r="K63" s="1"/>
      <c r="L63" s="8"/>
      <c r="M63" s="8"/>
      <c r="N63" s="8"/>
      <c r="O63" s="1"/>
      <c r="P63" s="1"/>
      <c r="Q63" s="1"/>
      <c r="R63" s="1"/>
      <c r="S63" s="1"/>
      <c r="T63" s="1"/>
      <c r="U63" s="1"/>
      <c r="V63" s="1"/>
    </row>
    <row r="64" spans="1:22" x14ac:dyDescent="0.25">
      <c r="A64" s="1"/>
      <c r="B64" s="8"/>
      <c r="C64" s="8"/>
      <c r="D64" s="8"/>
      <c r="E64" s="1"/>
      <c r="F64" s="1"/>
      <c r="G64" s="1"/>
      <c r="H64" s="1"/>
      <c r="I64" s="1"/>
      <c r="J64" s="1"/>
      <c r="K64" s="1"/>
      <c r="L64" s="8"/>
      <c r="M64" s="8"/>
      <c r="N64" s="8"/>
      <c r="O64" s="1"/>
      <c r="P64" s="1"/>
      <c r="Q64" s="1"/>
      <c r="R64" s="1"/>
      <c r="S64" s="1"/>
      <c r="T64" s="1"/>
      <c r="U64" s="1"/>
      <c r="V64" s="1"/>
    </row>
    <row r="65" spans="1:22" x14ac:dyDescent="0.25">
      <c r="A65" s="1"/>
      <c r="B65" s="8"/>
      <c r="C65" s="8"/>
      <c r="D65" s="8"/>
      <c r="E65" s="1"/>
      <c r="F65" s="1"/>
      <c r="G65" s="1"/>
      <c r="H65" s="1"/>
      <c r="I65" s="1"/>
      <c r="J65" s="1"/>
      <c r="K65" s="1"/>
      <c r="L65" s="8"/>
      <c r="M65" s="8"/>
      <c r="N65" s="8"/>
      <c r="O65" s="1"/>
      <c r="P65" s="1"/>
      <c r="Q65" s="1"/>
      <c r="R65" s="1"/>
      <c r="S65" s="1"/>
      <c r="T65" s="1"/>
      <c r="U65" s="1"/>
      <c r="V65" s="1"/>
    </row>
    <row r="66" spans="1:22" x14ac:dyDescent="0.25">
      <c r="A66" s="1"/>
      <c r="B66" s="8"/>
      <c r="C66" s="8"/>
      <c r="D66" s="8"/>
      <c r="E66" s="1"/>
      <c r="F66" s="1"/>
      <c r="G66" s="1"/>
      <c r="H66" s="1"/>
      <c r="I66" s="1"/>
      <c r="J66" s="1"/>
      <c r="K66" s="1"/>
      <c r="L66" s="8"/>
      <c r="M66" s="8"/>
      <c r="N66" s="8"/>
      <c r="O66" s="1"/>
      <c r="P66" s="1"/>
      <c r="Q66" s="1"/>
      <c r="R66" s="1"/>
      <c r="S66" s="1"/>
      <c r="T66" s="1"/>
      <c r="U66" s="1"/>
      <c r="V66" s="1"/>
    </row>
    <row r="67" spans="1:22" x14ac:dyDescent="0.25">
      <c r="A67" s="1"/>
      <c r="B67" s="8"/>
      <c r="C67" s="8"/>
      <c r="D67" s="8"/>
      <c r="E67" s="1"/>
      <c r="F67" s="1"/>
      <c r="G67" s="1"/>
      <c r="H67" s="1"/>
      <c r="I67" s="1"/>
      <c r="J67" s="1"/>
      <c r="K67" s="1"/>
      <c r="L67" s="8"/>
      <c r="M67" s="8"/>
      <c r="N67" s="8"/>
      <c r="O67" s="1"/>
      <c r="P67" s="1"/>
      <c r="Q67" s="1"/>
      <c r="R67" s="1"/>
      <c r="S67" s="1"/>
      <c r="T67" s="1"/>
      <c r="U67" s="1"/>
      <c r="V67" s="1"/>
    </row>
    <row r="68" spans="1:22" x14ac:dyDescent="0.25">
      <c r="A68" s="1"/>
      <c r="B68" s="8"/>
      <c r="C68" s="8"/>
      <c r="D68" s="8"/>
      <c r="E68" s="1"/>
      <c r="F68" s="1"/>
      <c r="G68" s="1"/>
      <c r="H68" s="1"/>
      <c r="I68" s="1"/>
      <c r="J68" s="1"/>
      <c r="K68" s="1"/>
      <c r="L68" s="8"/>
      <c r="M68" s="8"/>
      <c r="N68" s="8"/>
      <c r="O68" s="1"/>
      <c r="P68" s="1"/>
      <c r="Q68" s="1"/>
      <c r="R68" s="1"/>
      <c r="S68" s="1"/>
      <c r="T68" s="1"/>
      <c r="U68" s="1"/>
      <c r="V68" s="1"/>
    </row>
    <row r="69" spans="1:22" x14ac:dyDescent="0.25">
      <c r="A69" s="1"/>
      <c r="B69" s="8"/>
      <c r="C69" s="8"/>
      <c r="D69" s="8"/>
      <c r="E69" s="1"/>
      <c r="F69" s="1"/>
      <c r="G69" s="1"/>
      <c r="H69" s="1"/>
      <c r="I69" s="1"/>
      <c r="J69" s="1"/>
      <c r="K69" s="1"/>
      <c r="L69" s="8"/>
      <c r="M69" s="8"/>
      <c r="N69" s="8"/>
      <c r="O69" s="1"/>
      <c r="P69" s="1"/>
      <c r="Q69" s="1"/>
      <c r="R69" s="1"/>
      <c r="S69" s="1"/>
      <c r="T69" s="1"/>
      <c r="U69" s="1"/>
      <c r="V69" s="1"/>
    </row>
    <row r="70" spans="1:22" x14ac:dyDescent="0.25">
      <c r="A70" s="1"/>
      <c r="B70" s="8"/>
      <c r="C70" s="8"/>
      <c r="D70" s="8"/>
      <c r="E70" s="1"/>
      <c r="F70" s="1"/>
      <c r="G70" s="1"/>
      <c r="H70" s="1"/>
      <c r="I70" s="1"/>
      <c r="J70" s="1"/>
      <c r="K70" s="1"/>
      <c r="L70" s="8"/>
      <c r="M70" s="8"/>
      <c r="N70" s="8"/>
      <c r="O70" s="1"/>
      <c r="P70" s="1"/>
      <c r="Q70" s="1"/>
      <c r="R70" s="1"/>
      <c r="S70" s="1"/>
      <c r="T70" s="1"/>
      <c r="U70" s="1"/>
      <c r="V70" s="1"/>
    </row>
    <row r="71" spans="1:22" x14ac:dyDescent="0.25">
      <c r="A71" s="1"/>
      <c r="B71" s="8"/>
      <c r="C71" s="8"/>
      <c r="D71" s="8"/>
      <c r="E71" s="1"/>
      <c r="F71" s="1"/>
      <c r="G71" s="1"/>
      <c r="H71" s="1"/>
      <c r="I71" s="1"/>
      <c r="J71" s="1"/>
      <c r="K71" s="1"/>
      <c r="L71" s="8"/>
      <c r="M71" s="8"/>
      <c r="N71" s="8"/>
      <c r="O71" s="1"/>
      <c r="P71" s="1"/>
      <c r="Q71" s="1"/>
      <c r="R71" s="1"/>
      <c r="S71" s="1"/>
      <c r="T71" s="1"/>
      <c r="U71" s="1"/>
      <c r="V71" s="1"/>
    </row>
    <row r="72" spans="1:22" x14ac:dyDescent="0.25">
      <c r="A72" s="1"/>
      <c r="B72" s="8"/>
      <c r="C72" s="8"/>
      <c r="D72" s="8"/>
      <c r="E72" s="1"/>
      <c r="F72" s="1"/>
      <c r="G72" s="1"/>
      <c r="H72" s="1"/>
      <c r="I72" s="1"/>
      <c r="J72" s="1"/>
      <c r="K72" s="1"/>
      <c r="L72" s="8"/>
      <c r="M72" s="8"/>
      <c r="N72" s="8"/>
      <c r="O72" s="1"/>
      <c r="P72" s="1"/>
      <c r="Q72" s="1"/>
      <c r="R72" s="1"/>
      <c r="S72" s="1"/>
      <c r="T72" s="1"/>
      <c r="U72" s="1"/>
      <c r="V72" s="1"/>
    </row>
    <row r="73" spans="1:22" x14ac:dyDescent="0.25">
      <c r="A73" s="1"/>
      <c r="B73" s="8"/>
      <c r="C73" s="8"/>
      <c r="D73" s="8"/>
      <c r="E73" s="1"/>
      <c r="F73" s="1"/>
      <c r="G73" s="1"/>
      <c r="H73" s="1"/>
      <c r="I73" s="1"/>
      <c r="J73" s="1"/>
      <c r="K73" s="1"/>
      <c r="L73" s="8"/>
      <c r="M73" s="8"/>
      <c r="N73" s="8"/>
      <c r="O73" s="1"/>
      <c r="P73" s="1"/>
      <c r="Q73" s="1"/>
      <c r="R73" s="1"/>
      <c r="S73" s="1"/>
      <c r="T73" s="1"/>
      <c r="U73" s="1"/>
      <c r="V73" s="1"/>
    </row>
    <row r="74" spans="1:22" x14ac:dyDescent="0.25">
      <c r="A74" s="1"/>
      <c r="B74" s="8"/>
      <c r="C74" s="8"/>
      <c r="D74" s="8"/>
      <c r="E74" s="1"/>
      <c r="F74" s="1"/>
      <c r="G74" s="1"/>
      <c r="H74" s="1"/>
      <c r="I74" s="1"/>
      <c r="J74" s="1"/>
      <c r="K74" s="1"/>
      <c r="L74" s="8"/>
      <c r="M74" s="8"/>
      <c r="N74" s="8"/>
      <c r="O74" s="1"/>
      <c r="P74" s="1"/>
      <c r="Q74" s="1"/>
      <c r="R74" s="1"/>
      <c r="S74" s="1"/>
      <c r="T74" s="1"/>
      <c r="U74" s="1"/>
      <c r="V74" s="1"/>
    </row>
    <row r="75" spans="1:22" x14ac:dyDescent="0.25">
      <c r="A75" s="1"/>
      <c r="B75" s="8"/>
      <c r="C75" s="8"/>
      <c r="D75" s="8"/>
      <c r="E75" s="1"/>
      <c r="F75" s="1"/>
      <c r="G75" s="1"/>
      <c r="H75" s="1"/>
      <c r="I75" s="1"/>
      <c r="J75" s="1"/>
      <c r="K75" s="1"/>
      <c r="L75" s="8"/>
      <c r="M75" s="8"/>
      <c r="N75" s="8"/>
      <c r="O75" s="1"/>
      <c r="P75" s="1"/>
      <c r="Q75" s="1"/>
      <c r="R75" s="1"/>
      <c r="S75" s="1"/>
      <c r="T75" s="1"/>
      <c r="U75" s="1"/>
      <c r="V75" s="1"/>
    </row>
    <row r="76" spans="1:22" x14ac:dyDescent="0.25">
      <c r="A76" s="1"/>
      <c r="B76" s="8"/>
      <c r="C76" s="8"/>
      <c r="D76" s="8"/>
      <c r="E76" s="1"/>
      <c r="F76" s="1"/>
      <c r="G76" s="1"/>
      <c r="H76" s="1"/>
      <c r="I76" s="1"/>
      <c r="J76" s="1"/>
      <c r="K76" s="1"/>
      <c r="L76" s="8"/>
      <c r="M76" s="8"/>
      <c r="N76" s="8"/>
      <c r="O76" s="1"/>
      <c r="P76" s="1"/>
      <c r="Q76" s="1"/>
      <c r="R76" s="1"/>
      <c r="S76" s="1"/>
      <c r="T76" s="1"/>
      <c r="U76" s="1"/>
      <c r="V76" s="1"/>
    </row>
    <row r="77" spans="1:22" x14ac:dyDescent="0.25">
      <c r="A77" s="1"/>
      <c r="B77" s="8"/>
      <c r="C77" s="8"/>
      <c r="D77" s="8"/>
      <c r="E77" s="1"/>
      <c r="F77" s="1"/>
      <c r="G77" s="1"/>
      <c r="H77" s="1"/>
      <c r="I77" s="1"/>
      <c r="J77" s="1"/>
      <c r="K77" s="1"/>
      <c r="L77" s="8"/>
      <c r="M77" s="8"/>
      <c r="N77" s="8"/>
      <c r="O77" s="1"/>
      <c r="P77" s="1"/>
      <c r="Q77" s="1"/>
      <c r="R77" s="1"/>
      <c r="S77" s="1"/>
      <c r="T77" s="1"/>
      <c r="U77" s="1"/>
      <c r="V77" s="1"/>
    </row>
    <row r="78" spans="1:22" x14ac:dyDescent="0.25">
      <c r="A78" s="1"/>
      <c r="B78" s="8"/>
      <c r="C78" s="8"/>
      <c r="D78" s="8"/>
      <c r="E78" s="1"/>
      <c r="F78" s="1"/>
      <c r="G78" s="1"/>
      <c r="H78" s="1"/>
      <c r="I78" s="1"/>
      <c r="J78" s="1"/>
      <c r="K78" s="1"/>
      <c r="L78" s="8"/>
      <c r="M78" s="8"/>
      <c r="N78" s="8"/>
      <c r="O78" s="1"/>
      <c r="P78" s="1"/>
      <c r="Q78" s="1"/>
      <c r="R78" s="1"/>
      <c r="S78" s="1"/>
      <c r="T78" s="1"/>
      <c r="U78" s="1"/>
      <c r="V78" s="1"/>
    </row>
    <row r="79" spans="1:22" x14ac:dyDescent="0.25">
      <c r="A79" s="1"/>
      <c r="B79" s="8"/>
      <c r="C79" s="8"/>
      <c r="D79" s="8"/>
      <c r="E79" s="1"/>
      <c r="F79" s="1"/>
      <c r="G79" s="1"/>
      <c r="H79" s="1"/>
      <c r="I79" s="1"/>
      <c r="J79" s="1"/>
      <c r="K79" s="1"/>
      <c r="L79" s="8"/>
      <c r="M79" s="8"/>
      <c r="N79" s="8"/>
      <c r="O79" s="1"/>
      <c r="P79" s="1"/>
      <c r="Q79" s="1"/>
      <c r="R79" s="1"/>
      <c r="S79" s="1"/>
      <c r="T79" s="1"/>
      <c r="U79" s="1"/>
      <c r="V79" s="1"/>
    </row>
    <row r="80" spans="1:22" x14ac:dyDescent="0.25">
      <c r="A80" s="1"/>
      <c r="B80" s="8"/>
      <c r="C80" s="8"/>
      <c r="D80" s="8"/>
      <c r="E80" s="1"/>
      <c r="F80" s="1"/>
      <c r="G80" s="1"/>
      <c r="H80" s="1"/>
      <c r="I80" s="1"/>
      <c r="J80" s="1"/>
      <c r="K80" s="1"/>
      <c r="L80" s="8"/>
      <c r="M80" s="8"/>
      <c r="N80" s="8"/>
      <c r="O80" s="1"/>
      <c r="P80" s="1"/>
      <c r="Q80" s="1"/>
      <c r="R80" s="1"/>
      <c r="S80" s="1"/>
      <c r="T80" s="1"/>
      <c r="U80" s="1"/>
      <c r="V80" s="1"/>
    </row>
    <row r="81" spans="1:22" x14ac:dyDescent="0.25">
      <c r="A81" s="1"/>
      <c r="B81" s="8"/>
      <c r="C81" s="8"/>
      <c r="D81" s="8"/>
      <c r="E81" s="1"/>
      <c r="F81" s="1"/>
      <c r="G81" s="1"/>
      <c r="H81" s="1"/>
      <c r="I81" s="1"/>
      <c r="J81" s="1"/>
      <c r="K81" s="1"/>
      <c r="L81" s="8"/>
      <c r="M81" s="8"/>
      <c r="N81" s="8"/>
      <c r="O81" s="1"/>
      <c r="P81" s="1"/>
      <c r="Q81" s="1"/>
      <c r="R81" s="1"/>
      <c r="S81" s="1"/>
      <c r="T81" s="1"/>
      <c r="U81" s="1"/>
      <c r="V81" s="1"/>
    </row>
    <row r="82" spans="1:22" x14ac:dyDescent="0.25">
      <c r="A82" s="1"/>
      <c r="B82" s="8"/>
      <c r="C82" s="8"/>
      <c r="D82" s="8"/>
      <c r="E82" s="1"/>
      <c r="F82" s="1"/>
      <c r="G82" s="1"/>
      <c r="H82" s="1"/>
      <c r="I82" s="1"/>
      <c r="J82" s="1"/>
      <c r="K82" s="1"/>
      <c r="L82" s="8"/>
      <c r="M82" s="8"/>
      <c r="N82" s="8"/>
      <c r="O82" s="1"/>
      <c r="P82" s="1"/>
      <c r="Q82" s="1"/>
      <c r="R82" s="1"/>
      <c r="S82" s="1"/>
      <c r="T82" s="1"/>
      <c r="U82" s="1"/>
      <c r="V82" s="1"/>
    </row>
    <row r="83" spans="1:22" x14ac:dyDescent="0.25">
      <c r="A83" s="1"/>
      <c r="B83" s="8"/>
      <c r="C83" s="8"/>
      <c r="D83" s="8"/>
      <c r="E83" s="1"/>
      <c r="F83" s="1"/>
      <c r="G83" s="1"/>
      <c r="H83" s="1"/>
      <c r="I83" s="1"/>
      <c r="J83" s="1"/>
      <c r="K83" s="1"/>
      <c r="L83" s="8"/>
      <c r="M83" s="8"/>
      <c r="N83" s="8"/>
      <c r="O83" s="1"/>
      <c r="P83" s="1"/>
      <c r="Q83" s="1"/>
      <c r="R83" s="1"/>
      <c r="S83" s="1"/>
      <c r="T83" s="1"/>
      <c r="U83" s="1"/>
      <c r="V83" s="1"/>
    </row>
    <row r="84" spans="1:22" x14ac:dyDescent="0.25">
      <c r="A84" s="1"/>
      <c r="B84" s="8"/>
      <c r="C84" s="8"/>
      <c r="D84" s="8"/>
      <c r="E84" s="1"/>
      <c r="F84" s="1"/>
      <c r="G84" s="1"/>
      <c r="H84" s="1"/>
      <c r="I84" s="1"/>
      <c r="J84" s="1"/>
      <c r="K84" s="1"/>
      <c r="L84" s="8"/>
      <c r="M84" s="8"/>
      <c r="N84" s="8"/>
      <c r="O84" s="1"/>
      <c r="P84" s="1"/>
      <c r="Q84" s="1"/>
      <c r="R84" s="1"/>
      <c r="S84" s="1"/>
      <c r="T84" s="1"/>
      <c r="U84" s="1"/>
      <c r="V84" s="1"/>
    </row>
    <row r="85" spans="1:22" x14ac:dyDescent="0.25">
      <c r="A85" s="1"/>
      <c r="B85" s="8"/>
      <c r="C85" s="8"/>
      <c r="D85" s="8"/>
      <c r="E85" s="1"/>
      <c r="F85" s="1"/>
      <c r="G85" s="1"/>
      <c r="H85" s="1"/>
      <c r="I85" s="1"/>
      <c r="J85" s="1"/>
      <c r="K85" s="1"/>
      <c r="L85" s="8"/>
      <c r="M85" s="8"/>
      <c r="N85" s="8"/>
      <c r="O85" s="1"/>
      <c r="P85" s="1"/>
      <c r="Q85" s="1"/>
      <c r="R85" s="1"/>
      <c r="S85" s="1"/>
      <c r="T85" s="1"/>
      <c r="U85" s="1"/>
      <c r="V85" s="1"/>
    </row>
    <row r="86" spans="1:22" x14ac:dyDescent="0.25">
      <c r="A86" s="1"/>
      <c r="B86" s="8"/>
      <c r="C86" s="8"/>
      <c r="D86" s="8"/>
      <c r="E86" s="1"/>
      <c r="F86" s="1"/>
      <c r="G86" s="1"/>
      <c r="H86" s="1"/>
      <c r="I86" s="1"/>
      <c r="J86" s="1"/>
      <c r="K86" s="1"/>
      <c r="L86" s="8"/>
      <c r="M86" s="8"/>
      <c r="N86" s="8"/>
      <c r="O86" s="1"/>
      <c r="P86" s="1"/>
      <c r="Q86" s="1"/>
      <c r="R86" s="1"/>
      <c r="S86" s="1"/>
      <c r="T86" s="1"/>
      <c r="U86" s="1"/>
      <c r="V86" s="1"/>
    </row>
    <row r="87" spans="1:22" x14ac:dyDescent="0.25">
      <c r="A87" s="1"/>
      <c r="B87" s="8"/>
      <c r="C87" s="8"/>
      <c r="D87" s="8"/>
      <c r="E87" s="1"/>
      <c r="F87" s="1"/>
      <c r="G87" s="1"/>
      <c r="H87" s="1"/>
      <c r="I87" s="1"/>
      <c r="J87" s="1"/>
      <c r="K87" s="1"/>
      <c r="L87" s="8"/>
      <c r="M87" s="8"/>
      <c r="N87" s="8"/>
      <c r="O87" s="1"/>
      <c r="P87" s="1"/>
      <c r="Q87" s="1"/>
      <c r="R87" s="1"/>
      <c r="S87" s="1"/>
      <c r="T87" s="1"/>
      <c r="U87" s="1"/>
      <c r="V87" s="1"/>
    </row>
    <row r="88" spans="1:22" x14ac:dyDescent="0.25">
      <c r="A88" s="1"/>
      <c r="B88" s="8"/>
      <c r="C88" s="8"/>
      <c r="D88" s="8"/>
      <c r="E88" s="1"/>
      <c r="F88" s="1"/>
      <c r="G88" s="1"/>
      <c r="H88" s="1"/>
      <c r="I88" s="1"/>
      <c r="J88" s="1"/>
      <c r="K88" s="1"/>
      <c r="L88" s="8"/>
      <c r="M88" s="8"/>
      <c r="N88" s="8"/>
      <c r="O88" s="1"/>
      <c r="P88" s="1"/>
      <c r="Q88" s="1"/>
      <c r="R88" s="1"/>
      <c r="S88" s="1"/>
      <c r="T88" s="1"/>
      <c r="U88" s="1"/>
      <c r="V88" s="1"/>
    </row>
    <row r="89" spans="1:22" x14ac:dyDescent="0.25">
      <c r="A89" s="1"/>
      <c r="B89" s="8"/>
      <c r="C89" s="8"/>
      <c r="D89" s="8"/>
      <c r="E89" s="1"/>
      <c r="F89" s="1"/>
      <c r="G89" s="1"/>
      <c r="H89" s="1"/>
      <c r="I89" s="1"/>
      <c r="J89" s="1"/>
      <c r="K89" s="1"/>
      <c r="L89" s="8"/>
      <c r="M89" s="8"/>
      <c r="N89" s="8"/>
      <c r="O89" s="1"/>
      <c r="P89" s="1"/>
      <c r="Q89" s="1"/>
      <c r="R89" s="1"/>
      <c r="S89" s="1"/>
      <c r="T89" s="1"/>
      <c r="U89" s="1"/>
      <c r="V89" s="1"/>
    </row>
    <row r="90" spans="1:22" x14ac:dyDescent="0.25">
      <c r="A90" s="1"/>
      <c r="B90" s="8"/>
      <c r="C90" s="8"/>
      <c r="D90" s="8"/>
      <c r="E90" s="1"/>
      <c r="F90" s="1"/>
      <c r="G90" s="1"/>
      <c r="H90" s="1"/>
      <c r="I90" s="1"/>
      <c r="J90" s="1"/>
      <c r="K90" s="1"/>
      <c r="L90" s="8"/>
      <c r="M90" s="8"/>
      <c r="N90" s="8"/>
      <c r="O90" s="1"/>
      <c r="P90" s="1"/>
      <c r="Q90" s="1"/>
      <c r="R90" s="1"/>
      <c r="S90" s="1"/>
      <c r="T90" s="1"/>
      <c r="U90" s="1"/>
      <c r="V90" s="1"/>
    </row>
    <row r="91" spans="1:22" x14ac:dyDescent="0.25">
      <c r="A91" s="1"/>
      <c r="B91" s="8"/>
      <c r="C91" s="8"/>
      <c r="D91" s="8"/>
      <c r="E91" s="1"/>
      <c r="F91" s="1"/>
      <c r="G91" s="1"/>
      <c r="H91" s="1"/>
      <c r="I91" s="1"/>
      <c r="J91" s="1"/>
      <c r="K91" s="1"/>
      <c r="L91" s="8"/>
      <c r="M91" s="8"/>
      <c r="N91" s="8"/>
      <c r="O91" s="1"/>
      <c r="P91" s="1"/>
      <c r="Q91" s="1"/>
      <c r="R91" s="1"/>
      <c r="S91" s="1"/>
      <c r="T91" s="1"/>
      <c r="U91" s="1"/>
      <c r="V91" s="1"/>
    </row>
    <row r="92" spans="1:22" x14ac:dyDescent="0.25">
      <c r="A92" s="1"/>
      <c r="B92" s="8"/>
      <c r="C92" s="8"/>
      <c r="D92" s="8"/>
      <c r="E92" s="1"/>
      <c r="F92" s="1"/>
      <c r="G92" s="1"/>
      <c r="H92" s="1"/>
      <c r="I92" s="1"/>
      <c r="J92" s="1"/>
      <c r="K92" s="1"/>
      <c r="L92" s="8"/>
      <c r="M92" s="8"/>
      <c r="N92" s="8"/>
      <c r="O92" s="1"/>
      <c r="P92" s="1"/>
      <c r="Q92" s="1"/>
      <c r="R92" s="1"/>
      <c r="S92" s="1"/>
      <c r="T92" s="1"/>
      <c r="U92" s="1"/>
      <c r="V92" s="1"/>
    </row>
    <row r="93" spans="1:22" x14ac:dyDescent="0.25">
      <c r="A93" s="1"/>
      <c r="B93" s="8"/>
      <c r="C93" s="8"/>
      <c r="D93" s="8"/>
      <c r="E93" s="1"/>
      <c r="F93" s="1"/>
      <c r="G93" s="1"/>
      <c r="H93" s="1"/>
      <c r="I93" s="1"/>
      <c r="J93" s="1"/>
      <c r="K93" s="1"/>
      <c r="L93" s="8"/>
      <c r="M93" s="8"/>
      <c r="N93" s="8"/>
      <c r="O93" s="1"/>
      <c r="P93" s="1"/>
      <c r="Q93" s="1"/>
      <c r="R93" s="1"/>
      <c r="S93" s="1"/>
      <c r="T93" s="1"/>
      <c r="U93" s="1"/>
      <c r="V93" s="1"/>
    </row>
    <row r="94" spans="1:22" x14ac:dyDescent="0.25">
      <c r="A94" s="1"/>
      <c r="B94" s="8"/>
      <c r="C94" s="8"/>
      <c r="D94" s="8"/>
      <c r="E94" s="1"/>
      <c r="F94" s="1"/>
      <c r="G94" s="1"/>
      <c r="H94" s="1"/>
      <c r="I94" s="1"/>
      <c r="J94" s="1"/>
      <c r="K94" s="1"/>
      <c r="L94" s="8"/>
      <c r="M94" s="8"/>
      <c r="N94" s="8"/>
      <c r="O94" s="1"/>
      <c r="P94" s="1"/>
      <c r="Q94" s="1"/>
      <c r="R94" s="1"/>
      <c r="S94" s="1"/>
      <c r="T94" s="1"/>
      <c r="U94" s="1"/>
      <c r="V94" s="1"/>
    </row>
    <row r="95" spans="1:22" x14ac:dyDescent="0.25">
      <c r="A95" s="1"/>
      <c r="B95" s="8"/>
      <c r="C95" s="8"/>
      <c r="D95" s="8"/>
      <c r="E95" s="1"/>
      <c r="F95" s="1"/>
      <c r="G95" s="1"/>
      <c r="H95" s="1"/>
      <c r="I95" s="1"/>
      <c r="J95" s="1"/>
      <c r="K95" s="1"/>
      <c r="L95" s="8"/>
      <c r="M95" s="8"/>
      <c r="N95" s="8"/>
      <c r="O95" s="1"/>
      <c r="P95" s="1"/>
      <c r="Q95" s="1"/>
      <c r="R95" s="1"/>
      <c r="S95" s="1"/>
      <c r="T95" s="1"/>
      <c r="U95" s="1"/>
      <c r="V95" s="1"/>
    </row>
    <row r="96" spans="1:22" x14ac:dyDescent="0.25">
      <c r="A96" s="1"/>
      <c r="B96" s="8"/>
      <c r="C96" s="8"/>
      <c r="D96" s="8"/>
      <c r="E96" s="1"/>
      <c r="F96" s="1"/>
      <c r="G96" s="1"/>
      <c r="H96" s="1"/>
      <c r="I96" s="1"/>
      <c r="J96" s="1"/>
      <c r="K96" s="1"/>
      <c r="L96" s="8"/>
      <c r="M96" s="8"/>
      <c r="N96" s="8"/>
      <c r="O96" s="1"/>
      <c r="P96" s="1"/>
      <c r="Q96" s="1"/>
      <c r="R96" s="1"/>
      <c r="S96" s="1"/>
      <c r="T96" s="1"/>
      <c r="U96" s="1"/>
      <c r="V96" s="1"/>
    </row>
    <row r="97" spans="1:22" x14ac:dyDescent="0.25">
      <c r="A97" s="1"/>
      <c r="B97" s="8"/>
      <c r="C97" s="8"/>
      <c r="D97" s="8"/>
      <c r="E97" s="1"/>
      <c r="F97" s="1"/>
      <c r="G97" s="1"/>
      <c r="H97" s="1"/>
      <c r="I97" s="1"/>
      <c r="J97" s="1"/>
      <c r="K97" s="1"/>
      <c r="L97" s="8"/>
      <c r="M97" s="8"/>
      <c r="N97" s="8"/>
      <c r="O97" s="1"/>
      <c r="P97" s="1"/>
      <c r="Q97" s="1"/>
      <c r="R97" s="1"/>
      <c r="S97" s="1"/>
      <c r="T97" s="1"/>
      <c r="U97" s="1"/>
      <c r="V97" s="1"/>
    </row>
    <row r="98" spans="1:22" x14ac:dyDescent="0.25">
      <c r="A98" s="1"/>
      <c r="B98" s="8"/>
      <c r="C98" s="8"/>
      <c r="D98" s="8"/>
      <c r="E98" s="1"/>
      <c r="F98" s="1"/>
      <c r="G98" s="1"/>
      <c r="H98" s="1"/>
      <c r="I98" s="1"/>
      <c r="J98" s="1"/>
      <c r="K98" s="1"/>
      <c r="L98" s="8"/>
      <c r="M98" s="8"/>
      <c r="N98" s="8"/>
      <c r="O98" s="1"/>
      <c r="P98" s="1"/>
      <c r="Q98" s="1"/>
      <c r="R98" s="1"/>
      <c r="S98" s="1"/>
      <c r="T98" s="1"/>
      <c r="U98" s="1"/>
      <c r="V98" s="1"/>
    </row>
    <row r="99" spans="1:22" x14ac:dyDescent="0.25">
      <c r="A99" s="1"/>
      <c r="B99" s="8"/>
      <c r="C99" s="8"/>
      <c r="D99" s="8"/>
      <c r="E99" s="1"/>
      <c r="F99" s="1"/>
      <c r="G99" s="1"/>
      <c r="H99" s="1"/>
      <c r="I99" s="1"/>
      <c r="J99" s="1"/>
      <c r="K99" s="1"/>
      <c r="L99" s="8"/>
      <c r="M99" s="8"/>
      <c r="N99" s="8"/>
      <c r="O99" s="1"/>
      <c r="P99" s="1"/>
      <c r="Q99" s="1"/>
      <c r="R99" s="1"/>
      <c r="S99" s="1"/>
      <c r="T99" s="1"/>
      <c r="U99" s="1"/>
      <c r="V99" s="1"/>
    </row>
    <row r="100" spans="1:22" x14ac:dyDescent="0.25">
      <c r="A100" s="6" t="s">
        <v>0</v>
      </c>
      <c r="B100" s="8"/>
      <c r="C100" s="8"/>
      <c r="D100" s="8"/>
      <c r="E100" s="1"/>
      <c r="F100" s="1"/>
      <c r="G100" s="1"/>
      <c r="H100" s="1"/>
      <c r="I100" s="1"/>
      <c r="J100" s="1"/>
      <c r="K100" s="1"/>
      <c r="L100" s="8"/>
      <c r="M100" s="8"/>
      <c r="N100" s="8"/>
      <c r="O100" s="1"/>
      <c r="P100" s="1"/>
      <c r="Q100" s="1"/>
      <c r="R100" s="1"/>
      <c r="S100" s="1"/>
      <c r="T100" s="1"/>
      <c r="U100" s="1"/>
      <c r="V100"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
                <anchor moveWithCells="1" sizeWithCells="1">
                  <from>
                    <xdr:col>9</xdr:col>
                    <xdr:colOff>180975</xdr:colOff>
                    <xdr:row>0</xdr:row>
                    <xdr:rowOff>28575</xdr:rowOff>
                  </from>
                  <to>
                    <xdr:col>13</xdr:col>
                    <xdr:colOff>9525</xdr:colOff>
                    <xdr:row>1</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100"/>
  <sheetViews>
    <sheetView workbookViewId="0">
      <selection activeCell="B3" sqref="B3"/>
    </sheetView>
  </sheetViews>
  <sheetFormatPr defaultRowHeight="15" x14ac:dyDescent="0.25"/>
  <cols>
    <col min="2" max="2" width="13.28515625" style="13" bestFit="1" customWidth="1"/>
    <col min="3" max="3" width="11.5703125" style="13" bestFit="1" customWidth="1"/>
    <col min="4" max="4" width="11" style="13" bestFit="1" customWidth="1"/>
    <col min="5" max="5" width="11" bestFit="1" customWidth="1"/>
    <col min="6" max="6" width="11.7109375" bestFit="1" customWidth="1"/>
    <col min="7" max="7" width="10" bestFit="1" customWidth="1"/>
    <col min="8" max="8" width="9.7109375" bestFit="1" customWidth="1"/>
    <col min="10" max="10" width="4.5703125" customWidth="1"/>
    <col min="11" max="11" width="9.7109375" customWidth="1"/>
    <col min="12" max="12" width="11.5703125" style="13" bestFit="1" customWidth="1"/>
    <col min="13" max="14" width="10.42578125" style="13" bestFit="1" customWidth="1"/>
  </cols>
  <sheetData>
    <row r="1" spans="1:24" x14ac:dyDescent="0.25">
      <c r="A1" s="1"/>
      <c r="B1" s="8"/>
      <c r="C1" s="8"/>
      <c r="D1" s="8"/>
      <c r="E1" s="1"/>
      <c r="F1" s="1"/>
      <c r="G1" s="1"/>
      <c r="H1" s="1"/>
      <c r="I1" s="1"/>
      <c r="J1" s="1"/>
      <c r="K1" s="1"/>
      <c r="L1" s="8"/>
      <c r="M1" s="8"/>
      <c r="N1" s="8"/>
      <c r="O1" s="1"/>
      <c r="P1" s="1"/>
      <c r="Q1" s="1"/>
      <c r="R1" s="1"/>
      <c r="S1" s="1"/>
      <c r="T1" s="1"/>
      <c r="U1" s="1"/>
      <c r="V1" s="6"/>
    </row>
    <row r="2" spans="1:24" ht="15" customHeight="1" x14ac:dyDescent="0.25">
      <c r="A2" s="1"/>
      <c r="B2" s="8"/>
      <c r="C2" s="52"/>
      <c r="D2" s="51"/>
      <c r="E2" s="51"/>
      <c r="F2" s="51"/>
      <c r="G2" s="2"/>
      <c r="H2" s="2"/>
      <c r="I2" s="1"/>
      <c r="J2" s="2"/>
      <c r="K2" s="2"/>
      <c r="L2" s="9"/>
      <c r="M2" s="9"/>
      <c r="N2" s="8"/>
      <c r="O2" s="1"/>
      <c r="P2" s="1"/>
      <c r="Q2" s="1"/>
      <c r="R2" s="1"/>
      <c r="S2" s="1"/>
      <c r="T2" s="1"/>
      <c r="U2" s="1"/>
      <c r="V2" s="1"/>
    </row>
    <row r="3" spans="1:24" x14ac:dyDescent="0.25">
      <c r="A3" s="1"/>
      <c r="B3" s="20" t="str">
        <f ca="1">mrigxl_sector_returns("H3","10","8M","Sectors")</f>
        <v/>
      </c>
      <c r="C3" s="53" t="s">
        <v>1901</v>
      </c>
      <c r="D3" s="51" t="s">
        <v>1900</v>
      </c>
      <c r="E3" s="51" t="s">
        <v>1899</v>
      </c>
      <c r="F3" s="51" t="s">
        <v>1902</v>
      </c>
      <c r="G3" s="3"/>
      <c r="H3" s="3"/>
      <c r="I3" s="1"/>
      <c r="J3" s="3"/>
      <c r="K3" s="3"/>
      <c r="L3" s="9"/>
      <c r="M3" s="9"/>
      <c r="N3" s="9"/>
      <c r="O3" s="1"/>
      <c r="P3" s="1"/>
      <c r="Q3" s="1"/>
      <c r="R3" s="1"/>
      <c r="S3" s="1"/>
      <c r="T3" s="1"/>
      <c r="U3" s="1"/>
      <c r="V3" s="1"/>
      <c r="X3" t="str">
        <f ca="1">B3</f>
        <v/>
      </c>
    </row>
    <row r="4" spans="1:24" x14ac:dyDescent="0.25">
      <c r="A4" s="1"/>
      <c r="B4" s="50" t="s">
        <v>23</v>
      </c>
      <c r="C4" s="11">
        <v>0.17094461439193676</v>
      </c>
      <c r="D4" s="11">
        <v>0.30262607828436294</v>
      </c>
      <c r="E4" s="11">
        <v>0.18301389522982611</v>
      </c>
      <c r="F4" s="11">
        <v>0.30203441074082016</v>
      </c>
      <c r="G4" s="4"/>
      <c r="H4" s="4"/>
      <c r="I4" s="1"/>
      <c r="J4" s="4"/>
      <c r="K4" s="4"/>
      <c r="L4" s="11"/>
      <c r="M4" s="11"/>
      <c r="N4" s="11"/>
      <c r="O4" s="1"/>
      <c r="P4" s="1"/>
      <c r="Q4" s="1"/>
      <c r="R4" s="1"/>
      <c r="S4" s="1"/>
      <c r="T4" s="1"/>
      <c r="U4" s="1"/>
      <c r="V4" s="1"/>
    </row>
    <row r="5" spans="1:24" x14ac:dyDescent="0.25">
      <c r="A5" s="7"/>
      <c r="B5" s="50" t="s">
        <v>24</v>
      </c>
      <c r="C5" s="11">
        <v>-5.2530117521001438E-2</v>
      </c>
      <c r="D5" s="11">
        <v>-5.4737341482182775E-2</v>
      </c>
      <c r="E5" s="11">
        <v>6.5505524616907618E-2</v>
      </c>
      <c r="F5" s="11">
        <v>7.1979194192086648E-2</v>
      </c>
      <c r="G5" s="1"/>
      <c r="H5" s="1"/>
      <c r="I5" s="1"/>
      <c r="J5" s="1"/>
      <c r="K5" s="1"/>
      <c r="L5" s="14"/>
      <c r="M5" s="14"/>
      <c r="N5" s="14"/>
      <c r="O5" s="1"/>
      <c r="P5" s="1"/>
      <c r="Q5" s="1"/>
      <c r="R5" s="1"/>
      <c r="S5" s="1"/>
      <c r="T5" s="1"/>
      <c r="U5" s="1"/>
      <c r="V5" s="1"/>
    </row>
    <row r="6" spans="1:24" x14ac:dyDescent="0.25">
      <c r="A6" s="1"/>
      <c r="B6" s="50" t="s">
        <v>26</v>
      </c>
      <c r="C6" s="11">
        <v>-0.22669894339486554</v>
      </c>
      <c r="D6" s="11">
        <v>-7.5790403111306984E-2</v>
      </c>
      <c r="E6" s="11">
        <v>-0.13949008639437985</v>
      </c>
      <c r="F6" s="11">
        <v>-0.12335408460385731</v>
      </c>
      <c r="G6" s="5"/>
      <c r="H6" s="1"/>
      <c r="I6" s="1"/>
      <c r="J6" s="1"/>
      <c r="K6" s="1"/>
      <c r="L6" s="9"/>
      <c r="M6" s="9"/>
      <c r="N6" s="9"/>
      <c r="O6" s="1"/>
      <c r="P6" s="1"/>
      <c r="Q6" s="1"/>
      <c r="R6" s="1"/>
      <c r="S6" s="1"/>
      <c r="T6" s="1"/>
      <c r="U6" s="1"/>
      <c r="V6" s="1"/>
    </row>
    <row r="7" spans="1:24" x14ac:dyDescent="0.25">
      <c r="A7" s="1"/>
      <c r="B7" s="50" t="s">
        <v>32</v>
      </c>
      <c r="C7" s="11">
        <v>-0.25565675961761242</v>
      </c>
      <c r="D7" s="11">
        <v>-0.27665865952478241</v>
      </c>
      <c r="E7" s="11">
        <v>-0.356384286844172</v>
      </c>
      <c r="F7" s="11">
        <v>-0.26398595072981557</v>
      </c>
      <c r="G7" s="1"/>
      <c r="H7" s="1"/>
      <c r="I7" s="1"/>
      <c r="J7" s="1"/>
      <c r="K7" s="1"/>
      <c r="L7" s="15"/>
      <c r="M7" s="15"/>
      <c r="N7" s="15"/>
      <c r="O7" s="1"/>
      <c r="P7" s="1"/>
      <c r="Q7" s="1"/>
      <c r="R7" s="1"/>
      <c r="S7" s="1"/>
      <c r="T7" s="1"/>
      <c r="U7" s="1"/>
      <c r="V7" s="1"/>
    </row>
    <row r="8" spans="1:24" x14ac:dyDescent="0.25">
      <c r="A8" s="1"/>
      <c r="B8" s="50" t="s">
        <v>25</v>
      </c>
      <c r="C8" s="11">
        <v>-0.2570014907950407</v>
      </c>
      <c r="D8" s="11">
        <v>-5.1771598416897588E-2</v>
      </c>
      <c r="E8" s="11">
        <v>-0.17119350299480857</v>
      </c>
      <c r="F8" s="11">
        <v>4.7896052715074168E-2</v>
      </c>
      <c r="G8" s="1"/>
      <c r="H8" s="1"/>
      <c r="I8" s="1"/>
      <c r="J8" s="1"/>
      <c r="K8" s="1"/>
      <c r="L8" s="16"/>
      <c r="M8" s="16"/>
      <c r="N8" s="16"/>
      <c r="O8" s="1"/>
      <c r="P8" s="1"/>
      <c r="Q8" s="1"/>
      <c r="R8" s="1"/>
      <c r="S8" s="1"/>
      <c r="T8" s="1"/>
      <c r="U8" s="1"/>
      <c r="V8" s="1"/>
    </row>
    <row r="9" spans="1:24" x14ac:dyDescent="0.25">
      <c r="A9" s="1"/>
      <c r="B9" s="50" t="s">
        <v>38</v>
      </c>
      <c r="C9" s="11">
        <v>-0.26775211430987411</v>
      </c>
      <c r="D9" s="11">
        <v>-0.15099273760250081</v>
      </c>
      <c r="E9" s="11">
        <v>-0.4633322556326509</v>
      </c>
      <c r="F9" s="11">
        <v>-0.32711288667972305</v>
      </c>
      <c r="G9" s="1"/>
      <c r="H9" s="1"/>
      <c r="I9" s="1"/>
      <c r="J9" s="1"/>
      <c r="K9" s="1"/>
      <c r="L9" s="8"/>
      <c r="M9" s="8"/>
      <c r="N9" s="8"/>
      <c r="O9" s="1"/>
      <c r="P9" s="1"/>
      <c r="Q9" s="1"/>
      <c r="R9" s="1"/>
      <c r="S9" s="1"/>
      <c r="T9" s="1"/>
      <c r="U9" s="1"/>
      <c r="V9" s="1"/>
    </row>
    <row r="10" spans="1:24" x14ac:dyDescent="0.25">
      <c r="A10" s="1"/>
      <c r="B10" s="50" t="s">
        <v>39</v>
      </c>
      <c r="C10" s="11">
        <v>-0.26815450461508011</v>
      </c>
      <c r="D10" s="11">
        <v>-0.14083281478592613</v>
      </c>
      <c r="E10" s="11">
        <v>-0.64389566802089415</v>
      </c>
      <c r="F10" s="11">
        <v>-0.25711391973589842</v>
      </c>
      <c r="G10" s="1"/>
      <c r="H10" s="1"/>
      <c r="I10" s="1"/>
      <c r="J10" s="1"/>
      <c r="K10" s="1"/>
      <c r="L10" s="1"/>
      <c r="M10" s="8"/>
      <c r="N10" s="8"/>
      <c r="O10" s="1"/>
      <c r="P10" s="1"/>
      <c r="Q10" s="1"/>
      <c r="R10" s="1"/>
      <c r="S10" s="1"/>
      <c r="T10" s="1"/>
      <c r="U10" s="1"/>
      <c r="V10" s="1"/>
    </row>
    <row r="11" spans="1:24" x14ac:dyDescent="0.25">
      <c r="A11" s="1"/>
      <c r="B11" s="50" t="s">
        <v>40</v>
      </c>
      <c r="C11" s="11">
        <v>-0.2841493082480418</v>
      </c>
      <c r="D11" s="11">
        <v>-0.29434963726818503</v>
      </c>
      <c r="E11" s="11">
        <v>-0.28505761668792712</v>
      </c>
      <c r="F11" s="11">
        <v>-0.18752724841738214</v>
      </c>
      <c r="G11" s="1"/>
      <c r="H11" s="1"/>
      <c r="I11" s="1"/>
      <c r="J11" s="1"/>
      <c r="K11" s="1"/>
      <c r="L11" s="20"/>
      <c r="M11" s="21"/>
      <c r="N11" s="8"/>
      <c r="O11" s="1"/>
      <c r="P11" s="1"/>
      <c r="Q11" s="1"/>
      <c r="R11" s="1"/>
      <c r="S11" s="1"/>
      <c r="T11" s="1"/>
      <c r="U11" s="1"/>
      <c r="V11" s="1"/>
    </row>
    <row r="12" spans="1:24" x14ac:dyDescent="0.25">
      <c r="A12" s="7"/>
      <c r="B12" s="50" t="s">
        <v>31</v>
      </c>
      <c r="C12" s="11">
        <v>-0.28518785591447221</v>
      </c>
      <c r="D12" s="11">
        <v>-0.14495316233485428</v>
      </c>
      <c r="E12" s="11">
        <v>-0.32088276340270022</v>
      </c>
      <c r="F12" s="11">
        <v>-0.25854379234092612</v>
      </c>
      <c r="G12" s="1"/>
      <c r="H12" s="1"/>
      <c r="I12" s="1"/>
      <c r="J12" s="1"/>
      <c r="K12" s="1"/>
      <c r="L12" s="18"/>
      <c r="M12" s="17"/>
      <c r="N12" s="8"/>
      <c r="O12" s="1"/>
      <c r="P12" s="1"/>
      <c r="Q12" s="1"/>
      <c r="R12" s="1"/>
      <c r="S12" s="1"/>
      <c r="T12" s="1"/>
      <c r="U12" s="1"/>
      <c r="V12" s="1"/>
    </row>
    <row r="13" spans="1:24" x14ac:dyDescent="0.25">
      <c r="A13" s="1"/>
      <c r="B13" s="50" t="s">
        <v>34</v>
      </c>
      <c r="C13" s="11">
        <v>-0.33891497978931462</v>
      </c>
      <c r="D13" s="11">
        <v>-0.35001501656998601</v>
      </c>
      <c r="E13" s="11">
        <v>-0.32596843023656796</v>
      </c>
      <c r="F13" s="11">
        <v>-0.24925240561209405</v>
      </c>
      <c r="G13" s="1"/>
      <c r="H13" s="1"/>
      <c r="I13" s="1"/>
      <c r="J13" s="1"/>
      <c r="K13" s="1"/>
      <c r="L13" s="18"/>
      <c r="M13" s="17"/>
      <c r="N13" s="8"/>
      <c r="O13" s="1"/>
      <c r="P13" s="1"/>
      <c r="Q13" s="1"/>
      <c r="R13" s="1"/>
      <c r="S13" s="1"/>
      <c r="T13" s="1"/>
      <c r="U13" s="1"/>
      <c r="V13" s="1"/>
    </row>
    <row r="14" spans="1:24" x14ac:dyDescent="0.25">
      <c r="A14" s="1"/>
      <c r="B14" s="50" t="e">
        <v>#N/A</v>
      </c>
      <c r="C14" s="11">
        <v>-0.39452213085944676</v>
      </c>
      <c r="D14" s="11">
        <v>-0.40318460540943879</v>
      </c>
      <c r="E14" s="11">
        <v>-0.4097585861015367</v>
      </c>
      <c r="F14" s="11">
        <v>-0.4097585861015367</v>
      </c>
      <c r="G14" s="1"/>
      <c r="H14" s="1"/>
      <c r="I14" s="1"/>
      <c r="J14" s="1"/>
      <c r="K14" s="1"/>
      <c r="L14" s="18"/>
      <c r="M14" s="17"/>
      <c r="N14" s="8"/>
      <c r="O14" s="1"/>
      <c r="P14" s="1"/>
      <c r="Q14" s="1"/>
      <c r="R14" s="1"/>
      <c r="S14" s="1"/>
      <c r="T14" s="1"/>
      <c r="U14" s="1"/>
      <c r="V14" s="1"/>
    </row>
    <row r="15" spans="1:24" x14ac:dyDescent="0.25">
      <c r="A15" s="1"/>
      <c r="B15" s="50" t="s">
        <v>35</v>
      </c>
      <c r="C15" s="11">
        <v>-0.39595973908902066</v>
      </c>
      <c r="D15" s="11">
        <v>-0.27317238002417005</v>
      </c>
      <c r="E15" s="11">
        <v>-0.48540787067573027</v>
      </c>
      <c r="F15" s="11">
        <v>-0.21753844522479565</v>
      </c>
      <c r="G15" s="1"/>
      <c r="H15" s="1"/>
      <c r="I15" s="1"/>
      <c r="J15" s="1"/>
      <c r="K15" s="1"/>
      <c r="L15" s="18"/>
      <c r="M15" s="17"/>
      <c r="N15" s="8"/>
      <c r="O15" s="1"/>
      <c r="P15" s="1"/>
      <c r="Q15" s="1"/>
      <c r="R15" s="1"/>
      <c r="S15" s="1"/>
      <c r="T15" s="1"/>
      <c r="U15" s="1"/>
      <c r="V15" s="1"/>
    </row>
    <row r="16" spans="1:24" x14ac:dyDescent="0.25">
      <c r="A16" s="1"/>
      <c r="B16" s="50" t="s">
        <v>29</v>
      </c>
      <c r="C16" s="11">
        <v>-0.47621781065323615</v>
      </c>
      <c r="D16" s="11">
        <v>-0.39858729508228596</v>
      </c>
      <c r="E16" s="11">
        <v>-0.77487085984177662</v>
      </c>
      <c r="F16" s="11">
        <v>-0.48914424138059887</v>
      </c>
      <c r="G16" s="1"/>
      <c r="H16" s="1"/>
      <c r="I16" s="1"/>
      <c r="J16" s="1"/>
      <c r="K16" s="1"/>
      <c r="L16" s="18"/>
      <c r="M16" s="17"/>
      <c r="N16" s="8"/>
      <c r="O16" s="1"/>
      <c r="P16" s="1"/>
      <c r="Q16" s="1"/>
      <c r="R16" s="1"/>
      <c r="S16" s="1"/>
      <c r="T16" s="1"/>
      <c r="U16" s="1"/>
      <c r="V16" s="1"/>
    </row>
    <row r="17" spans="1:22" x14ac:dyDescent="0.25">
      <c r="A17" s="1"/>
      <c r="B17" s="50" t="s">
        <v>30</v>
      </c>
      <c r="C17" s="11">
        <v>-0.48645114192295069</v>
      </c>
      <c r="D17" s="11">
        <v>-0.34492664880718521</v>
      </c>
      <c r="E17" s="11">
        <v>-0.66927118102144323</v>
      </c>
      <c r="F17" s="11">
        <v>-0.41567750630713607</v>
      </c>
      <c r="G17" s="1"/>
      <c r="H17" s="1"/>
      <c r="I17" s="1"/>
      <c r="J17" s="1"/>
      <c r="K17" s="1"/>
      <c r="L17" s="18"/>
      <c r="M17" s="17"/>
      <c r="N17" s="8"/>
      <c r="O17" s="1"/>
      <c r="P17" s="1"/>
      <c r="Q17" s="1"/>
      <c r="R17" s="1"/>
      <c r="S17" s="1"/>
      <c r="T17" s="1"/>
      <c r="U17" s="1"/>
      <c r="V17" s="1"/>
    </row>
    <row r="18" spans="1:22" x14ac:dyDescent="0.25">
      <c r="A18" s="1"/>
      <c r="B18" s="50" t="s">
        <v>33</v>
      </c>
      <c r="C18" s="11">
        <v>-0.49330878457796296</v>
      </c>
      <c r="D18" s="11">
        <v>-0.37580522718670584</v>
      </c>
      <c r="E18" s="11">
        <v>-0.40304399570306793</v>
      </c>
      <c r="F18" s="11">
        <v>-0.29625340617832963</v>
      </c>
      <c r="G18" s="1"/>
      <c r="H18" s="1"/>
      <c r="I18" s="1"/>
      <c r="J18" s="1"/>
      <c r="K18" s="1"/>
      <c r="L18" s="18"/>
      <c r="M18" s="17"/>
      <c r="N18" s="8"/>
      <c r="O18" s="1"/>
      <c r="P18" s="1"/>
      <c r="Q18" s="1"/>
      <c r="R18" s="1"/>
      <c r="S18" s="1"/>
      <c r="T18" s="1"/>
      <c r="U18" s="1"/>
      <c r="V18" s="1"/>
    </row>
    <row r="19" spans="1:22" x14ac:dyDescent="0.25">
      <c r="A19" s="7"/>
      <c r="B19" s="50" t="s">
        <v>37</v>
      </c>
      <c r="C19" s="11">
        <v>-0.5180250629994787</v>
      </c>
      <c r="D19" s="11">
        <v>-0.48066300353649671</v>
      </c>
      <c r="E19" s="11">
        <v>-0.56813339022229892</v>
      </c>
      <c r="F19" s="11">
        <v>-0.37150159968863317</v>
      </c>
      <c r="G19" s="1"/>
      <c r="H19" s="1"/>
      <c r="I19" s="1"/>
      <c r="J19" s="1"/>
      <c r="K19" s="1"/>
      <c r="L19" s="18"/>
      <c r="M19" s="17"/>
      <c r="N19" s="8"/>
      <c r="O19" s="1"/>
      <c r="P19" s="1"/>
      <c r="Q19" s="1"/>
      <c r="R19" s="1"/>
      <c r="S19" s="1"/>
      <c r="T19" s="1"/>
      <c r="U19" s="1"/>
      <c r="V19" s="1"/>
    </row>
    <row r="20" spans="1:22" x14ac:dyDescent="0.25">
      <c r="A20" s="1"/>
      <c r="B20" s="50" t="s">
        <v>28</v>
      </c>
      <c r="C20" s="11">
        <v>-0.53812356922106097</v>
      </c>
      <c r="D20" s="11">
        <v>-0.30566175808740453</v>
      </c>
      <c r="E20" s="11">
        <v>-0.73556292236975074</v>
      </c>
      <c r="F20" s="11">
        <v>-0.42255294968433832</v>
      </c>
      <c r="G20" s="1"/>
      <c r="H20" s="1"/>
      <c r="I20" s="1"/>
      <c r="J20" s="1"/>
      <c r="K20" s="1"/>
      <c r="L20" s="18"/>
      <c r="M20" s="17"/>
      <c r="N20" s="8"/>
      <c r="O20" s="1"/>
      <c r="P20" s="1"/>
      <c r="Q20" s="1"/>
      <c r="R20" s="1"/>
      <c r="S20" s="1"/>
      <c r="T20" s="1"/>
      <c r="U20" s="1"/>
      <c r="V20" s="1"/>
    </row>
    <row r="21" spans="1:22" x14ac:dyDescent="0.25">
      <c r="A21" s="1"/>
      <c r="B21" s="50" t="s">
        <v>36</v>
      </c>
      <c r="C21" s="11">
        <v>-0.5872425131019845</v>
      </c>
      <c r="D21" s="11">
        <v>-0.45706470039165126</v>
      </c>
      <c r="E21" s="11">
        <v>-0.52560102650947915</v>
      </c>
      <c r="F21" s="11">
        <v>-0.49314249940084515</v>
      </c>
      <c r="G21" s="1"/>
      <c r="H21" s="1"/>
      <c r="I21" s="1"/>
      <c r="J21" s="1"/>
      <c r="K21" s="1"/>
      <c r="L21" s="19"/>
      <c r="M21" s="17"/>
      <c r="N21" s="8"/>
      <c r="O21" s="1"/>
      <c r="P21" s="1"/>
      <c r="Q21" s="1"/>
      <c r="R21" s="1"/>
      <c r="S21" s="1"/>
      <c r="T21" s="1"/>
      <c r="U21" s="1"/>
      <c r="V21" s="1"/>
    </row>
    <row r="22" spans="1:22" x14ac:dyDescent="0.25">
      <c r="A22" s="1"/>
      <c r="B22" s="8" t="s">
        <v>27</v>
      </c>
      <c r="C22" s="8">
        <v>-0.61574162762782314</v>
      </c>
      <c r="D22" s="8">
        <v>-0.55317683849176258</v>
      </c>
      <c r="E22" s="1">
        <v>-1.450344022719811</v>
      </c>
      <c r="F22" s="1">
        <v>-0.66567348482317401</v>
      </c>
      <c r="G22" s="1"/>
      <c r="H22" s="1"/>
      <c r="I22" s="1"/>
      <c r="J22" s="1"/>
      <c r="K22" s="1"/>
      <c r="L22" s="8"/>
      <c r="M22" s="8"/>
      <c r="N22" s="8"/>
      <c r="O22" s="1"/>
      <c r="P22" s="1"/>
      <c r="Q22" s="1"/>
      <c r="R22" s="1"/>
      <c r="S22" s="1"/>
      <c r="T22" s="1"/>
      <c r="U22" s="1"/>
      <c r="V22" s="1"/>
    </row>
    <row r="23" spans="1:22" x14ac:dyDescent="0.25">
      <c r="A23" s="1"/>
      <c r="B23" s="8"/>
      <c r="C23" s="8"/>
      <c r="D23" s="8"/>
      <c r="E23" s="1"/>
      <c r="F23" s="1"/>
      <c r="G23" s="1"/>
      <c r="H23" s="1"/>
      <c r="I23" s="1"/>
      <c r="J23" s="1"/>
      <c r="K23" s="1"/>
      <c r="L23" s="8"/>
      <c r="M23" s="8"/>
      <c r="N23" s="8"/>
      <c r="O23" s="1"/>
      <c r="P23" s="1"/>
      <c r="Q23" s="1"/>
      <c r="R23" s="1"/>
      <c r="S23" s="1"/>
      <c r="T23" s="1"/>
      <c r="U23" s="1"/>
      <c r="V23" s="1"/>
    </row>
    <row r="24" spans="1:22" x14ac:dyDescent="0.25">
      <c r="A24" s="1"/>
      <c r="B24" s="9"/>
      <c r="C24" s="9"/>
      <c r="D24" s="9"/>
      <c r="E24" s="1"/>
      <c r="F24" s="1"/>
      <c r="G24" s="1"/>
      <c r="H24" s="1"/>
      <c r="I24" s="1"/>
      <c r="J24" s="1"/>
      <c r="K24" s="1"/>
      <c r="L24" s="8"/>
      <c r="M24" s="8"/>
      <c r="N24" s="8"/>
      <c r="O24" s="1"/>
      <c r="P24" s="1"/>
      <c r="Q24" s="1"/>
      <c r="R24" s="1"/>
      <c r="S24" s="1"/>
      <c r="T24" s="1"/>
      <c r="U24" s="1"/>
      <c r="V24" s="1"/>
    </row>
    <row r="25" spans="1:22" x14ac:dyDescent="0.25">
      <c r="A25" s="1"/>
      <c r="B25" s="10"/>
      <c r="C25" s="10"/>
      <c r="D25" s="10"/>
      <c r="E25" s="1"/>
      <c r="F25" s="1"/>
      <c r="G25" s="1"/>
      <c r="H25" s="1"/>
      <c r="I25" s="1"/>
      <c r="J25" s="1"/>
      <c r="K25" s="1"/>
      <c r="L25" s="8"/>
      <c r="M25" s="8"/>
      <c r="N25" s="8"/>
      <c r="O25" s="1"/>
      <c r="P25" s="1"/>
      <c r="Q25" s="1"/>
      <c r="R25" s="1"/>
      <c r="S25" s="1"/>
      <c r="T25" s="1"/>
      <c r="U25" s="1"/>
      <c r="V25" s="1"/>
    </row>
    <row r="26" spans="1:22" x14ac:dyDescent="0.25">
      <c r="A26" s="7"/>
      <c r="B26" s="11"/>
      <c r="C26" s="11"/>
      <c r="D26" s="11"/>
      <c r="E26" s="1"/>
      <c r="F26" s="1"/>
      <c r="G26" s="1"/>
      <c r="H26" s="1"/>
      <c r="I26" s="1"/>
      <c r="J26" s="1"/>
      <c r="K26" s="1"/>
      <c r="L26" s="20"/>
      <c r="M26" s="21"/>
      <c r="N26" s="8"/>
      <c r="O26" s="1"/>
      <c r="P26" s="1"/>
      <c r="Q26" s="1"/>
      <c r="R26" s="1"/>
      <c r="S26" s="1"/>
      <c r="T26" s="1"/>
      <c r="U26" s="1"/>
      <c r="V26" s="1"/>
    </row>
    <row r="27" spans="1:22" x14ac:dyDescent="0.25">
      <c r="A27" s="1"/>
      <c r="B27" s="8"/>
      <c r="C27" s="8"/>
      <c r="D27" s="8"/>
      <c r="E27" s="1"/>
      <c r="F27" s="1"/>
      <c r="G27" s="1"/>
      <c r="H27" s="1"/>
      <c r="I27" s="1"/>
      <c r="J27" s="1"/>
      <c r="K27" s="1"/>
      <c r="L27" s="18"/>
      <c r="M27" s="17"/>
      <c r="N27" s="8"/>
      <c r="O27" s="1"/>
      <c r="P27" s="1"/>
      <c r="Q27" s="1"/>
      <c r="R27" s="1"/>
      <c r="S27" s="1"/>
      <c r="T27" s="1"/>
      <c r="U27" s="1"/>
      <c r="V27" s="1"/>
    </row>
    <row r="28" spans="1:22" x14ac:dyDescent="0.25">
      <c r="A28" s="1"/>
      <c r="B28" s="8"/>
      <c r="C28" s="8"/>
      <c r="D28" s="8"/>
      <c r="E28" s="1"/>
      <c r="F28" s="1"/>
      <c r="G28" s="1"/>
      <c r="H28" s="1"/>
      <c r="I28" s="1"/>
      <c r="J28" s="1"/>
      <c r="K28" s="1"/>
      <c r="L28" s="18"/>
      <c r="M28" s="17"/>
      <c r="N28" s="8"/>
      <c r="O28" s="1"/>
      <c r="P28" s="1"/>
      <c r="Q28" s="1"/>
      <c r="R28" s="1"/>
      <c r="S28" s="1"/>
      <c r="T28" s="1"/>
      <c r="U28" s="1"/>
      <c r="V28" s="1"/>
    </row>
    <row r="29" spans="1:22" x14ac:dyDescent="0.25">
      <c r="A29" s="1"/>
      <c r="B29" s="8"/>
      <c r="C29" s="8"/>
      <c r="D29" s="8"/>
      <c r="E29" s="1"/>
      <c r="F29" s="1"/>
      <c r="G29" s="1"/>
      <c r="H29" s="1"/>
      <c r="I29" s="1"/>
      <c r="J29" s="1"/>
      <c r="K29" s="1"/>
      <c r="L29" s="18"/>
      <c r="M29" s="17"/>
      <c r="N29" s="8"/>
      <c r="O29" s="1"/>
      <c r="P29" s="1"/>
      <c r="Q29" s="1"/>
      <c r="R29" s="1"/>
      <c r="S29" s="1"/>
      <c r="T29" s="1"/>
      <c r="U29" s="1"/>
      <c r="V29" s="1"/>
    </row>
    <row r="30" spans="1:22" x14ac:dyDescent="0.25">
      <c r="A30" s="1"/>
      <c r="B30" s="8"/>
      <c r="C30" s="8"/>
      <c r="D30" s="8"/>
      <c r="E30" s="1"/>
      <c r="F30" s="1"/>
      <c r="G30" s="1"/>
      <c r="H30" s="1"/>
      <c r="I30" s="1"/>
      <c r="J30" s="1"/>
      <c r="K30" s="1"/>
      <c r="L30" s="18"/>
      <c r="M30" s="17"/>
      <c r="N30" s="8"/>
      <c r="O30" s="1"/>
      <c r="P30" s="1"/>
      <c r="Q30" s="1"/>
      <c r="R30" s="1"/>
      <c r="S30" s="1"/>
      <c r="T30" s="1"/>
      <c r="U30" s="1"/>
      <c r="V30" s="1"/>
    </row>
    <row r="31" spans="1:22" x14ac:dyDescent="0.25">
      <c r="A31" s="1"/>
      <c r="B31" s="8"/>
      <c r="C31" s="8"/>
      <c r="D31" s="8"/>
      <c r="E31" s="1"/>
      <c r="F31" s="1"/>
      <c r="G31" s="1"/>
      <c r="H31" s="1"/>
      <c r="I31" s="1"/>
      <c r="J31" s="1"/>
      <c r="K31" s="1"/>
      <c r="L31" s="18"/>
      <c r="M31" s="17"/>
      <c r="N31" s="8"/>
      <c r="O31" s="1"/>
      <c r="P31" s="1"/>
      <c r="Q31" s="1"/>
      <c r="R31" s="1"/>
      <c r="S31" s="1"/>
      <c r="T31" s="1"/>
      <c r="U31" s="1"/>
      <c r="V31" s="1"/>
    </row>
    <row r="32" spans="1:22" x14ac:dyDescent="0.25">
      <c r="A32" s="1"/>
      <c r="B32" s="8"/>
      <c r="C32" s="8"/>
      <c r="D32" s="8"/>
      <c r="E32" s="1"/>
      <c r="F32" s="1"/>
      <c r="G32" s="1"/>
      <c r="H32" s="1"/>
      <c r="I32" s="1"/>
      <c r="J32" s="1"/>
      <c r="K32" s="1"/>
      <c r="L32" s="18"/>
      <c r="M32" s="17"/>
      <c r="N32" s="8"/>
      <c r="O32" s="1"/>
      <c r="P32" s="1"/>
      <c r="Q32" s="1"/>
      <c r="R32" s="1"/>
      <c r="S32" s="1"/>
      <c r="T32" s="1"/>
      <c r="U32" s="1"/>
      <c r="V32" s="1"/>
    </row>
    <row r="33" spans="1:22" x14ac:dyDescent="0.25">
      <c r="A33" s="1"/>
      <c r="B33" s="8"/>
      <c r="C33" s="8"/>
      <c r="D33" s="8"/>
      <c r="E33" s="1"/>
      <c r="F33" s="1"/>
      <c r="G33" s="1"/>
      <c r="H33" s="1"/>
      <c r="I33" s="1"/>
      <c r="J33" s="1"/>
      <c r="K33" s="1"/>
      <c r="L33" s="18"/>
      <c r="M33" s="17"/>
      <c r="N33" s="8"/>
      <c r="O33" s="1"/>
      <c r="P33" s="1"/>
      <c r="Q33" s="1"/>
      <c r="R33" s="1"/>
      <c r="S33" s="1"/>
      <c r="T33" s="1"/>
      <c r="U33" s="1"/>
      <c r="V33" s="1"/>
    </row>
    <row r="34" spans="1:22" x14ac:dyDescent="0.25">
      <c r="A34" s="1"/>
      <c r="B34" s="8"/>
      <c r="C34" s="8"/>
      <c r="D34" s="8"/>
      <c r="E34" s="1"/>
      <c r="F34" s="1"/>
      <c r="G34" s="1"/>
      <c r="H34" s="1"/>
      <c r="I34" s="1"/>
      <c r="J34" s="1"/>
      <c r="K34" s="1"/>
      <c r="L34" s="8"/>
      <c r="M34" s="8"/>
      <c r="N34" s="8"/>
      <c r="O34" s="1"/>
      <c r="P34" s="1"/>
      <c r="Q34" s="1"/>
      <c r="R34" s="1"/>
      <c r="S34" s="1"/>
      <c r="T34" s="1"/>
      <c r="U34" s="1"/>
      <c r="V34" s="1"/>
    </row>
    <row r="35" spans="1:22" x14ac:dyDescent="0.25">
      <c r="A35" s="1"/>
      <c r="B35" s="8"/>
      <c r="C35" s="8"/>
      <c r="D35" s="8"/>
      <c r="E35" s="1"/>
      <c r="F35" s="1"/>
      <c r="G35" s="1"/>
      <c r="H35" s="1"/>
      <c r="I35" s="1"/>
      <c r="J35" s="1"/>
      <c r="K35" s="1"/>
      <c r="L35" s="8"/>
      <c r="M35" s="8"/>
      <c r="N35" s="8"/>
      <c r="O35" s="1"/>
      <c r="P35" s="1"/>
      <c r="Q35" s="1"/>
      <c r="R35" s="1"/>
      <c r="S35" s="1"/>
      <c r="T35" s="1"/>
      <c r="U35" s="1"/>
      <c r="V35" s="1"/>
    </row>
    <row r="36" spans="1:22" x14ac:dyDescent="0.25">
      <c r="A36" s="1"/>
      <c r="B36" s="8"/>
      <c r="C36" s="8"/>
      <c r="D36" s="8"/>
      <c r="E36" s="1"/>
      <c r="F36" s="1"/>
      <c r="G36" s="1"/>
      <c r="H36" s="1"/>
      <c r="I36" s="1"/>
      <c r="J36" s="1"/>
      <c r="K36" s="1"/>
      <c r="L36" s="8"/>
      <c r="M36" s="8"/>
      <c r="N36" s="8"/>
      <c r="O36" s="1"/>
      <c r="P36" s="1"/>
      <c r="Q36" s="1"/>
      <c r="R36" s="1"/>
      <c r="S36" s="1"/>
      <c r="T36" s="1"/>
      <c r="U36" s="1"/>
      <c r="V36" s="1"/>
    </row>
    <row r="37" spans="1:22" x14ac:dyDescent="0.25">
      <c r="A37" s="1"/>
      <c r="B37" s="8"/>
      <c r="C37" s="8"/>
      <c r="D37" s="8"/>
      <c r="E37" s="1"/>
      <c r="F37" s="1"/>
      <c r="G37" s="1"/>
      <c r="H37" s="1"/>
      <c r="I37" s="1"/>
      <c r="J37" s="1"/>
      <c r="K37" s="1"/>
      <c r="L37" s="8"/>
      <c r="M37" s="8"/>
      <c r="N37" s="8"/>
      <c r="O37" s="1"/>
      <c r="P37" s="1"/>
      <c r="Q37" s="1"/>
      <c r="R37" s="1"/>
      <c r="S37" s="1"/>
      <c r="T37" s="1"/>
      <c r="U37" s="1"/>
      <c r="V37" s="1"/>
    </row>
    <row r="38" spans="1:22" x14ac:dyDescent="0.25">
      <c r="A38" s="1"/>
      <c r="B38" s="8"/>
      <c r="C38" s="8"/>
      <c r="D38" s="8"/>
      <c r="E38" s="1"/>
      <c r="F38" s="1"/>
      <c r="G38" s="1"/>
      <c r="H38" s="1"/>
      <c r="I38" s="1"/>
      <c r="J38" s="1"/>
      <c r="K38" s="1"/>
      <c r="L38" s="8"/>
      <c r="M38" s="8"/>
      <c r="N38" s="8"/>
      <c r="O38" s="1"/>
      <c r="P38" s="1"/>
      <c r="Q38" s="1"/>
      <c r="R38" s="1"/>
      <c r="S38" s="1"/>
      <c r="T38" s="1"/>
      <c r="U38" s="1"/>
      <c r="V38" s="1"/>
    </row>
    <row r="39" spans="1:22" x14ac:dyDescent="0.25">
      <c r="A39" s="1"/>
      <c r="B39" s="8"/>
      <c r="C39" s="8"/>
      <c r="D39" s="8"/>
      <c r="E39" s="1"/>
      <c r="F39" s="1"/>
      <c r="G39" s="1"/>
      <c r="H39" s="1"/>
      <c r="I39" s="1"/>
      <c r="J39" s="1"/>
      <c r="K39" s="1"/>
      <c r="L39" s="8"/>
      <c r="M39" s="8"/>
      <c r="N39" s="8"/>
      <c r="O39" s="1"/>
      <c r="P39" s="1"/>
      <c r="Q39" s="1"/>
      <c r="R39" s="1"/>
      <c r="S39" s="1"/>
      <c r="T39" s="1"/>
      <c r="U39" s="1"/>
      <c r="V39" s="1"/>
    </row>
    <row r="40" spans="1:22" x14ac:dyDescent="0.25">
      <c r="A40" s="1"/>
      <c r="B40" s="8"/>
      <c r="C40" s="8"/>
      <c r="D40" s="8"/>
      <c r="E40" s="1"/>
      <c r="F40" s="1"/>
      <c r="G40" s="1"/>
      <c r="H40" s="1"/>
      <c r="I40" s="1"/>
      <c r="J40" s="1"/>
      <c r="K40" s="1"/>
      <c r="L40" s="8"/>
      <c r="M40" s="8"/>
      <c r="N40" s="8"/>
      <c r="O40" s="1"/>
      <c r="P40" s="1"/>
      <c r="Q40" s="1"/>
      <c r="R40" s="1"/>
      <c r="S40" s="1"/>
      <c r="T40" s="1"/>
      <c r="U40" s="1"/>
      <c r="V40" s="1"/>
    </row>
    <row r="41" spans="1:22" x14ac:dyDescent="0.25">
      <c r="A41" s="1"/>
      <c r="B41" s="8"/>
      <c r="C41" s="8"/>
      <c r="D41" s="8"/>
      <c r="E41" s="1"/>
      <c r="F41" s="1"/>
      <c r="G41" s="1"/>
      <c r="H41" s="1"/>
      <c r="I41" s="1"/>
      <c r="J41" s="1"/>
      <c r="K41" s="1"/>
      <c r="L41" s="8"/>
      <c r="M41" s="8"/>
      <c r="N41" s="8"/>
      <c r="O41" s="1"/>
      <c r="P41" s="1"/>
      <c r="Q41" s="1"/>
      <c r="R41" s="1"/>
      <c r="S41" s="1"/>
      <c r="T41" s="1"/>
      <c r="U41" s="1"/>
      <c r="V41" s="1"/>
    </row>
    <row r="42" spans="1:22" x14ac:dyDescent="0.25">
      <c r="A42" s="1"/>
      <c r="B42" s="8"/>
      <c r="C42" s="8"/>
      <c r="D42" s="8"/>
      <c r="E42" s="1"/>
      <c r="F42" s="1"/>
      <c r="G42" s="1"/>
      <c r="H42" s="1"/>
      <c r="I42" s="1"/>
      <c r="J42" s="1"/>
      <c r="K42" s="1"/>
      <c r="L42" s="8"/>
      <c r="M42" s="8"/>
      <c r="N42" s="8"/>
      <c r="O42" s="1"/>
      <c r="P42" s="1"/>
      <c r="Q42" s="1"/>
      <c r="R42" s="1"/>
      <c r="S42" s="1"/>
      <c r="T42" s="1"/>
      <c r="U42" s="1"/>
      <c r="V42" s="1"/>
    </row>
    <row r="43" spans="1:22" x14ac:dyDescent="0.25">
      <c r="A43" s="1"/>
      <c r="B43" s="8"/>
      <c r="C43" s="8"/>
      <c r="D43" s="8"/>
      <c r="E43" s="1"/>
      <c r="F43" s="1"/>
      <c r="G43" s="1"/>
      <c r="H43" s="1"/>
      <c r="I43" s="1"/>
      <c r="J43" s="1"/>
      <c r="K43" s="1"/>
      <c r="L43" s="8"/>
      <c r="M43" s="8"/>
      <c r="N43" s="8"/>
      <c r="O43" s="1"/>
      <c r="P43" s="1"/>
      <c r="Q43" s="1"/>
      <c r="R43" s="1"/>
      <c r="S43" s="1"/>
      <c r="T43" s="1"/>
      <c r="U43" s="1"/>
      <c r="V43" s="1"/>
    </row>
    <row r="44" spans="1:22" x14ac:dyDescent="0.25">
      <c r="A44" s="1"/>
      <c r="B44" s="8"/>
      <c r="C44" s="8"/>
      <c r="D44" s="8"/>
      <c r="E44" s="1"/>
      <c r="F44" s="1"/>
      <c r="G44" s="1"/>
      <c r="H44" s="1"/>
      <c r="I44" s="1"/>
      <c r="J44" s="1"/>
      <c r="K44" s="1"/>
      <c r="L44" s="8"/>
      <c r="M44" s="8"/>
      <c r="N44" s="8"/>
      <c r="O44" s="1"/>
      <c r="P44" s="1"/>
      <c r="Q44" s="1"/>
      <c r="R44" s="1"/>
      <c r="S44" s="1"/>
      <c r="T44" s="1"/>
      <c r="U44" s="1"/>
      <c r="V44" s="1"/>
    </row>
    <row r="45" spans="1:22" x14ac:dyDescent="0.25">
      <c r="A45" s="1"/>
      <c r="B45" s="8"/>
      <c r="C45" s="8"/>
      <c r="D45" s="8"/>
      <c r="E45" s="1"/>
      <c r="F45" s="1"/>
      <c r="G45" s="1"/>
      <c r="H45" s="1"/>
      <c r="I45" s="1"/>
      <c r="J45" s="1"/>
      <c r="K45" s="1"/>
      <c r="L45" s="8"/>
      <c r="M45" s="8"/>
      <c r="N45" s="8"/>
      <c r="O45" s="1"/>
      <c r="P45" s="1"/>
      <c r="Q45" s="1"/>
      <c r="R45" s="1"/>
      <c r="S45" s="1"/>
      <c r="T45" s="1"/>
      <c r="U45" s="1"/>
      <c r="V45" s="1"/>
    </row>
    <row r="46" spans="1:22" x14ac:dyDescent="0.25">
      <c r="A46" s="1"/>
      <c r="B46" s="8"/>
      <c r="C46" s="8"/>
      <c r="D46" s="8"/>
      <c r="E46" s="1"/>
      <c r="F46" s="1"/>
      <c r="G46" s="1"/>
      <c r="H46" s="1"/>
      <c r="I46" s="1"/>
      <c r="J46" s="1"/>
      <c r="K46" s="1"/>
      <c r="L46" s="8"/>
      <c r="M46" s="8"/>
      <c r="N46" s="8"/>
      <c r="O46" s="1"/>
      <c r="P46" s="1"/>
      <c r="Q46" s="1"/>
      <c r="R46" s="1"/>
      <c r="S46" s="1"/>
      <c r="T46" s="1"/>
      <c r="U46" s="1"/>
      <c r="V46" s="1"/>
    </row>
    <row r="47" spans="1:22" x14ac:dyDescent="0.25">
      <c r="A47" s="1"/>
      <c r="B47" s="8"/>
      <c r="C47" s="8"/>
      <c r="D47" s="8"/>
      <c r="E47" s="1"/>
      <c r="F47" s="1"/>
      <c r="G47" s="1"/>
      <c r="H47" s="1"/>
      <c r="I47" s="1"/>
      <c r="J47" s="1"/>
      <c r="K47" s="1"/>
      <c r="L47" s="8"/>
      <c r="M47" s="8"/>
      <c r="N47" s="8"/>
      <c r="O47" s="1"/>
      <c r="P47" s="1"/>
      <c r="Q47" s="1"/>
      <c r="R47" s="1"/>
      <c r="S47" s="1"/>
      <c r="T47" s="1"/>
      <c r="U47" s="1"/>
      <c r="V47" s="1"/>
    </row>
    <row r="48" spans="1:22" x14ac:dyDescent="0.25">
      <c r="A48" s="1"/>
      <c r="B48" s="8"/>
      <c r="C48" s="8"/>
      <c r="D48" s="8"/>
      <c r="E48" s="1"/>
      <c r="F48" s="1"/>
      <c r="G48" s="1"/>
      <c r="H48" s="1"/>
      <c r="I48" s="1"/>
      <c r="J48" s="1"/>
      <c r="K48" s="1"/>
      <c r="L48" s="8"/>
      <c r="M48" s="8"/>
      <c r="N48" s="8"/>
      <c r="O48" s="1"/>
      <c r="P48" s="1"/>
      <c r="Q48" s="1"/>
      <c r="R48" s="1"/>
      <c r="S48" s="1"/>
      <c r="T48" s="1"/>
      <c r="U48" s="1"/>
      <c r="V48" s="1"/>
    </row>
    <row r="49" spans="1:22" x14ac:dyDescent="0.25">
      <c r="A49" s="1"/>
      <c r="B49" s="8"/>
      <c r="C49" s="8"/>
      <c r="D49" s="8"/>
      <c r="E49" s="1"/>
      <c r="F49" s="1"/>
      <c r="G49" s="1"/>
      <c r="H49" s="1"/>
      <c r="I49" s="1"/>
      <c r="J49" s="1"/>
      <c r="K49" s="1"/>
      <c r="L49" s="8"/>
      <c r="M49" s="8"/>
      <c r="N49" s="8"/>
      <c r="O49" s="1"/>
      <c r="P49" s="1"/>
      <c r="Q49" s="1"/>
      <c r="R49" s="1"/>
      <c r="S49" s="1"/>
      <c r="T49" s="1"/>
      <c r="U49" s="1"/>
      <c r="V49" s="1"/>
    </row>
    <row r="50" spans="1:22" x14ac:dyDescent="0.25">
      <c r="A50" s="1"/>
      <c r="B50" s="8"/>
      <c r="C50" s="8"/>
      <c r="D50" s="8"/>
      <c r="E50" s="1"/>
      <c r="F50" s="1"/>
      <c r="G50" s="1"/>
      <c r="H50" s="1"/>
      <c r="I50" s="1"/>
      <c r="J50" s="1"/>
      <c r="K50" s="1"/>
      <c r="L50" s="8"/>
      <c r="M50" s="8"/>
      <c r="N50" s="8"/>
      <c r="O50" s="1"/>
      <c r="P50" s="1"/>
      <c r="Q50" s="1"/>
      <c r="R50" s="1"/>
      <c r="S50" s="1"/>
      <c r="T50" s="1"/>
      <c r="U50" s="1"/>
      <c r="V50" s="1"/>
    </row>
    <row r="51" spans="1:22" x14ac:dyDescent="0.25">
      <c r="A51" s="1"/>
      <c r="B51" s="8"/>
      <c r="C51" s="8"/>
      <c r="D51" s="8"/>
      <c r="E51" s="1"/>
      <c r="F51" s="1"/>
      <c r="G51" s="1"/>
      <c r="H51" s="1"/>
      <c r="I51" s="1"/>
      <c r="J51" s="1"/>
      <c r="K51" s="1"/>
      <c r="L51" s="8"/>
      <c r="M51" s="8"/>
      <c r="N51" s="8"/>
      <c r="O51" s="1"/>
      <c r="P51" s="1"/>
      <c r="Q51" s="1"/>
      <c r="R51" s="1"/>
      <c r="S51" s="1"/>
      <c r="T51" s="1"/>
      <c r="U51" s="1"/>
      <c r="V51" s="1"/>
    </row>
    <row r="52" spans="1:22" x14ac:dyDescent="0.25">
      <c r="A52" s="1"/>
      <c r="B52" s="8"/>
      <c r="C52" s="8"/>
      <c r="D52" s="8"/>
      <c r="E52" s="1"/>
      <c r="F52" s="1"/>
      <c r="G52" s="1"/>
      <c r="H52" s="1"/>
      <c r="I52" s="1"/>
      <c r="J52" s="1"/>
      <c r="K52" s="1"/>
      <c r="L52" s="8"/>
      <c r="M52" s="8"/>
      <c r="N52" s="8"/>
      <c r="O52" s="1"/>
      <c r="P52" s="1"/>
      <c r="Q52" s="1"/>
      <c r="R52" s="1"/>
      <c r="S52" s="1"/>
      <c r="T52" s="1"/>
      <c r="U52" s="1"/>
      <c r="V52" s="1"/>
    </row>
    <row r="53" spans="1:22" x14ac:dyDescent="0.25">
      <c r="A53" s="1"/>
      <c r="B53" s="8"/>
      <c r="C53" s="8"/>
      <c r="D53" s="8"/>
      <c r="E53" s="1"/>
      <c r="F53" s="1"/>
      <c r="G53" s="1"/>
      <c r="H53" s="1"/>
      <c r="I53" s="1"/>
      <c r="J53" s="1"/>
      <c r="K53" s="1"/>
      <c r="L53" s="8"/>
      <c r="M53" s="8"/>
      <c r="N53" s="8"/>
      <c r="O53" s="1"/>
      <c r="P53" s="1"/>
      <c r="Q53" s="1"/>
      <c r="R53" s="1"/>
      <c r="S53" s="1"/>
      <c r="T53" s="1"/>
      <c r="U53" s="1"/>
      <c r="V53" s="1"/>
    </row>
    <row r="54" spans="1:22" x14ac:dyDescent="0.25">
      <c r="A54" s="1"/>
      <c r="B54" s="8"/>
      <c r="C54" s="8"/>
      <c r="D54" s="8"/>
      <c r="E54" s="1"/>
      <c r="F54" s="1"/>
      <c r="G54" s="1"/>
      <c r="H54" s="1"/>
      <c r="I54" s="1"/>
      <c r="J54" s="1"/>
      <c r="K54" s="1"/>
      <c r="L54" s="8"/>
      <c r="M54" s="8"/>
      <c r="N54" s="8"/>
      <c r="O54" s="1"/>
      <c r="P54" s="1"/>
      <c r="Q54" s="1"/>
      <c r="R54" s="1"/>
      <c r="S54" s="1"/>
      <c r="T54" s="1"/>
      <c r="U54" s="1"/>
      <c r="V54" s="1"/>
    </row>
    <row r="55" spans="1:22" x14ac:dyDescent="0.25">
      <c r="A55" s="1"/>
      <c r="B55" s="8"/>
      <c r="C55" s="8"/>
      <c r="D55" s="8"/>
      <c r="E55" s="1"/>
      <c r="F55" s="1"/>
      <c r="G55" s="1"/>
      <c r="H55" s="1"/>
      <c r="I55" s="1"/>
      <c r="J55" s="1"/>
      <c r="K55" s="1"/>
      <c r="L55" s="8"/>
      <c r="M55" s="8"/>
      <c r="N55" s="8"/>
      <c r="O55" s="1"/>
      <c r="P55" s="1"/>
      <c r="Q55" s="1"/>
      <c r="R55" s="1"/>
      <c r="S55" s="1"/>
      <c r="T55" s="1"/>
      <c r="U55" s="1"/>
      <c r="V55" s="1"/>
    </row>
    <row r="56" spans="1:22" x14ac:dyDescent="0.25">
      <c r="A56" s="1"/>
      <c r="B56" s="8"/>
      <c r="C56" s="8"/>
      <c r="D56" s="8"/>
      <c r="E56" s="1"/>
      <c r="F56" s="1"/>
      <c r="G56" s="1"/>
      <c r="H56" s="1"/>
      <c r="I56" s="1"/>
      <c r="J56" s="1"/>
      <c r="K56" s="1"/>
      <c r="L56" s="8"/>
      <c r="M56" s="8"/>
      <c r="N56" s="8"/>
      <c r="O56" s="1"/>
      <c r="P56" s="1"/>
      <c r="Q56" s="1"/>
      <c r="R56" s="1"/>
      <c r="S56" s="1"/>
      <c r="T56" s="1"/>
      <c r="U56" s="1"/>
      <c r="V56" s="1"/>
    </row>
    <row r="57" spans="1:22" x14ac:dyDescent="0.25">
      <c r="A57" s="1"/>
      <c r="B57" s="8"/>
      <c r="C57" s="8"/>
      <c r="D57" s="8"/>
      <c r="E57" s="1"/>
      <c r="F57" s="1"/>
      <c r="G57" s="1"/>
      <c r="H57" s="1"/>
      <c r="I57" s="1"/>
      <c r="J57" s="1"/>
      <c r="K57" s="1"/>
      <c r="L57" s="8"/>
      <c r="M57" s="8"/>
      <c r="N57" s="8"/>
      <c r="O57" s="1"/>
      <c r="P57" s="1"/>
      <c r="Q57" s="1"/>
      <c r="R57" s="1"/>
      <c r="S57" s="1"/>
      <c r="T57" s="1"/>
      <c r="U57" s="1"/>
      <c r="V57" s="1"/>
    </row>
    <row r="58" spans="1:22" x14ac:dyDescent="0.25">
      <c r="A58" s="1"/>
      <c r="B58" s="8"/>
      <c r="C58" s="8"/>
      <c r="D58" s="8"/>
      <c r="E58" s="1"/>
      <c r="F58" s="1"/>
      <c r="G58" s="1"/>
      <c r="H58" s="1"/>
      <c r="I58" s="1"/>
      <c r="J58" s="1"/>
      <c r="K58" s="1"/>
      <c r="L58" s="8"/>
      <c r="M58" s="8"/>
      <c r="N58" s="8"/>
      <c r="O58" s="1"/>
      <c r="P58" s="1"/>
      <c r="Q58" s="1"/>
      <c r="R58" s="1"/>
      <c r="S58" s="1"/>
      <c r="T58" s="1"/>
      <c r="U58" s="1"/>
      <c r="V58" s="1"/>
    </row>
    <row r="59" spans="1:22" x14ac:dyDescent="0.25">
      <c r="A59" s="1"/>
      <c r="B59" s="8"/>
      <c r="C59" s="8"/>
      <c r="D59" s="8"/>
      <c r="E59" s="1"/>
      <c r="F59" s="1"/>
      <c r="G59" s="1"/>
      <c r="H59" s="1"/>
      <c r="I59" s="1"/>
      <c r="J59" s="1"/>
      <c r="K59" s="1"/>
      <c r="L59" s="8"/>
      <c r="M59" s="8"/>
      <c r="N59" s="8"/>
      <c r="O59" s="1"/>
      <c r="P59" s="1"/>
      <c r="Q59" s="1"/>
      <c r="R59" s="1"/>
      <c r="S59" s="1"/>
      <c r="T59" s="1"/>
      <c r="U59" s="1"/>
      <c r="V59" s="1"/>
    </row>
    <row r="60" spans="1:22" x14ac:dyDescent="0.25">
      <c r="A60" s="1"/>
      <c r="B60" s="8"/>
      <c r="C60" s="8"/>
      <c r="D60" s="8"/>
      <c r="E60" s="1"/>
      <c r="F60" s="1"/>
      <c r="G60" s="1"/>
      <c r="H60" s="1"/>
      <c r="I60" s="1"/>
      <c r="J60" s="1"/>
      <c r="K60" s="1"/>
      <c r="L60" s="8"/>
      <c r="M60" s="8"/>
      <c r="N60" s="8"/>
      <c r="O60" s="1"/>
      <c r="P60" s="1"/>
      <c r="Q60" s="1"/>
      <c r="R60" s="1"/>
      <c r="S60" s="1"/>
      <c r="T60" s="1"/>
      <c r="U60" s="1"/>
      <c r="V60" s="1"/>
    </row>
    <row r="61" spans="1:22" x14ac:dyDescent="0.25">
      <c r="A61" s="1"/>
      <c r="B61" s="8"/>
      <c r="C61" s="8"/>
      <c r="D61" s="8"/>
      <c r="E61" s="1"/>
      <c r="F61" s="1"/>
      <c r="G61" s="1"/>
      <c r="H61" s="1"/>
      <c r="I61" s="1"/>
      <c r="J61" s="1"/>
      <c r="K61" s="1"/>
      <c r="L61" s="8"/>
      <c r="M61" s="8"/>
      <c r="N61" s="8"/>
      <c r="O61" s="1"/>
      <c r="P61" s="1"/>
      <c r="Q61" s="1"/>
      <c r="R61" s="1"/>
      <c r="S61" s="1"/>
      <c r="T61" s="1"/>
      <c r="U61" s="1"/>
      <c r="V61" s="1"/>
    </row>
    <row r="62" spans="1:22" x14ac:dyDescent="0.25">
      <c r="A62" s="1"/>
      <c r="B62" s="8"/>
      <c r="C62" s="8"/>
      <c r="D62" s="8"/>
      <c r="E62" s="1"/>
      <c r="F62" s="1"/>
      <c r="G62" s="1"/>
      <c r="H62" s="1"/>
      <c r="I62" s="1"/>
      <c r="J62" s="1"/>
      <c r="K62" s="1"/>
      <c r="L62" s="8"/>
      <c r="M62" s="8"/>
      <c r="N62" s="8"/>
      <c r="O62" s="1"/>
      <c r="P62" s="1"/>
      <c r="Q62" s="1"/>
      <c r="R62" s="1"/>
      <c r="S62" s="1"/>
      <c r="T62" s="1"/>
      <c r="U62" s="1"/>
      <c r="V62" s="1"/>
    </row>
    <row r="63" spans="1:22" x14ac:dyDescent="0.25">
      <c r="A63" s="1"/>
      <c r="B63" s="8"/>
      <c r="C63" s="8"/>
      <c r="D63" s="8"/>
      <c r="E63" s="1"/>
      <c r="F63" s="1"/>
      <c r="G63" s="1"/>
      <c r="H63" s="1"/>
      <c r="I63" s="1"/>
      <c r="J63" s="1"/>
      <c r="K63" s="1"/>
      <c r="L63" s="8"/>
      <c r="M63" s="8"/>
      <c r="N63" s="8"/>
      <c r="O63" s="1"/>
      <c r="P63" s="1"/>
      <c r="Q63" s="1"/>
      <c r="R63" s="1"/>
      <c r="S63" s="1"/>
      <c r="T63" s="1"/>
      <c r="U63" s="1"/>
      <c r="V63" s="1"/>
    </row>
    <row r="64" spans="1:22" x14ac:dyDescent="0.25">
      <c r="A64" s="1"/>
      <c r="B64" s="8"/>
      <c r="C64" s="8"/>
      <c r="D64" s="8"/>
      <c r="E64" s="1"/>
      <c r="F64" s="1"/>
      <c r="G64" s="1"/>
      <c r="H64" s="1"/>
      <c r="I64" s="1"/>
      <c r="J64" s="1"/>
      <c r="K64" s="1"/>
      <c r="L64" s="8"/>
      <c r="M64" s="8"/>
      <c r="N64" s="8"/>
      <c r="O64" s="1"/>
      <c r="P64" s="1"/>
      <c r="Q64" s="1"/>
      <c r="R64" s="1"/>
      <c r="S64" s="1"/>
      <c r="T64" s="1"/>
      <c r="U64" s="1"/>
      <c r="V64" s="1"/>
    </row>
    <row r="65" spans="1:22" x14ac:dyDescent="0.25">
      <c r="A65" s="1"/>
      <c r="B65" s="8"/>
      <c r="C65" s="8"/>
      <c r="D65" s="8"/>
      <c r="E65" s="1"/>
      <c r="F65" s="1"/>
      <c r="G65" s="1"/>
      <c r="H65" s="1"/>
      <c r="I65" s="1"/>
      <c r="J65" s="1"/>
      <c r="K65" s="1"/>
      <c r="L65" s="8"/>
      <c r="M65" s="8"/>
      <c r="N65" s="8"/>
      <c r="O65" s="1"/>
      <c r="P65" s="1"/>
      <c r="Q65" s="1"/>
      <c r="R65" s="1"/>
      <c r="S65" s="1"/>
      <c r="T65" s="1"/>
      <c r="U65" s="1"/>
      <c r="V65" s="1"/>
    </row>
    <row r="66" spans="1:22" x14ac:dyDescent="0.25">
      <c r="A66" s="1"/>
      <c r="B66" s="8"/>
      <c r="C66" s="8"/>
      <c r="D66" s="8"/>
      <c r="E66" s="1"/>
      <c r="F66" s="1"/>
      <c r="G66" s="1"/>
      <c r="H66" s="1"/>
      <c r="I66" s="1"/>
      <c r="J66" s="1"/>
      <c r="K66" s="1"/>
      <c r="L66" s="8"/>
      <c r="M66" s="8"/>
      <c r="N66" s="8"/>
      <c r="O66" s="1"/>
      <c r="P66" s="1"/>
      <c r="Q66" s="1"/>
      <c r="R66" s="1"/>
      <c r="S66" s="1"/>
      <c r="T66" s="1"/>
      <c r="U66" s="1"/>
      <c r="V66" s="1"/>
    </row>
    <row r="67" spans="1:22" x14ac:dyDescent="0.25">
      <c r="A67" s="1"/>
      <c r="B67" s="8"/>
      <c r="C67" s="8"/>
      <c r="D67" s="8"/>
      <c r="E67" s="1"/>
      <c r="F67" s="1"/>
      <c r="G67" s="1"/>
      <c r="H67" s="1"/>
      <c r="I67" s="1"/>
      <c r="J67" s="1"/>
      <c r="K67" s="1"/>
      <c r="L67" s="8"/>
      <c r="M67" s="8"/>
      <c r="N67" s="8"/>
      <c r="O67" s="1"/>
      <c r="P67" s="1"/>
      <c r="Q67" s="1"/>
      <c r="R67" s="1"/>
      <c r="S67" s="1"/>
      <c r="T67" s="1"/>
      <c r="U67" s="1"/>
      <c r="V67" s="1"/>
    </row>
    <row r="68" spans="1:22" x14ac:dyDescent="0.25">
      <c r="A68" s="1"/>
      <c r="B68" s="8"/>
      <c r="C68" s="8"/>
      <c r="D68" s="8"/>
      <c r="E68" s="1"/>
      <c r="F68" s="1"/>
      <c r="G68" s="1"/>
      <c r="H68" s="1"/>
      <c r="I68" s="1"/>
      <c r="J68" s="1"/>
      <c r="K68" s="1"/>
      <c r="L68" s="8"/>
      <c r="M68" s="8"/>
      <c r="N68" s="8"/>
      <c r="O68" s="1"/>
      <c r="P68" s="1"/>
      <c r="Q68" s="1"/>
      <c r="R68" s="1"/>
      <c r="S68" s="1"/>
      <c r="T68" s="1"/>
      <c r="U68" s="1"/>
      <c r="V68" s="1"/>
    </row>
    <row r="69" spans="1:22" x14ac:dyDescent="0.25">
      <c r="A69" s="1"/>
      <c r="B69" s="8"/>
      <c r="C69" s="8"/>
      <c r="D69" s="8"/>
      <c r="E69" s="1"/>
      <c r="F69" s="1"/>
      <c r="G69" s="1"/>
      <c r="H69" s="1"/>
      <c r="I69" s="1"/>
      <c r="J69" s="1"/>
      <c r="K69" s="1"/>
      <c r="L69" s="8"/>
      <c r="M69" s="8"/>
      <c r="N69" s="8"/>
      <c r="O69" s="1"/>
      <c r="P69" s="1"/>
      <c r="Q69" s="1"/>
      <c r="R69" s="1"/>
      <c r="S69" s="1"/>
      <c r="T69" s="1"/>
      <c r="U69" s="1"/>
      <c r="V69" s="1"/>
    </row>
    <row r="70" spans="1:22" x14ac:dyDescent="0.25">
      <c r="A70" s="1"/>
      <c r="B70" s="8"/>
      <c r="C70" s="8"/>
      <c r="D70" s="8"/>
      <c r="E70" s="1"/>
      <c r="F70" s="1"/>
      <c r="G70" s="1"/>
      <c r="H70" s="1"/>
      <c r="I70" s="1"/>
      <c r="J70" s="1"/>
      <c r="K70" s="1"/>
      <c r="L70" s="8"/>
      <c r="M70" s="8"/>
      <c r="N70" s="8"/>
      <c r="O70" s="1"/>
      <c r="P70" s="1"/>
      <c r="Q70" s="1"/>
      <c r="R70" s="1"/>
      <c r="S70" s="1"/>
      <c r="T70" s="1"/>
      <c r="U70" s="1"/>
      <c r="V70" s="1"/>
    </row>
    <row r="71" spans="1:22" x14ac:dyDescent="0.25">
      <c r="A71" s="1"/>
      <c r="B71" s="8"/>
      <c r="C71" s="8"/>
      <c r="D71" s="8"/>
      <c r="E71" s="1"/>
      <c r="F71" s="1"/>
      <c r="G71" s="1"/>
      <c r="H71" s="1"/>
      <c r="I71" s="1"/>
      <c r="J71" s="1"/>
      <c r="K71" s="1"/>
      <c r="L71" s="8"/>
      <c r="M71" s="8"/>
      <c r="N71" s="8"/>
      <c r="O71" s="1"/>
      <c r="P71" s="1"/>
      <c r="Q71" s="1"/>
      <c r="R71" s="1"/>
      <c r="S71" s="1"/>
      <c r="T71" s="1"/>
      <c r="U71" s="1"/>
      <c r="V71" s="1"/>
    </row>
    <row r="72" spans="1:22" x14ac:dyDescent="0.25">
      <c r="A72" s="1"/>
      <c r="B72" s="8"/>
      <c r="C72" s="8"/>
      <c r="D72" s="8"/>
      <c r="E72" s="1"/>
      <c r="F72" s="1"/>
      <c r="G72" s="1"/>
      <c r="H72" s="1"/>
      <c r="I72" s="1"/>
      <c r="J72" s="1"/>
      <c r="K72" s="1"/>
      <c r="L72" s="8"/>
      <c r="M72" s="8"/>
      <c r="N72" s="8"/>
      <c r="O72" s="1"/>
      <c r="P72" s="1"/>
      <c r="Q72" s="1"/>
      <c r="R72" s="1"/>
      <c r="S72" s="1"/>
      <c r="T72" s="1"/>
      <c r="U72" s="1"/>
      <c r="V72" s="1"/>
    </row>
    <row r="73" spans="1:22" x14ac:dyDescent="0.25">
      <c r="A73" s="1"/>
      <c r="B73" s="8"/>
      <c r="C73" s="8"/>
      <c r="D73" s="8"/>
      <c r="E73" s="1"/>
      <c r="F73" s="1"/>
      <c r="G73" s="1"/>
      <c r="H73" s="1"/>
      <c r="I73" s="1"/>
      <c r="J73" s="1"/>
      <c r="K73" s="1"/>
      <c r="L73" s="8"/>
      <c r="M73" s="8"/>
      <c r="N73" s="8"/>
      <c r="O73" s="1"/>
      <c r="P73" s="1"/>
      <c r="Q73" s="1"/>
      <c r="R73" s="1"/>
      <c r="S73" s="1"/>
      <c r="T73" s="1"/>
      <c r="U73" s="1"/>
      <c r="V73" s="1"/>
    </row>
    <row r="74" spans="1:22" x14ac:dyDescent="0.25">
      <c r="A74" s="1"/>
      <c r="B74" s="8"/>
      <c r="C74" s="8"/>
      <c r="D74" s="8"/>
      <c r="E74" s="1"/>
      <c r="F74" s="1"/>
      <c r="G74" s="1"/>
      <c r="H74" s="1"/>
      <c r="I74" s="1"/>
      <c r="J74" s="1"/>
      <c r="K74" s="1"/>
      <c r="L74" s="8"/>
      <c r="M74" s="8"/>
      <c r="N74" s="8"/>
      <c r="O74" s="1"/>
      <c r="P74" s="1"/>
      <c r="Q74" s="1"/>
      <c r="R74" s="1"/>
      <c r="S74" s="1"/>
      <c r="T74" s="1"/>
      <c r="U74" s="1"/>
      <c r="V74" s="1"/>
    </row>
    <row r="75" spans="1:22" x14ac:dyDescent="0.25">
      <c r="A75" s="1"/>
      <c r="B75" s="8"/>
      <c r="C75" s="8"/>
      <c r="D75" s="8"/>
      <c r="E75" s="1"/>
      <c r="F75" s="1"/>
      <c r="G75" s="1"/>
      <c r="H75" s="1"/>
      <c r="I75" s="1"/>
      <c r="J75" s="1"/>
      <c r="K75" s="1"/>
      <c r="L75" s="8"/>
      <c r="M75" s="8"/>
      <c r="N75" s="8"/>
      <c r="O75" s="1"/>
      <c r="P75" s="1"/>
      <c r="Q75" s="1"/>
      <c r="R75" s="1"/>
      <c r="S75" s="1"/>
      <c r="T75" s="1"/>
      <c r="U75" s="1"/>
      <c r="V75" s="1"/>
    </row>
    <row r="76" spans="1:22" x14ac:dyDescent="0.25">
      <c r="A76" s="1"/>
      <c r="B76" s="8"/>
      <c r="C76" s="8"/>
      <c r="D76" s="8"/>
      <c r="E76" s="1"/>
      <c r="F76" s="1"/>
      <c r="G76" s="1"/>
      <c r="H76" s="1"/>
      <c r="I76" s="1"/>
      <c r="J76" s="1"/>
      <c r="K76" s="1"/>
      <c r="L76" s="8"/>
      <c r="M76" s="8"/>
      <c r="N76" s="8"/>
      <c r="O76" s="1"/>
      <c r="P76" s="1"/>
      <c r="Q76" s="1"/>
      <c r="R76" s="1"/>
      <c r="S76" s="1"/>
      <c r="T76" s="1"/>
      <c r="U76" s="1"/>
      <c r="V76" s="1"/>
    </row>
    <row r="77" spans="1:22" x14ac:dyDescent="0.25">
      <c r="A77" s="1"/>
      <c r="B77" s="8"/>
      <c r="C77" s="8"/>
      <c r="D77" s="8"/>
      <c r="E77" s="1"/>
      <c r="F77" s="1"/>
      <c r="G77" s="1"/>
      <c r="H77" s="1"/>
      <c r="I77" s="1"/>
      <c r="J77" s="1"/>
      <c r="K77" s="1"/>
      <c r="L77" s="8"/>
      <c r="M77" s="8"/>
      <c r="N77" s="8"/>
      <c r="O77" s="1"/>
      <c r="P77" s="1"/>
      <c r="Q77" s="1"/>
      <c r="R77" s="1"/>
      <c r="S77" s="1"/>
      <c r="T77" s="1"/>
      <c r="U77" s="1"/>
      <c r="V77" s="1"/>
    </row>
    <row r="78" spans="1:22" x14ac:dyDescent="0.25">
      <c r="A78" s="1"/>
      <c r="B78" s="8"/>
      <c r="C78" s="8"/>
      <c r="D78" s="8"/>
      <c r="E78" s="1"/>
      <c r="F78" s="1"/>
      <c r="G78" s="1"/>
      <c r="H78" s="1"/>
      <c r="I78" s="1"/>
      <c r="J78" s="1"/>
      <c r="K78" s="1"/>
      <c r="L78" s="8"/>
      <c r="M78" s="8"/>
      <c r="N78" s="8"/>
      <c r="O78" s="1"/>
      <c r="P78" s="1"/>
      <c r="Q78" s="1"/>
      <c r="R78" s="1"/>
      <c r="S78" s="1"/>
      <c r="T78" s="1"/>
      <c r="U78" s="1"/>
      <c r="V78" s="1"/>
    </row>
    <row r="79" spans="1:22" x14ac:dyDescent="0.25">
      <c r="A79" s="1"/>
      <c r="B79" s="8"/>
      <c r="C79" s="8"/>
      <c r="D79" s="8"/>
      <c r="E79" s="1"/>
      <c r="F79" s="1"/>
      <c r="G79" s="1"/>
      <c r="H79" s="1"/>
      <c r="I79" s="1"/>
      <c r="J79" s="1"/>
      <c r="K79" s="1"/>
      <c r="L79" s="8"/>
      <c r="M79" s="8"/>
      <c r="N79" s="8"/>
      <c r="O79" s="1"/>
      <c r="P79" s="1"/>
      <c r="Q79" s="1"/>
      <c r="R79" s="1"/>
      <c r="S79" s="1"/>
      <c r="T79" s="1"/>
      <c r="U79" s="1"/>
      <c r="V79" s="1"/>
    </row>
    <row r="80" spans="1:22" x14ac:dyDescent="0.25">
      <c r="A80" s="1"/>
      <c r="B80" s="8"/>
      <c r="C80" s="8"/>
      <c r="D80" s="8"/>
      <c r="E80" s="1"/>
      <c r="F80" s="1"/>
      <c r="G80" s="1"/>
      <c r="H80" s="1"/>
      <c r="I80" s="1"/>
      <c r="J80" s="1"/>
      <c r="K80" s="1"/>
      <c r="L80" s="8"/>
      <c r="M80" s="8"/>
      <c r="N80" s="8"/>
      <c r="O80" s="1"/>
      <c r="P80" s="1"/>
      <c r="Q80" s="1"/>
      <c r="R80" s="1"/>
      <c r="S80" s="1"/>
      <c r="T80" s="1"/>
      <c r="U80" s="1"/>
      <c r="V80" s="1"/>
    </row>
    <row r="81" spans="1:22" x14ac:dyDescent="0.25">
      <c r="A81" s="1"/>
      <c r="B81" s="8"/>
      <c r="C81" s="8"/>
      <c r="D81" s="8"/>
      <c r="E81" s="1"/>
      <c r="F81" s="1"/>
      <c r="G81" s="1"/>
      <c r="H81" s="1"/>
      <c r="I81" s="1"/>
      <c r="J81" s="1"/>
      <c r="K81" s="1"/>
      <c r="L81" s="8"/>
      <c r="M81" s="8"/>
      <c r="N81" s="8"/>
      <c r="O81" s="1"/>
      <c r="P81" s="1"/>
      <c r="Q81" s="1"/>
      <c r="R81" s="1"/>
      <c r="S81" s="1"/>
      <c r="T81" s="1"/>
      <c r="U81" s="1"/>
      <c r="V81" s="1"/>
    </row>
    <row r="82" spans="1:22" x14ac:dyDescent="0.25">
      <c r="A82" s="1"/>
      <c r="B82" s="8"/>
      <c r="C82" s="8"/>
      <c r="D82" s="8"/>
      <c r="E82" s="1"/>
      <c r="F82" s="1"/>
      <c r="G82" s="1"/>
      <c r="H82" s="1"/>
      <c r="I82" s="1"/>
      <c r="J82" s="1"/>
      <c r="K82" s="1"/>
      <c r="L82" s="8"/>
      <c r="M82" s="8"/>
      <c r="N82" s="8"/>
      <c r="O82" s="1"/>
      <c r="P82" s="1"/>
      <c r="Q82" s="1"/>
      <c r="R82" s="1"/>
      <c r="S82" s="1"/>
      <c r="T82" s="1"/>
      <c r="U82" s="1"/>
      <c r="V82" s="1"/>
    </row>
    <row r="83" spans="1:22" x14ac:dyDescent="0.25">
      <c r="A83" s="1"/>
      <c r="B83" s="8"/>
      <c r="C83" s="8"/>
      <c r="D83" s="8"/>
      <c r="E83" s="1"/>
      <c r="F83" s="1"/>
      <c r="G83" s="1"/>
      <c r="H83" s="1"/>
      <c r="I83" s="1"/>
      <c r="J83" s="1"/>
      <c r="K83" s="1"/>
      <c r="L83" s="8"/>
      <c r="M83" s="8"/>
      <c r="N83" s="8"/>
      <c r="O83" s="1"/>
      <c r="P83" s="1"/>
      <c r="Q83" s="1"/>
      <c r="R83" s="1"/>
      <c r="S83" s="1"/>
      <c r="T83" s="1"/>
      <c r="U83" s="1"/>
      <c r="V83" s="1"/>
    </row>
    <row r="84" spans="1:22" x14ac:dyDescent="0.25">
      <c r="A84" s="1"/>
      <c r="B84" s="8"/>
      <c r="C84" s="8"/>
      <c r="D84" s="8"/>
      <c r="E84" s="1"/>
      <c r="F84" s="1"/>
      <c r="G84" s="1"/>
      <c r="H84" s="1"/>
      <c r="I84" s="1"/>
      <c r="J84" s="1"/>
      <c r="K84" s="1"/>
      <c r="L84" s="8"/>
      <c r="M84" s="8"/>
      <c r="N84" s="8"/>
      <c r="O84" s="1"/>
      <c r="P84" s="1"/>
      <c r="Q84" s="1"/>
      <c r="R84" s="1"/>
      <c r="S84" s="1"/>
      <c r="T84" s="1"/>
      <c r="U84" s="1"/>
      <c r="V84" s="1"/>
    </row>
    <row r="85" spans="1:22" x14ac:dyDescent="0.25">
      <c r="A85" s="1"/>
      <c r="B85" s="8"/>
      <c r="C85" s="8"/>
      <c r="D85" s="8"/>
      <c r="E85" s="1"/>
      <c r="F85" s="1"/>
      <c r="G85" s="1"/>
      <c r="H85" s="1"/>
      <c r="I85" s="1"/>
      <c r="J85" s="1"/>
      <c r="K85" s="1"/>
      <c r="L85" s="8"/>
      <c r="M85" s="8"/>
      <c r="N85" s="8"/>
      <c r="O85" s="1"/>
      <c r="P85" s="1"/>
      <c r="Q85" s="1"/>
      <c r="R85" s="1"/>
      <c r="S85" s="1"/>
      <c r="T85" s="1"/>
      <c r="U85" s="1"/>
      <c r="V85" s="1"/>
    </row>
    <row r="86" spans="1:22" x14ac:dyDescent="0.25">
      <c r="A86" s="1"/>
      <c r="B86" s="8"/>
      <c r="C86" s="8"/>
      <c r="D86" s="8"/>
      <c r="E86" s="1"/>
      <c r="F86" s="1"/>
      <c r="G86" s="1"/>
      <c r="H86" s="1"/>
      <c r="I86" s="1"/>
      <c r="J86" s="1"/>
      <c r="K86" s="1"/>
      <c r="L86" s="8"/>
      <c r="M86" s="8"/>
      <c r="N86" s="8"/>
      <c r="O86" s="1"/>
      <c r="P86" s="1"/>
      <c r="Q86" s="1"/>
      <c r="R86" s="1"/>
      <c r="S86" s="1"/>
      <c r="T86" s="1"/>
      <c r="U86" s="1"/>
      <c r="V86" s="1"/>
    </row>
    <row r="87" spans="1:22" x14ac:dyDescent="0.25">
      <c r="A87" s="1"/>
      <c r="B87" s="8"/>
      <c r="C87" s="8"/>
      <c r="D87" s="8"/>
      <c r="E87" s="1"/>
      <c r="F87" s="1"/>
      <c r="G87" s="1"/>
      <c r="H87" s="1"/>
      <c r="I87" s="1"/>
      <c r="J87" s="1"/>
      <c r="K87" s="1"/>
      <c r="L87" s="8"/>
      <c r="M87" s="8"/>
      <c r="N87" s="8"/>
      <c r="O87" s="1"/>
      <c r="P87" s="1"/>
      <c r="Q87" s="1"/>
      <c r="R87" s="1"/>
      <c r="S87" s="1"/>
      <c r="T87" s="1"/>
      <c r="U87" s="1"/>
      <c r="V87" s="1"/>
    </row>
    <row r="88" spans="1:22" x14ac:dyDescent="0.25">
      <c r="A88" s="1"/>
      <c r="B88" s="8"/>
      <c r="C88" s="8"/>
      <c r="D88" s="8"/>
      <c r="E88" s="1"/>
      <c r="F88" s="1"/>
      <c r="G88" s="1"/>
      <c r="H88" s="1"/>
      <c r="I88" s="1"/>
      <c r="J88" s="1"/>
      <c r="K88" s="1"/>
      <c r="L88" s="8"/>
      <c r="M88" s="8"/>
      <c r="N88" s="8"/>
      <c r="O88" s="1"/>
      <c r="P88" s="1"/>
      <c r="Q88" s="1"/>
      <c r="R88" s="1"/>
      <c r="S88" s="1"/>
      <c r="T88" s="1"/>
      <c r="U88" s="1"/>
      <c r="V88" s="1"/>
    </row>
    <row r="89" spans="1:22" x14ac:dyDescent="0.25">
      <c r="A89" s="1"/>
      <c r="B89" s="8"/>
      <c r="C89" s="8"/>
      <c r="D89" s="8"/>
      <c r="E89" s="1"/>
      <c r="F89" s="1"/>
      <c r="G89" s="1"/>
      <c r="H89" s="1"/>
      <c r="I89" s="1"/>
      <c r="J89" s="1"/>
      <c r="K89" s="1"/>
      <c r="L89" s="8"/>
      <c r="M89" s="8"/>
      <c r="N89" s="8"/>
      <c r="O89" s="1"/>
      <c r="P89" s="1"/>
      <c r="Q89" s="1"/>
      <c r="R89" s="1"/>
      <c r="S89" s="1"/>
      <c r="T89" s="1"/>
      <c r="U89" s="1"/>
      <c r="V89" s="1"/>
    </row>
    <row r="90" spans="1:22" x14ac:dyDescent="0.25">
      <c r="A90" s="1"/>
      <c r="B90" s="8"/>
      <c r="C90" s="8"/>
      <c r="D90" s="8"/>
      <c r="E90" s="1"/>
      <c r="F90" s="1"/>
      <c r="G90" s="1"/>
      <c r="H90" s="1"/>
      <c r="I90" s="1"/>
      <c r="J90" s="1"/>
      <c r="K90" s="1"/>
      <c r="L90" s="8"/>
      <c r="M90" s="8"/>
      <c r="N90" s="8"/>
      <c r="O90" s="1"/>
      <c r="P90" s="1"/>
      <c r="Q90" s="1"/>
      <c r="R90" s="1"/>
      <c r="S90" s="1"/>
      <c r="T90" s="1"/>
      <c r="U90" s="1"/>
      <c r="V90" s="1"/>
    </row>
    <row r="91" spans="1:22" x14ac:dyDescent="0.25">
      <c r="A91" s="1"/>
      <c r="B91" s="8"/>
      <c r="C91" s="8"/>
      <c r="D91" s="8"/>
      <c r="E91" s="1"/>
      <c r="F91" s="1"/>
      <c r="G91" s="1"/>
      <c r="H91" s="1"/>
      <c r="I91" s="1"/>
      <c r="J91" s="1"/>
      <c r="K91" s="1"/>
      <c r="L91" s="8"/>
      <c r="M91" s="8"/>
      <c r="N91" s="8"/>
      <c r="O91" s="1"/>
      <c r="P91" s="1"/>
      <c r="Q91" s="1"/>
      <c r="R91" s="1"/>
      <c r="S91" s="1"/>
      <c r="T91" s="1"/>
      <c r="U91" s="1"/>
      <c r="V91" s="1"/>
    </row>
    <row r="92" spans="1:22" x14ac:dyDescent="0.25">
      <c r="A92" s="1"/>
      <c r="B92" s="8"/>
      <c r="C92" s="8"/>
      <c r="D92" s="8"/>
      <c r="E92" s="1"/>
      <c r="F92" s="1"/>
      <c r="G92" s="1"/>
      <c r="H92" s="1"/>
      <c r="I92" s="1"/>
      <c r="J92" s="1"/>
      <c r="K92" s="1"/>
      <c r="L92" s="8"/>
      <c r="M92" s="8"/>
      <c r="N92" s="8"/>
      <c r="O92" s="1"/>
      <c r="P92" s="1"/>
      <c r="Q92" s="1"/>
      <c r="R92" s="1"/>
      <c r="S92" s="1"/>
      <c r="T92" s="1"/>
      <c r="U92" s="1"/>
      <c r="V92" s="1"/>
    </row>
    <row r="93" spans="1:22" x14ac:dyDescent="0.25">
      <c r="A93" s="1"/>
      <c r="B93" s="8"/>
      <c r="C93" s="8"/>
      <c r="D93" s="8"/>
      <c r="E93" s="1"/>
      <c r="F93" s="1"/>
      <c r="G93" s="1"/>
      <c r="H93" s="1"/>
      <c r="I93" s="1"/>
      <c r="J93" s="1"/>
      <c r="K93" s="1"/>
      <c r="L93" s="8"/>
      <c r="M93" s="8"/>
      <c r="N93" s="8"/>
      <c r="O93" s="1"/>
      <c r="P93" s="1"/>
      <c r="Q93" s="1"/>
      <c r="R93" s="1"/>
      <c r="S93" s="1"/>
      <c r="T93" s="1"/>
      <c r="U93" s="1"/>
      <c r="V93" s="1"/>
    </row>
    <row r="94" spans="1:22" x14ac:dyDescent="0.25">
      <c r="A94" s="1"/>
      <c r="B94" s="8"/>
      <c r="C94" s="8"/>
      <c r="D94" s="8"/>
      <c r="E94" s="1"/>
      <c r="F94" s="1"/>
      <c r="G94" s="1"/>
      <c r="H94" s="1"/>
      <c r="I94" s="1"/>
      <c r="J94" s="1"/>
      <c r="K94" s="1"/>
      <c r="L94" s="8"/>
      <c r="M94" s="8"/>
      <c r="N94" s="8"/>
      <c r="O94" s="1"/>
      <c r="P94" s="1"/>
      <c r="Q94" s="1"/>
      <c r="R94" s="1"/>
      <c r="S94" s="1"/>
      <c r="T94" s="1"/>
      <c r="U94" s="1"/>
      <c r="V94" s="1"/>
    </row>
    <row r="95" spans="1:22" x14ac:dyDescent="0.25">
      <c r="A95" s="1"/>
      <c r="B95" s="8"/>
      <c r="C95" s="8"/>
      <c r="D95" s="8"/>
      <c r="E95" s="1"/>
      <c r="F95" s="1"/>
      <c r="G95" s="1"/>
      <c r="H95" s="1"/>
      <c r="I95" s="1"/>
      <c r="J95" s="1"/>
      <c r="K95" s="1"/>
      <c r="L95" s="8"/>
      <c r="M95" s="8"/>
      <c r="N95" s="8"/>
      <c r="O95" s="1"/>
      <c r="P95" s="1"/>
      <c r="Q95" s="1"/>
      <c r="R95" s="1"/>
      <c r="S95" s="1"/>
      <c r="T95" s="1"/>
      <c r="U95" s="1"/>
      <c r="V95" s="1"/>
    </row>
    <row r="96" spans="1:22" x14ac:dyDescent="0.25">
      <c r="A96" s="1"/>
      <c r="B96" s="8"/>
      <c r="C96" s="8"/>
      <c r="D96" s="8"/>
      <c r="E96" s="1"/>
      <c r="F96" s="1"/>
      <c r="G96" s="1"/>
      <c r="H96" s="1"/>
      <c r="I96" s="1"/>
      <c r="J96" s="1"/>
      <c r="K96" s="1"/>
      <c r="L96" s="8"/>
      <c r="M96" s="8"/>
      <c r="N96" s="8"/>
      <c r="O96" s="1"/>
      <c r="P96" s="1"/>
      <c r="Q96" s="1"/>
      <c r="R96" s="1"/>
      <c r="S96" s="1"/>
      <c r="T96" s="1"/>
      <c r="U96" s="1"/>
      <c r="V96" s="1"/>
    </row>
    <row r="97" spans="1:22" x14ac:dyDescent="0.25">
      <c r="A97" s="1"/>
      <c r="B97" s="8"/>
      <c r="C97" s="8"/>
      <c r="D97" s="8"/>
      <c r="E97" s="1"/>
      <c r="F97" s="1"/>
      <c r="G97" s="1"/>
      <c r="H97" s="1"/>
      <c r="I97" s="1"/>
      <c r="J97" s="1"/>
      <c r="K97" s="1"/>
      <c r="L97" s="8"/>
      <c r="M97" s="8"/>
      <c r="N97" s="8"/>
      <c r="O97" s="1"/>
      <c r="P97" s="1"/>
      <c r="Q97" s="1"/>
      <c r="R97" s="1"/>
      <c r="S97" s="1"/>
      <c r="T97" s="1"/>
      <c r="U97" s="1"/>
      <c r="V97" s="1"/>
    </row>
    <row r="98" spans="1:22" x14ac:dyDescent="0.25">
      <c r="A98" s="1"/>
      <c r="B98" s="8"/>
      <c r="C98" s="8"/>
      <c r="D98" s="8"/>
      <c r="E98" s="1"/>
      <c r="F98" s="1"/>
      <c r="G98" s="1"/>
      <c r="H98" s="1"/>
      <c r="I98" s="1"/>
      <c r="J98" s="1"/>
      <c r="K98" s="1"/>
      <c r="L98" s="8"/>
      <c r="M98" s="8"/>
      <c r="N98" s="8"/>
      <c r="O98" s="1"/>
      <c r="P98" s="1"/>
      <c r="Q98" s="1"/>
      <c r="R98" s="1"/>
      <c r="S98" s="1"/>
      <c r="T98" s="1"/>
      <c r="U98" s="1"/>
      <c r="V98" s="1"/>
    </row>
    <row r="99" spans="1:22" x14ac:dyDescent="0.25">
      <c r="A99" s="1"/>
      <c r="B99" s="8"/>
      <c r="C99" s="8"/>
      <c r="D99" s="8"/>
      <c r="E99" s="1"/>
      <c r="F99" s="1"/>
      <c r="G99" s="1"/>
      <c r="H99" s="1"/>
      <c r="I99" s="1"/>
      <c r="J99" s="1"/>
      <c r="K99" s="1"/>
      <c r="L99" s="8"/>
      <c r="M99" s="8"/>
      <c r="N99" s="8"/>
      <c r="O99" s="1"/>
      <c r="P99" s="1"/>
      <c r="Q99" s="1"/>
      <c r="R99" s="1"/>
      <c r="S99" s="1"/>
      <c r="T99" s="1"/>
      <c r="U99" s="1"/>
      <c r="V99" s="1"/>
    </row>
    <row r="100" spans="1:22" x14ac:dyDescent="0.25">
      <c r="A100" s="6"/>
      <c r="B100" s="8"/>
      <c r="C100" s="8"/>
      <c r="D100" s="8"/>
      <c r="E100" s="1"/>
      <c r="F100" s="1"/>
      <c r="G100" s="1"/>
      <c r="H100" s="1"/>
      <c r="I100" s="1"/>
      <c r="J100" s="1"/>
      <c r="K100" s="1"/>
      <c r="L100" s="8"/>
      <c r="M100" s="8"/>
      <c r="N100" s="8"/>
      <c r="O100" s="1"/>
      <c r="P100" s="1"/>
      <c r="Q100" s="1"/>
      <c r="R100" s="1"/>
      <c r="S100" s="1"/>
      <c r="T100" s="1"/>
      <c r="U100" s="1"/>
      <c r="V100" s="1"/>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00"/>
  <sheetViews>
    <sheetView tabSelected="1" zoomScale="90" zoomScaleNormal="90" workbookViewId="0">
      <selection activeCell="T18" sqref="T18"/>
    </sheetView>
  </sheetViews>
  <sheetFormatPr defaultRowHeight="15" x14ac:dyDescent="0.25"/>
  <cols>
    <col min="2" max="2" width="13.28515625" style="13" bestFit="1" customWidth="1"/>
    <col min="3" max="4" width="11.5703125" style="13" bestFit="1" customWidth="1"/>
    <col min="7" max="7" width="10" bestFit="1" customWidth="1"/>
    <col min="8" max="8" width="9.7109375" bestFit="1" customWidth="1"/>
    <col min="10" max="10" width="4.5703125" customWidth="1"/>
    <col min="11" max="11" width="9.7109375" customWidth="1"/>
    <col min="12" max="12" width="11.5703125" style="13" bestFit="1" customWidth="1"/>
    <col min="13" max="14" width="10.42578125" style="13" bestFit="1" customWidth="1"/>
  </cols>
  <sheetData>
    <row r="1" spans="1:30 16384:16384" ht="30" x14ac:dyDescent="0.25">
      <c r="A1" s="1"/>
      <c r="B1" s="23" t="str">
        <f ca="1">mrigxl_bigmoneyzacks("G2","1Y","Strategies")</f>
        <v>Automation error</v>
      </c>
      <c r="C1" s="23" t="s">
        <v>20</v>
      </c>
      <c r="D1" s="23" t="s">
        <v>21</v>
      </c>
      <c r="E1" s="23" t="s">
        <v>22</v>
      </c>
      <c r="F1" s="1"/>
      <c r="G1" s="1"/>
      <c r="H1" s="1"/>
      <c r="I1" s="1"/>
      <c r="J1" s="1"/>
      <c r="K1" s="1"/>
      <c r="L1" s="8"/>
      <c r="M1" s="8"/>
      <c r="N1" s="8"/>
      <c r="O1" s="1"/>
      <c r="P1" s="1"/>
      <c r="Q1" s="1"/>
      <c r="R1" s="1"/>
      <c r="S1" s="1"/>
      <c r="T1" s="1"/>
      <c r="U1" s="1"/>
      <c r="V1" s="6"/>
    </row>
    <row r="2" spans="1:30 16384:16384" x14ac:dyDescent="0.25">
      <c r="A2" s="1"/>
      <c r="B2" s="18" t="s">
        <v>89</v>
      </c>
      <c r="C2" s="17">
        <v>0.5882611054398319</v>
      </c>
      <c r="D2" s="17">
        <v>0.31695850389320002</v>
      </c>
      <c r="E2" s="17">
        <v>0.33699490748114513</v>
      </c>
      <c r="F2" s="2"/>
      <c r="G2" s="2"/>
      <c r="H2" s="2"/>
      <c r="I2" s="1"/>
      <c r="J2" s="2"/>
      <c r="K2" s="2"/>
      <c r="L2" s="9"/>
      <c r="M2" s="9"/>
      <c r="N2" s="8"/>
      <c r="O2" s="1"/>
      <c r="P2" s="1"/>
      <c r="Q2" s="1"/>
      <c r="R2" s="1"/>
      <c r="S2" s="1"/>
      <c r="T2" s="1"/>
      <c r="U2" s="1"/>
      <c r="V2" s="1"/>
      <c r="AD2" s="22"/>
      <c r="XFD2" s="22"/>
    </row>
    <row r="3" spans="1:30 16384:16384" x14ac:dyDescent="0.25">
      <c r="A3" s="1"/>
      <c r="B3" s="18" t="s">
        <v>1555</v>
      </c>
      <c r="C3" s="17">
        <v>0.96020056028192891</v>
      </c>
      <c r="D3" s="17">
        <v>0.52744330988575694</v>
      </c>
      <c r="E3" s="17">
        <v>0.2876820724517809</v>
      </c>
      <c r="F3" s="3"/>
      <c r="G3" s="3"/>
      <c r="H3" s="3"/>
      <c r="I3" s="1"/>
      <c r="J3" s="3"/>
      <c r="K3" s="3"/>
      <c r="L3" s="9"/>
      <c r="M3" s="9"/>
      <c r="N3" s="9"/>
      <c r="O3" s="1"/>
      <c r="P3" s="1"/>
      <c r="Q3" s="1"/>
      <c r="R3" s="1"/>
      <c r="S3" s="1"/>
      <c r="T3" s="1"/>
      <c r="U3" s="1"/>
      <c r="V3" s="1"/>
    </row>
    <row r="4" spans="1:30 16384:16384" x14ac:dyDescent="0.25">
      <c r="A4" s="1"/>
      <c r="B4" s="18" t="s">
        <v>682</v>
      </c>
      <c r="C4" s="17">
        <v>0.19888737333636974</v>
      </c>
      <c r="D4" s="17">
        <v>0.22147302598511875</v>
      </c>
      <c r="E4" s="17">
        <v>0.16656191830100453</v>
      </c>
      <c r="F4" s="4"/>
      <c r="G4" s="4"/>
      <c r="H4" s="4"/>
      <c r="I4" s="1"/>
      <c r="J4" s="4"/>
      <c r="K4" s="4"/>
      <c r="L4" s="11"/>
      <c r="M4" s="11"/>
      <c r="N4" s="11"/>
      <c r="O4" s="1"/>
      <c r="P4" s="1"/>
      <c r="Q4" s="1"/>
      <c r="R4" s="1"/>
      <c r="S4" s="1"/>
      <c r="T4" s="1"/>
      <c r="U4" s="1"/>
      <c r="V4" s="1"/>
    </row>
    <row r="5" spans="1:30 16384:16384" x14ac:dyDescent="0.25">
      <c r="A5" s="7"/>
      <c r="B5" s="18" t="s">
        <v>85</v>
      </c>
      <c r="C5" s="17">
        <v>0.24271156061349811</v>
      </c>
      <c r="D5" s="17">
        <v>0.29791453720194205</v>
      </c>
      <c r="E5" s="17">
        <v>0.15134562889964961</v>
      </c>
      <c r="F5" s="1"/>
      <c r="G5" s="1"/>
      <c r="H5" s="1"/>
      <c r="I5" s="1"/>
      <c r="J5" s="1"/>
      <c r="K5" s="1"/>
      <c r="L5" s="14"/>
      <c r="M5" s="14"/>
      <c r="N5" s="14"/>
      <c r="O5" s="1"/>
      <c r="P5" s="1"/>
      <c r="Q5" s="1"/>
      <c r="R5" s="1"/>
      <c r="S5" s="1"/>
      <c r="T5" s="1"/>
      <c r="U5" s="1"/>
      <c r="V5" s="1"/>
    </row>
    <row r="6" spans="1:30 16384:16384" x14ac:dyDescent="0.25">
      <c r="A6" s="1"/>
      <c r="B6" s="18" t="s">
        <v>1572</v>
      </c>
      <c r="C6" s="17">
        <v>0.26938098669956678</v>
      </c>
      <c r="D6" s="17">
        <v>0.19768423886182535</v>
      </c>
      <c r="E6" s="17">
        <v>0.10664338947071557</v>
      </c>
      <c r="F6" s="1"/>
      <c r="G6" s="5"/>
      <c r="H6" s="1"/>
      <c r="I6" s="1"/>
      <c r="J6" s="1"/>
      <c r="K6" s="1"/>
      <c r="L6" s="9"/>
      <c r="M6" s="9"/>
      <c r="N6" s="9"/>
      <c r="O6" s="1"/>
      <c r="P6" s="1"/>
      <c r="Q6" s="1"/>
      <c r="R6" s="1"/>
      <c r="S6" s="1"/>
      <c r="T6" s="1"/>
      <c r="U6" s="1"/>
      <c r="V6" s="1"/>
    </row>
    <row r="7" spans="1:30 16384:16384" x14ac:dyDescent="0.25">
      <c r="A7" s="1"/>
      <c r="B7" s="18" t="s">
        <v>190</v>
      </c>
      <c r="C7" s="17">
        <v>0.3461544091967228</v>
      </c>
      <c r="D7" s="17">
        <v>0.15062576725273588</v>
      </c>
      <c r="E7" s="17">
        <v>8.3169598462638467E-2</v>
      </c>
      <c r="F7" s="1"/>
      <c r="G7" s="1"/>
      <c r="H7" s="1"/>
      <c r="I7" s="1"/>
      <c r="J7" s="1"/>
      <c r="K7" s="1"/>
      <c r="L7" s="15"/>
      <c r="M7" s="15"/>
      <c r="N7" s="15"/>
      <c r="O7" s="1"/>
      <c r="P7" s="1"/>
      <c r="Q7" s="1"/>
      <c r="R7" s="1"/>
      <c r="S7" s="1"/>
      <c r="T7" s="1"/>
      <c r="U7" s="1"/>
      <c r="V7" s="1"/>
    </row>
    <row r="8" spans="1:30 16384:16384" x14ac:dyDescent="0.25">
      <c r="A8" s="1"/>
      <c r="B8" s="18" t="s">
        <v>276</v>
      </c>
      <c r="C8" s="17">
        <v>0.22607064802270552</v>
      </c>
      <c r="D8" s="17">
        <v>0.27689118673733676</v>
      </c>
      <c r="E8" s="17">
        <v>6.2195747861961456E-2</v>
      </c>
      <c r="F8" s="1"/>
      <c r="G8" s="1"/>
      <c r="H8" s="1"/>
      <c r="I8" s="1"/>
      <c r="J8" s="1"/>
      <c r="K8" s="1"/>
      <c r="L8" s="16"/>
      <c r="M8" s="16"/>
      <c r="N8" s="16"/>
      <c r="O8" s="1"/>
      <c r="P8" s="1"/>
      <c r="Q8" s="1"/>
      <c r="R8" s="1"/>
      <c r="S8" s="1"/>
      <c r="T8" s="1"/>
      <c r="U8" s="1"/>
      <c r="V8" s="1"/>
    </row>
    <row r="9" spans="1:30 16384:16384" x14ac:dyDescent="0.25">
      <c r="A9" s="1"/>
      <c r="B9" s="18" t="s">
        <v>1275</v>
      </c>
      <c r="C9" s="17">
        <v>0.18193415588278353</v>
      </c>
      <c r="D9" s="17">
        <v>0.20428145457478017</v>
      </c>
      <c r="E9" s="17">
        <v>4.3017385083690782E-2</v>
      </c>
      <c r="F9" s="1"/>
      <c r="G9" s="1"/>
      <c r="H9" s="1"/>
      <c r="I9" s="1"/>
      <c r="J9" s="1"/>
      <c r="K9" s="1"/>
      <c r="L9" s="8"/>
      <c r="M9" s="8"/>
      <c r="N9" s="8"/>
      <c r="O9" s="1"/>
      <c r="P9" s="1"/>
      <c r="Q9" s="1"/>
      <c r="R9" s="1"/>
      <c r="S9" s="1"/>
      <c r="T9" s="1"/>
      <c r="U9" s="1"/>
      <c r="V9" s="1"/>
    </row>
    <row r="10" spans="1:30 16384:16384" x14ac:dyDescent="0.25">
      <c r="A10" s="1"/>
      <c r="B10" s="18" t="s">
        <v>82</v>
      </c>
      <c r="C10" s="17">
        <v>0.25183305629578173</v>
      </c>
      <c r="D10" s="17">
        <v>0.14108761873576339</v>
      </c>
      <c r="E10" s="17">
        <v>3.1427318041506946E-2</v>
      </c>
      <c r="F10" s="1"/>
      <c r="G10" s="1"/>
      <c r="H10" s="1"/>
      <c r="I10" s="1"/>
      <c r="J10" s="1"/>
      <c r="K10" s="1"/>
      <c r="L10" s="1"/>
      <c r="M10" s="8"/>
      <c r="N10" s="8"/>
      <c r="O10" s="1"/>
      <c r="P10" s="1"/>
      <c r="Q10" s="1"/>
      <c r="R10" s="1"/>
      <c r="S10" s="1"/>
      <c r="T10" s="1"/>
      <c r="U10" s="1"/>
      <c r="V10" s="1"/>
    </row>
    <row r="11" spans="1:30 16384:16384" x14ac:dyDescent="0.25">
      <c r="A11" s="1"/>
      <c r="B11" s="18" t="s">
        <v>420</v>
      </c>
      <c r="C11" s="17">
        <v>0.16725814911386372</v>
      </c>
      <c r="D11" s="17">
        <v>0.15178225808485665</v>
      </c>
      <c r="E11" s="17">
        <v>2.7218615273386131E-2</v>
      </c>
      <c r="F11" s="1"/>
      <c r="G11" s="1"/>
      <c r="H11" s="1"/>
      <c r="I11" s="1"/>
      <c r="J11" s="1"/>
      <c r="K11" s="1"/>
      <c r="L11" s="20"/>
      <c r="M11" s="21"/>
      <c r="N11" s="8"/>
      <c r="O11" s="1"/>
      <c r="P11" s="1"/>
      <c r="Q11" s="1"/>
      <c r="R11" s="1"/>
      <c r="S11" s="1"/>
      <c r="T11" s="1"/>
      <c r="U11" s="1"/>
      <c r="V11" s="1"/>
    </row>
    <row r="12" spans="1:30 16384:16384" x14ac:dyDescent="0.25">
      <c r="A12" s="7"/>
      <c r="B12" s="19"/>
      <c r="C12" s="17"/>
      <c r="D12" s="17"/>
      <c r="E12" s="17"/>
      <c r="F12" s="1"/>
      <c r="G12" s="1"/>
      <c r="H12" s="1"/>
      <c r="I12" s="1"/>
      <c r="J12" s="1"/>
      <c r="K12" s="1"/>
      <c r="L12" s="18"/>
      <c r="M12" s="17"/>
      <c r="N12" s="8"/>
      <c r="O12" s="1"/>
      <c r="P12" s="1"/>
      <c r="Q12" s="1"/>
      <c r="R12" s="1"/>
      <c r="S12" s="1"/>
      <c r="T12" s="1"/>
      <c r="U12" s="1"/>
      <c r="V12" s="1"/>
    </row>
    <row r="13" spans="1:30 16384:16384" x14ac:dyDescent="0.25">
      <c r="A13" s="1"/>
      <c r="B13" s="8"/>
      <c r="C13" s="17"/>
      <c r="D13" s="8"/>
      <c r="E13" s="1"/>
      <c r="F13" s="1"/>
      <c r="G13" s="1"/>
      <c r="H13" s="1"/>
      <c r="I13" s="1"/>
      <c r="J13" s="1"/>
      <c r="K13" s="1"/>
      <c r="L13" s="18"/>
      <c r="M13" s="17"/>
      <c r="N13" s="8"/>
      <c r="O13" s="1"/>
      <c r="P13" s="1"/>
      <c r="Q13" s="1"/>
      <c r="R13" s="1"/>
      <c r="S13" s="1"/>
      <c r="T13" s="1"/>
      <c r="U13" s="1"/>
      <c r="V13" s="1"/>
    </row>
    <row r="14" spans="1:30 16384:16384" x14ac:dyDescent="0.25">
      <c r="A14" s="1"/>
      <c r="B14" s="8"/>
      <c r="C14" s="17"/>
      <c r="D14" s="8"/>
      <c r="E14" s="1"/>
      <c r="F14" s="1"/>
      <c r="G14" s="1"/>
      <c r="H14" s="1"/>
      <c r="I14" s="1"/>
      <c r="J14" s="1"/>
      <c r="K14" s="1"/>
      <c r="L14" s="18"/>
      <c r="M14" s="17"/>
      <c r="N14" s="8"/>
      <c r="O14" s="1"/>
      <c r="P14" s="1"/>
      <c r="Q14" s="1"/>
      <c r="R14" s="1"/>
      <c r="S14" s="1"/>
      <c r="T14" s="1"/>
      <c r="U14" s="1"/>
      <c r="V14" s="1"/>
    </row>
    <row r="15" spans="1:30 16384:16384" x14ac:dyDescent="0.25">
      <c r="A15" s="1"/>
      <c r="B15" s="8"/>
      <c r="C15" s="17"/>
      <c r="D15" s="8"/>
      <c r="E15" s="1"/>
      <c r="F15" s="1"/>
      <c r="G15" s="1"/>
      <c r="H15" s="1"/>
      <c r="I15" s="1"/>
      <c r="J15" s="1"/>
      <c r="K15" s="1"/>
      <c r="L15" s="18"/>
      <c r="M15" s="17"/>
      <c r="N15" s="8"/>
      <c r="O15" s="1"/>
      <c r="P15" s="1"/>
      <c r="Q15" s="1"/>
      <c r="R15" s="1"/>
      <c r="S15" s="1"/>
      <c r="T15" s="1"/>
      <c r="U15" s="1"/>
      <c r="V15" s="1"/>
    </row>
    <row r="16" spans="1:30 16384:16384" x14ac:dyDescent="0.25">
      <c r="A16" s="1"/>
      <c r="B16" s="8"/>
      <c r="C16" s="17"/>
      <c r="D16" s="8"/>
      <c r="E16" s="1"/>
      <c r="F16" s="1"/>
      <c r="G16" s="1"/>
      <c r="H16" s="1"/>
      <c r="I16" s="1"/>
      <c r="J16" s="1"/>
      <c r="K16" s="1"/>
      <c r="L16" s="18"/>
      <c r="M16" s="17"/>
      <c r="N16" s="8"/>
      <c r="O16" s="1"/>
      <c r="P16" s="1"/>
      <c r="Q16" s="1"/>
      <c r="R16" s="1"/>
      <c r="S16" s="1"/>
      <c r="T16" s="1"/>
      <c r="U16" s="1"/>
      <c r="V16" s="1"/>
    </row>
    <row r="17" spans="1:25" x14ac:dyDescent="0.25">
      <c r="A17" s="1"/>
      <c r="B17" s="9"/>
      <c r="C17" s="9"/>
      <c r="D17" s="9"/>
      <c r="E17" s="1"/>
      <c r="F17" s="1"/>
      <c r="G17" s="1"/>
      <c r="H17" s="1"/>
      <c r="I17" s="1"/>
      <c r="J17" s="1"/>
      <c r="K17" s="1"/>
      <c r="L17" s="18"/>
      <c r="M17" s="17"/>
      <c r="N17" s="8"/>
      <c r="O17" s="1"/>
      <c r="P17" s="1"/>
      <c r="Q17" s="1"/>
      <c r="R17" s="1"/>
      <c r="S17" s="1"/>
      <c r="T17" s="1"/>
      <c r="U17" s="1"/>
      <c r="V17" s="1"/>
    </row>
    <row r="18" spans="1:25" x14ac:dyDescent="0.25">
      <c r="A18" s="1"/>
      <c r="B18" s="26" t="s">
        <v>54</v>
      </c>
      <c r="C18" s="23"/>
      <c r="D18" s="10"/>
      <c r="E18" s="1"/>
      <c r="F18" s="1"/>
      <c r="G18" s="1"/>
      <c r="H18" s="1"/>
      <c r="I18" s="1"/>
      <c r="J18" s="1"/>
      <c r="K18" s="1"/>
      <c r="L18" s="18"/>
      <c r="M18" s="17"/>
      <c r="N18" s="8"/>
      <c r="O18" s="1"/>
      <c r="P18" s="1"/>
      <c r="Q18" s="1"/>
      <c r="R18" s="1"/>
      <c r="S18" s="1"/>
      <c r="T18" s="1"/>
      <c r="U18" s="1"/>
      <c r="V18" s="1"/>
    </row>
    <row r="19" spans="1:25" ht="15" customHeight="1" x14ac:dyDescent="0.25">
      <c r="A19" s="7"/>
      <c r="B19" s="24" t="str">
        <f>mrigxl_smallcapgrowth("G19","3M","Strategies")</f>
        <v>Automation error</v>
      </c>
      <c r="C19" s="24" t="s">
        <v>19</v>
      </c>
      <c r="D19" s="24" t="s">
        <v>46</v>
      </c>
      <c r="E19" s="24" t="s">
        <v>47</v>
      </c>
      <c r="F19" s="24" t="s">
        <v>48</v>
      </c>
      <c r="G19" s="1"/>
      <c r="H19" s="1"/>
      <c r="I19" s="1"/>
      <c r="J19" s="1"/>
      <c r="K19" s="1"/>
      <c r="L19" s="18"/>
      <c r="M19" s="17"/>
      <c r="N19" s="8"/>
      <c r="O19" s="1"/>
      <c r="P19" s="1"/>
      <c r="Q19" s="1"/>
      <c r="R19" s="1"/>
      <c r="S19" s="1"/>
      <c r="T19" s="1"/>
      <c r="U19" s="1"/>
      <c r="V19" s="1"/>
    </row>
    <row r="20" spans="1:25" ht="15" customHeight="1" x14ac:dyDescent="0.25">
      <c r="A20" s="1"/>
      <c r="B20" s="18" t="s">
        <v>50</v>
      </c>
      <c r="C20" s="17">
        <v>0.14179298132268764</v>
      </c>
      <c r="D20" s="17">
        <v>9.6642929806714101E-2</v>
      </c>
      <c r="E20" s="25">
        <v>8.2931354359925802</v>
      </c>
      <c r="F20" s="25">
        <v>0.11518674219383813</v>
      </c>
      <c r="G20" s="1"/>
      <c r="H20" s="1"/>
      <c r="I20" s="1"/>
      <c r="J20" s="1"/>
      <c r="K20" s="1"/>
      <c r="L20" s="18"/>
      <c r="M20" s="17"/>
      <c r="N20" s="8"/>
      <c r="O20" s="1"/>
      <c r="P20" s="1"/>
      <c r="Q20" s="1"/>
      <c r="R20" s="1"/>
      <c r="S20" s="1"/>
      <c r="T20" s="1"/>
      <c r="U20" s="1"/>
      <c r="V20" s="1"/>
      <c r="Y20" t="s">
        <v>41</v>
      </c>
    </row>
    <row r="21" spans="1:25" x14ac:dyDescent="0.25">
      <c r="A21" s="1"/>
      <c r="B21" s="18" t="s">
        <v>51</v>
      </c>
      <c r="C21" s="17">
        <v>-3.9387687592926497E-2</v>
      </c>
      <c r="D21" s="17">
        <v>0.29483500717360112</v>
      </c>
      <c r="E21" s="25">
        <v>7.0498614958448753</v>
      </c>
      <c r="F21" s="25">
        <v>0.25847349537261033</v>
      </c>
      <c r="G21" s="1"/>
      <c r="H21" s="1"/>
      <c r="I21" s="1"/>
      <c r="J21" s="1"/>
      <c r="K21" s="1"/>
      <c r="L21" s="19"/>
      <c r="M21" s="17"/>
      <c r="N21" s="8"/>
      <c r="O21" s="1"/>
      <c r="P21" s="1"/>
      <c r="Q21" s="1"/>
      <c r="R21" s="1"/>
      <c r="S21" s="1"/>
      <c r="T21" s="1"/>
      <c r="U21" s="1"/>
      <c r="V21" s="1"/>
    </row>
    <row r="22" spans="1:25" x14ac:dyDescent="0.25">
      <c r="A22" s="1"/>
      <c r="B22" s="18" t="s">
        <v>1365</v>
      </c>
      <c r="C22" s="17">
        <v>-7.0887805103058393E-2</v>
      </c>
      <c r="D22" s="17">
        <v>0.29189630536844252</v>
      </c>
      <c r="E22" s="25">
        <v>4.8396271132880395</v>
      </c>
      <c r="F22" s="25">
        <v>0.36766850385294175</v>
      </c>
      <c r="G22" s="1"/>
      <c r="H22" s="1"/>
      <c r="I22" s="1"/>
      <c r="J22" s="1"/>
      <c r="K22" s="1"/>
      <c r="L22" s="8"/>
      <c r="M22" s="8"/>
      <c r="N22" s="8"/>
      <c r="O22" s="1"/>
      <c r="P22" s="1"/>
      <c r="Q22" s="1"/>
      <c r="R22" s="1"/>
      <c r="S22" s="1"/>
      <c r="T22" s="1"/>
      <c r="U22" s="1"/>
      <c r="V22" s="1"/>
    </row>
    <row r="23" spans="1:25" x14ac:dyDescent="0.25">
      <c r="A23" s="1"/>
      <c r="B23" s="18" t="s">
        <v>52</v>
      </c>
      <c r="C23" s="17">
        <v>0.15414740471664215</v>
      </c>
      <c r="D23" s="17">
        <v>0.1291585127201566</v>
      </c>
      <c r="E23" s="25">
        <v>14.523396880415945</v>
      </c>
      <c r="F23" s="25">
        <v>0.36831138992800649</v>
      </c>
      <c r="G23" s="1"/>
      <c r="H23" s="1"/>
      <c r="I23" s="1"/>
      <c r="J23" s="1"/>
      <c r="K23" s="1"/>
      <c r="L23" s="8"/>
      <c r="M23" s="8"/>
      <c r="N23" s="8"/>
      <c r="O23" s="1"/>
      <c r="P23" s="1"/>
      <c r="Q23" s="1"/>
      <c r="R23" s="1"/>
      <c r="S23" s="1"/>
      <c r="T23" s="1"/>
      <c r="U23" s="1"/>
      <c r="V23" s="1"/>
    </row>
    <row r="24" spans="1:25" x14ac:dyDescent="0.25">
      <c r="A24" s="1"/>
      <c r="B24" s="18" t="s">
        <v>53</v>
      </c>
      <c r="C24" s="17">
        <v>0.14044552912558483</v>
      </c>
      <c r="D24" s="17">
        <v>0.13390313390313391</v>
      </c>
      <c r="E24" s="25">
        <v>9.2420435510887771</v>
      </c>
      <c r="F24" s="25">
        <v>0.39444456477893208</v>
      </c>
      <c r="G24" s="1"/>
      <c r="H24" s="1"/>
      <c r="I24" s="1"/>
      <c r="J24" s="1"/>
      <c r="K24" s="1"/>
      <c r="L24" s="8"/>
      <c r="M24" s="8"/>
      <c r="N24" s="8"/>
      <c r="O24" s="1"/>
      <c r="P24" s="1"/>
      <c r="Q24" s="1"/>
      <c r="R24" s="1"/>
      <c r="S24" s="1"/>
      <c r="T24" s="1"/>
      <c r="U24" s="1"/>
      <c r="V24" s="1"/>
    </row>
    <row r="25" spans="1:25" x14ac:dyDescent="0.25">
      <c r="A25" s="1"/>
      <c r="B25" s="18" t="s">
        <v>960</v>
      </c>
      <c r="C25" s="17">
        <v>-4.6952165662090081E-2</v>
      </c>
      <c r="D25" s="17">
        <v>0.4</v>
      </c>
      <c r="E25" s="25">
        <v>5.5472636815920398</v>
      </c>
      <c r="F25" s="25">
        <v>0.54176237364051494</v>
      </c>
      <c r="G25" s="1"/>
      <c r="H25" s="1"/>
      <c r="I25" s="1"/>
      <c r="J25" s="1"/>
      <c r="K25" s="1"/>
      <c r="L25" s="8"/>
      <c r="M25" s="8"/>
      <c r="N25" s="8"/>
      <c r="O25" s="1"/>
      <c r="P25" s="1"/>
      <c r="Q25" s="1"/>
      <c r="R25" s="1"/>
      <c r="S25" s="1"/>
      <c r="T25" s="1"/>
      <c r="U25" s="1"/>
      <c r="V25" s="1"/>
    </row>
    <row r="26" spans="1:25" x14ac:dyDescent="0.25">
      <c r="A26" s="7"/>
      <c r="B26" s="18" t="s">
        <v>614</v>
      </c>
      <c r="C26" s="17">
        <v>0.22801906523749668</v>
      </c>
      <c r="D26" s="17">
        <v>0.17925247902364611</v>
      </c>
      <c r="E26" s="25">
        <v>29.763906856403619</v>
      </c>
      <c r="F26" s="25">
        <v>0.56304191197540987</v>
      </c>
      <c r="G26" s="1"/>
      <c r="H26" s="1"/>
      <c r="I26" s="1"/>
      <c r="J26" s="1"/>
      <c r="K26" s="1"/>
      <c r="L26" s="20"/>
      <c r="M26" s="21"/>
      <c r="N26" s="8"/>
      <c r="O26" s="1"/>
      <c r="P26" s="1"/>
      <c r="Q26" s="1"/>
      <c r="R26" s="1"/>
      <c r="S26" s="1"/>
      <c r="T26" s="1"/>
      <c r="U26" s="1"/>
      <c r="V26" s="1"/>
    </row>
    <row r="27" spans="1:25" x14ac:dyDescent="0.25">
      <c r="A27" s="1"/>
      <c r="B27" s="18"/>
      <c r="C27" s="17"/>
      <c r="D27" s="8"/>
      <c r="E27" s="1"/>
      <c r="F27" s="1"/>
      <c r="G27" s="1"/>
      <c r="H27" s="1"/>
      <c r="I27" s="1"/>
      <c r="J27" s="1"/>
      <c r="K27" s="1"/>
      <c r="L27" s="18"/>
      <c r="M27" s="17"/>
      <c r="N27" s="8"/>
      <c r="O27" s="1"/>
      <c r="P27" s="1"/>
      <c r="Q27" s="1"/>
      <c r="R27" s="1"/>
      <c r="S27" s="1"/>
      <c r="T27" s="1"/>
      <c r="U27" s="1"/>
      <c r="V27" s="1"/>
    </row>
    <row r="28" spans="1:25" x14ac:dyDescent="0.25">
      <c r="A28" s="1"/>
      <c r="B28" s="18"/>
      <c r="C28" s="17"/>
      <c r="D28" s="8"/>
      <c r="E28" s="1"/>
      <c r="F28" s="1"/>
      <c r="G28" s="1"/>
      <c r="H28" s="1"/>
      <c r="I28" s="1"/>
      <c r="J28" s="1"/>
      <c r="K28" s="1"/>
      <c r="L28" s="18"/>
      <c r="M28" s="17"/>
      <c r="N28" s="8"/>
      <c r="O28" s="1"/>
      <c r="P28" s="1"/>
      <c r="Q28" s="1"/>
      <c r="R28" s="1"/>
      <c r="S28" s="1"/>
      <c r="T28" s="1"/>
      <c r="U28" s="1"/>
      <c r="V28" s="1"/>
    </row>
    <row r="29" spans="1:25" x14ac:dyDescent="0.25">
      <c r="A29" s="1"/>
      <c r="B29" s="18"/>
      <c r="C29" s="17"/>
      <c r="D29" s="8"/>
      <c r="E29" s="1"/>
      <c r="F29" s="1"/>
      <c r="G29" s="1"/>
      <c r="H29" s="1"/>
      <c r="I29" s="1"/>
      <c r="J29" s="1"/>
      <c r="K29" s="1"/>
      <c r="L29" s="18"/>
      <c r="M29" s="17"/>
      <c r="N29" s="8"/>
      <c r="O29" s="1"/>
      <c r="P29" s="1"/>
      <c r="Q29" s="1"/>
      <c r="R29" s="1"/>
      <c r="S29" s="1"/>
      <c r="T29" s="1"/>
      <c r="U29" s="1"/>
      <c r="V29" s="1"/>
    </row>
    <row r="30" spans="1:25" x14ac:dyDescent="0.25">
      <c r="A30" s="1"/>
      <c r="B30" s="18"/>
      <c r="C30" s="17"/>
      <c r="D30" s="8"/>
      <c r="E30" s="1"/>
      <c r="F30" s="1"/>
      <c r="G30" s="1"/>
      <c r="H30" s="1"/>
      <c r="I30" s="1"/>
      <c r="J30" s="1"/>
      <c r="K30" s="1"/>
      <c r="L30" s="18"/>
      <c r="M30" s="17"/>
      <c r="N30" s="8"/>
      <c r="O30" s="1"/>
      <c r="P30" s="1"/>
      <c r="Q30" s="1"/>
      <c r="R30" s="1"/>
      <c r="S30" s="1"/>
      <c r="T30" s="1"/>
      <c r="U30" s="1"/>
      <c r="V30" s="1"/>
    </row>
    <row r="31" spans="1:25" x14ac:dyDescent="0.25">
      <c r="A31" s="1"/>
      <c r="B31" s="18"/>
      <c r="C31" s="17"/>
      <c r="D31" s="8"/>
      <c r="E31" s="1"/>
      <c r="F31" s="1"/>
      <c r="G31" s="1"/>
      <c r="H31" s="1"/>
      <c r="I31" s="1"/>
      <c r="J31" s="1"/>
      <c r="K31" s="1"/>
      <c r="L31" s="18"/>
      <c r="M31" s="17"/>
      <c r="N31" s="8"/>
      <c r="O31" s="1"/>
      <c r="P31" s="1"/>
      <c r="Q31" s="1"/>
      <c r="R31" s="1"/>
      <c r="S31" s="1"/>
      <c r="T31" s="1"/>
      <c r="U31" s="1"/>
      <c r="V31" s="1"/>
    </row>
    <row r="32" spans="1:25" x14ac:dyDescent="0.25">
      <c r="A32" s="1"/>
      <c r="B32" s="18"/>
      <c r="C32" s="17"/>
      <c r="D32" s="8"/>
      <c r="E32" s="1"/>
      <c r="F32" s="1"/>
      <c r="G32" s="1"/>
      <c r="H32" s="1"/>
      <c r="I32" s="1"/>
      <c r="J32" s="1"/>
      <c r="K32" s="1"/>
      <c r="L32" s="18"/>
      <c r="M32" s="17"/>
      <c r="N32" s="8"/>
      <c r="O32" s="1"/>
      <c r="P32" s="1"/>
      <c r="Q32" s="1"/>
      <c r="R32" s="1"/>
      <c r="S32" s="1"/>
      <c r="T32" s="1"/>
      <c r="U32" s="1"/>
      <c r="V32" s="1"/>
    </row>
    <row r="33" spans="1:25" x14ac:dyDescent="0.25">
      <c r="A33" s="1"/>
      <c r="B33" s="18"/>
      <c r="C33" s="17"/>
      <c r="D33" s="8"/>
      <c r="E33" s="1"/>
      <c r="F33" s="1"/>
      <c r="G33" s="1"/>
      <c r="H33" s="1"/>
      <c r="I33" s="1"/>
      <c r="J33" s="1"/>
      <c r="K33" s="1"/>
      <c r="L33" s="18"/>
      <c r="M33" s="17"/>
      <c r="N33" s="8"/>
      <c r="O33" s="1"/>
      <c r="P33" s="1"/>
      <c r="Q33" s="1"/>
      <c r="R33" s="1"/>
      <c r="S33" s="1"/>
      <c r="T33" s="1"/>
      <c r="U33" s="1"/>
      <c r="V33" s="1"/>
    </row>
    <row r="34" spans="1:25" x14ac:dyDescent="0.25">
      <c r="A34" s="1"/>
      <c r="B34" s="26" t="s">
        <v>55</v>
      </c>
      <c r="C34" s="17"/>
      <c r="D34" s="8"/>
      <c r="E34" s="1"/>
      <c r="F34" s="1"/>
      <c r="G34" s="1"/>
      <c r="H34" s="1"/>
      <c r="I34" s="1"/>
      <c r="J34" s="1"/>
      <c r="K34" s="1"/>
      <c r="L34" s="8"/>
      <c r="M34" s="8"/>
      <c r="N34" s="8"/>
      <c r="O34" s="1"/>
      <c r="P34" s="1"/>
      <c r="Q34" s="1"/>
      <c r="R34" s="1"/>
      <c r="S34" s="1"/>
      <c r="T34" s="1"/>
      <c r="U34" s="1"/>
      <c r="V34" s="1"/>
    </row>
    <row r="35" spans="1:25" x14ac:dyDescent="0.25">
      <c r="A35" s="1"/>
      <c r="B35" s="27" t="str">
        <f>mrigxl_tafa("G35","6M","Strategies")</f>
        <v>TAFA Holdings</v>
      </c>
      <c r="C35" s="17" t="s">
        <v>19</v>
      </c>
      <c r="D35" s="8" t="s">
        <v>46</v>
      </c>
      <c r="E35" s="1" t="s">
        <v>47</v>
      </c>
      <c r="F35" s="1" t="s">
        <v>48</v>
      </c>
      <c r="G35" s="1"/>
      <c r="H35" s="1"/>
      <c r="I35" s="1"/>
      <c r="J35" s="1"/>
      <c r="K35" s="1"/>
      <c r="L35" s="8"/>
      <c r="M35" s="8"/>
      <c r="N35" s="8"/>
      <c r="O35" s="1"/>
      <c r="P35" s="1"/>
      <c r="Q35" s="1"/>
      <c r="R35" s="1"/>
      <c r="S35" s="1"/>
      <c r="T35" s="1"/>
      <c r="U35" s="1"/>
      <c r="V35" s="1"/>
      <c r="Y35" t="str">
        <f>B35</f>
        <v>TAFA Holdings</v>
      </c>
    </row>
    <row r="36" spans="1:25" x14ac:dyDescent="0.25">
      <c r="A36" s="1"/>
      <c r="B36" s="18" t="s">
        <v>226</v>
      </c>
      <c r="C36" s="17">
        <v>0.11055324221266388</v>
      </c>
      <c r="D36" s="17">
        <v>6.0327198364008197E-2</v>
      </c>
      <c r="E36" s="1">
        <v>154.74445515911285</v>
      </c>
      <c r="F36" s="1">
        <v>1.7528540121027003</v>
      </c>
      <c r="G36" s="1"/>
      <c r="H36" s="1"/>
      <c r="I36" s="1"/>
      <c r="J36" s="1"/>
      <c r="K36" s="1"/>
      <c r="L36" s="8"/>
      <c r="M36" s="8"/>
      <c r="N36" s="8"/>
      <c r="O36" s="1"/>
      <c r="P36" s="1"/>
      <c r="Q36" s="1"/>
      <c r="R36" s="1"/>
      <c r="S36" s="1"/>
      <c r="T36" s="1"/>
      <c r="U36" s="1"/>
      <c r="V36" s="1"/>
    </row>
    <row r="37" spans="1:25" x14ac:dyDescent="0.25">
      <c r="A37" s="1"/>
      <c r="B37" s="18" t="s">
        <v>655</v>
      </c>
      <c r="C37" s="17">
        <v>-4.3445155725085297E-2</v>
      </c>
      <c r="D37" s="17">
        <v>0.73659117997616208</v>
      </c>
      <c r="E37" s="1">
        <v>7.115991763898422</v>
      </c>
      <c r="F37" s="1">
        <v>0.3837614644269895</v>
      </c>
      <c r="G37" s="1"/>
      <c r="H37" s="1"/>
      <c r="I37" s="1"/>
      <c r="J37" s="1"/>
      <c r="K37" s="1"/>
      <c r="L37" s="8"/>
      <c r="M37" s="8"/>
      <c r="N37" s="8"/>
      <c r="O37" s="1"/>
      <c r="P37" s="1"/>
      <c r="Q37" s="1"/>
      <c r="R37" s="1"/>
      <c r="S37" s="1"/>
      <c r="T37" s="1"/>
      <c r="U37" s="1"/>
      <c r="V37" s="1"/>
    </row>
    <row r="38" spans="1:25" x14ac:dyDescent="0.25">
      <c r="A38" s="1"/>
      <c r="B38" s="18"/>
      <c r="C38" s="17"/>
      <c r="D38" s="17"/>
      <c r="E38" s="1"/>
      <c r="F38" s="1"/>
      <c r="G38" s="1"/>
      <c r="H38" s="1"/>
      <c r="I38" s="1"/>
      <c r="J38" s="1"/>
      <c r="K38" s="1"/>
      <c r="L38" s="8"/>
      <c r="M38" s="8"/>
      <c r="N38" s="8"/>
      <c r="O38" s="1"/>
      <c r="P38" s="1"/>
      <c r="Q38" s="1"/>
      <c r="R38" s="1"/>
      <c r="S38" s="1"/>
      <c r="T38" s="1"/>
      <c r="U38" s="1"/>
      <c r="V38" s="1"/>
    </row>
    <row r="39" spans="1:25" x14ac:dyDescent="0.25">
      <c r="A39" s="1"/>
      <c r="B39" s="8"/>
      <c r="C39" s="8"/>
      <c r="D39" s="8"/>
      <c r="E39" s="1"/>
      <c r="F39" s="1"/>
      <c r="G39" s="1"/>
      <c r="H39" s="1"/>
      <c r="I39" s="1"/>
      <c r="J39" s="1"/>
      <c r="K39" s="1"/>
      <c r="L39" s="8"/>
      <c r="M39" s="8"/>
      <c r="N39" s="8"/>
      <c r="O39" s="1"/>
      <c r="P39" s="1"/>
      <c r="Q39" s="1"/>
      <c r="R39" s="1"/>
      <c r="S39" s="1"/>
      <c r="T39" s="1"/>
      <c r="U39" s="1"/>
      <c r="V39" s="1"/>
    </row>
    <row r="40" spans="1:25" x14ac:dyDescent="0.25">
      <c r="A40" s="1"/>
      <c r="B40" s="8"/>
      <c r="C40" s="8"/>
      <c r="D40" s="8"/>
      <c r="E40" s="1"/>
      <c r="F40" s="1"/>
      <c r="G40" s="1"/>
      <c r="H40" s="1"/>
      <c r="I40" s="1"/>
      <c r="J40" s="1"/>
      <c r="K40" s="1"/>
      <c r="L40" s="8"/>
      <c r="M40" s="8"/>
      <c r="N40" s="8"/>
      <c r="O40" s="1"/>
      <c r="P40" s="1"/>
      <c r="Q40" s="1"/>
      <c r="R40" s="1"/>
      <c r="S40" s="1"/>
      <c r="T40" s="1"/>
      <c r="U40" s="1"/>
      <c r="V40" s="1"/>
    </row>
    <row r="41" spans="1:25" x14ac:dyDescent="0.25">
      <c r="A41" s="1"/>
      <c r="B41" s="8"/>
      <c r="C41" s="8"/>
      <c r="D41" s="8"/>
      <c r="E41" s="1"/>
      <c r="F41" s="1"/>
      <c r="G41" s="1"/>
      <c r="H41" s="1"/>
      <c r="I41" s="1"/>
      <c r="J41" s="1"/>
      <c r="K41" s="1"/>
      <c r="L41" s="8"/>
      <c r="M41" s="8"/>
      <c r="N41" s="8"/>
      <c r="O41" s="1"/>
      <c r="P41" s="1"/>
      <c r="Q41" s="1"/>
      <c r="R41" s="1"/>
      <c r="S41" s="1"/>
      <c r="T41" s="1"/>
      <c r="U41" s="1"/>
      <c r="V41" s="1"/>
    </row>
    <row r="42" spans="1:25" x14ac:dyDescent="0.25">
      <c r="A42" s="1"/>
      <c r="B42" s="8"/>
      <c r="C42" s="8"/>
      <c r="D42" s="8"/>
      <c r="E42" s="1"/>
      <c r="F42" s="1"/>
      <c r="G42" s="1"/>
      <c r="H42" s="1"/>
      <c r="I42" s="1"/>
      <c r="J42" s="1"/>
      <c r="K42" s="1"/>
      <c r="L42" s="8"/>
      <c r="M42" s="8"/>
      <c r="N42" s="8"/>
      <c r="O42" s="1"/>
      <c r="P42" s="1"/>
      <c r="Q42" s="1"/>
      <c r="R42" s="1"/>
      <c r="S42" s="1"/>
      <c r="T42" s="1"/>
      <c r="U42" s="1"/>
      <c r="V42" s="1"/>
    </row>
    <row r="43" spans="1:25" x14ac:dyDescent="0.25">
      <c r="A43" s="1"/>
      <c r="B43" s="8"/>
      <c r="C43" s="8"/>
      <c r="D43" s="8"/>
      <c r="E43" s="1"/>
      <c r="F43" s="1"/>
      <c r="G43" s="1"/>
      <c r="H43" s="1"/>
      <c r="I43" s="1"/>
      <c r="J43" s="1"/>
      <c r="K43" s="1"/>
      <c r="L43" s="8"/>
      <c r="M43" s="8"/>
      <c r="N43" s="8"/>
      <c r="O43" s="1"/>
      <c r="P43" s="1"/>
      <c r="Q43" s="1"/>
      <c r="R43" s="1"/>
      <c r="S43" s="1"/>
      <c r="T43" s="1"/>
      <c r="U43" s="1"/>
      <c r="V43" s="1"/>
    </row>
    <row r="44" spans="1:25" x14ac:dyDescent="0.25">
      <c r="A44" s="1"/>
      <c r="B44" s="8"/>
      <c r="C44" s="8"/>
      <c r="D44" s="8"/>
      <c r="E44" s="1"/>
      <c r="F44" s="1"/>
      <c r="G44" s="1"/>
      <c r="H44" s="1"/>
      <c r="I44" s="1"/>
      <c r="J44" s="1"/>
      <c r="K44" s="1"/>
      <c r="L44" s="8"/>
      <c r="M44" s="8"/>
      <c r="N44" s="8"/>
      <c r="O44" s="1"/>
      <c r="P44" s="1"/>
      <c r="Q44" s="1"/>
      <c r="R44" s="1"/>
      <c r="S44" s="1"/>
      <c r="T44" s="1"/>
      <c r="U44" s="1"/>
      <c r="V44" s="1"/>
    </row>
    <row r="45" spans="1:25" x14ac:dyDescent="0.25">
      <c r="A45" s="1"/>
      <c r="B45" s="8"/>
      <c r="C45" s="8"/>
      <c r="D45" s="8"/>
      <c r="E45" s="1"/>
      <c r="F45" s="1"/>
      <c r="G45" s="1"/>
      <c r="H45" s="1"/>
      <c r="I45" s="1"/>
      <c r="J45" s="1"/>
      <c r="K45" s="1"/>
      <c r="L45" s="8"/>
      <c r="M45" s="8"/>
      <c r="N45" s="8"/>
      <c r="O45" s="1"/>
      <c r="P45" s="1"/>
      <c r="Q45" s="1"/>
      <c r="R45" s="1"/>
      <c r="S45" s="1"/>
      <c r="T45" s="1"/>
      <c r="U45" s="1"/>
      <c r="V45" s="1"/>
    </row>
    <row r="46" spans="1:25" x14ac:dyDescent="0.25">
      <c r="A46" s="1"/>
      <c r="B46" s="8"/>
      <c r="C46" s="8"/>
      <c r="D46" s="8"/>
      <c r="E46" s="1"/>
      <c r="F46" s="1"/>
      <c r="G46" s="1"/>
      <c r="H46" s="1"/>
      <c r="I46" s="1"/>
      <c r="J46" s="1"/>
      <c r="K46" s="1"/>
      <c r="L46" s="8"/>
      <c r="M46" s="8"/>
      <c r="N46" s="8"/>
      <c r="O46" s="1"/>
      <c r="P46" s="1"/>
      <c r="Q46" s="1"/>
      <c r="R46" s="1"/>
      <c r="S46" s="1"/>
      <c r="T46" s="1"/>
      <c r="U46" s="1"/>
      <c r="V46" s="1"/>
    </row>
    <row r="47" spans="1:25" x14ac:dyDescent="0.25">
      <c r="A47" s="1"/>
      <c r="B47" s="8"/>
      <c r="C47" s="8"/>
      <c r="D47" s="8"/>
      <c r="E47" s="1"/>
      <c r="F47" s="1"/>
      <c r="G47" s="1"/>
      <c r="H47" s="1"/>
      <c r="I47" s="1"/>
      <c r="J47" s="1"/>
      <c r="K47" s="1"/>
      <c r="L47" s="8"/>
      <c r="M47" s="8"/>
      <c r="N47" s="8"/>
      <c r="O47" s="1"/>
      <c r="P47" s="1"/>
      <c r="Q47" s="1"/>
      <c r="R47" s="1"/>
      <c r="S47" s="1"/>
      <c r="T47" s="1"/>
      <c r="U47" s="1"/>
      <c r="V47" s="1"/>
    </row>
    <row r="48" spans="1:25" x14ac:dyDescent="0.25">
      <c r="A48" s="1"/>
      <c r="B48" s="8"/>
      <c r="C48" s="8"/>
      <c r="D48" s="8"/>
      <c r="E48" s="1"/>
      <c r="F48" s="1"/>
      <c r="G48" s="1"/>
      <c r="H48" s="1"/>
      <c r="I48" s="1"/>
      <c r="J48" s="1"/>
      <c r="K48" s="1"/>
      <c r="L48" s="8"/>
      <c r="M48" s="8"/>
      <c r="N48" s="8"/>
      <c r="O48" s="1"/>
      <c r="P48" s="1"/>
      <c r="Q48" s="1"/>
      <c r="R48" s="1"/>
      <c r="S48" s="1"/>
      <c r="T48" s="1"/>
      <c r="U48" s="1"/>
      <c r="V48" s="1"/>
    </row>
    <row r="49" spans="1:22" x14ac:dyDescent="0.25">
      <c r="A49" s="1"/>
      <c r="B49" s="8"/>
      <c r="C49" s="8"/>
      <c r="D49" s="8"/>
      <c r="E49" s="1"/>
      <c r="F49" s="1"/>
      <c r="G49" s="1"/>
      <c r="H49" s="1"/>
      <c r="I49" s="1"/>
      <c r="J49" s="1"/>
      <c r="K49" s="1"/>
      <c r="L49" s="8"/>
      <c r="M49" s="8"/>
      <c r="N49" s="8"/>
      <c r="O49" s="1"/>
      <c r="P49" s="1"/>
      <c r="Q49" s="1"/>
      <c r="R49" s="1"/>
      <c r="S49" s="1"/>
      <c r="T49" s="1"/>
      <c r="U49" s="1"/>
      <c r="V49" s="1"/>
    </row>
    <row r="50" spans="1:22" ht="30" x14ac:dyDescent="0.25">
      <c r="A50" s="1"/>
      <c r="B50" s="49" t="str">
        <f>mrigxl_newhighs("G50","6M","Strategies")</f>
        <v>Automation error</v>
      </c>
      <c r="C50" s="24" t="s">
        <v>19</v>
      </c>
      <c r="D50" s="24" t="s">
        <v>21</v>
      </c>
      <c r="E50" s="24" t="s">
        <v>22</v>
      </c>
      <c r="F50" s="24" t="s">
        <v>46</v>
      </c>
      <c r="G50" s="1"/>
      <c r="H50" s="1"/>
      <c r="I50" s="1"/>
      <c r="J50" s="1"/>
      <c r="K50" s="1"/>
      <c r="L50" s="8"/>
      <c r="M50" s="8"/>
      <c r="N50" s="8"/>
      <c r="O50" s="1"/>
      <c r="P50" s="1"/>
      <c r="Q50" s="1"/>
      <c r="R50" s="1"/>
      <c r="S50" s="1"/>
      <c r="T50" s="1"/>
      <c r="U50" s="1"/>
      <c r="V50" s="1"/>
    </row>
    <row r="51" spans="1:22" x14ac:dyDescent="0.25">
      <c r="A51" s="1"/>
      <c r="B51" s="8" t="s">
        <v>52</v>
      </c>
      <c r="C51" s="17">
        <v>0.10381124693859189</v>
      </c>
      <c r="D51" s="17">
        <v>0.11659428505708898</v>
      </c>
      <c r="E51" s="17">
        <v>0.15037896319713395</v>
      </c>
      <c r="F51" s="17">
        <v>0.1291585127201566</v>
      </c>
      <c r="G51" s="1"/>
      <c r="H51" s="1"/>
      <c r="I51" s="1"/>
      <c r="J51" s="1"/>
      <c r="K51" s="1"/>
      <c r="L51" s="8"/>
      <c r="M51" s="8"/>
      <c r="N51" s="8"/>
      <c r="O51" s="1"/>
      <c r="P51" s="1"/>
      <c r="Q51" s="1"/>
      <c r="R51" s="1"/>
      <c r="S51" s="1"/>
      <c r="T51" s="1"/>
      <c r="U51" s="1"/>
      <c r="V51" s="1"/>
    </row>
    <row r="52" spans="1:22" x14ac:dyDescent="0.25">
      <c r="A52" s="1"/>
      <c r="B52" s="8"/>
      <c r="C52" s="17"/>
      <c r="D52" s="17"/>
      <c r="E52" s="17"/>
      <c r="F52" s="17"/>
      <c r="G52" s="1"/>
      <c r="H52" s="1"/>
      <c r="I52" s="1"/>
      <c r="J52" s="1"/>
      <c r="K52" s="1"/>
      <c r="L52" s="8"/>
      <c r="M52" s="8"/>
      <c r="N52" s="8"/>
      <c r="O52" s="1"/>
      <c r="P52" s="1"/>
      <c r="Q52" s="1"/>
      <c r="R52" s="1"/>
      <c r="S52" s="1"/>
      <c r="T52" s="1"/>
      <c r="U52" s="1"/>
      <c r="V52" s="1"/>
    </row>
    <row r="53" spans="1:22" x14ac:dyDescent="0.25">
      <c r="A53" s="1"/>
      <c r="B53" s="8"/>
      <c r="C53" s="8"/>
      <c r="D53" s="8"/>
      <c r="E53" s="1"/>
      <c r="F53" s="1"/>
      <c r="G53" s="1"/>
      <c r="H53" s="1"/>
      <c r="I53" s="1"/>
      <c r="J53" s="1"/>
      <c r="K53" s="1"/>
      <c r="L53" s="8"/>
      <c r="M53" s="8"/>
      <c r="N53" s="8"/>
      <c r="O53" s="1"/>
      <c r="P53" s="1"/>
      <c r="Q53" s="1"/>
      <c r="R53" s="1"/>
      <c r="S53" s="1"/>
      <c r="T53" s="1"/>
      <c r="U53" s="1"/>
      <c r="V53" s="1"/>
    </row>
    <row r="54" spans="1:22" x14ac:dyDescent="0.25">
      <c r="A54" s="1"/>
      <c r="B54" s="8"/>
      <c r="C54" s="8"/>
      <c r="D54" s="8"/>
      <c r="E54" s="1"/>
      <c r="F54" s="1"/>
      <c r="G54" s="1"/>
      <c r="H54" s="1"/>
      <c r="I54" s="1"/>
      <c r="J54" s="1"/>
      <c r="K54" s="1"/>
      <c r="L54" s="8"/>
      <c r="M54" s="8"/>
      <c r="N54" s="8"/>
      <c r="O54" s="1"/>
      <c r="P54" s="1"/>
      <c r="Q54" s="1"/>
      <c r="R54" s="1"/>
      <c r="S54" s="1"/>
      <c r="T54" s="1"/>
      <c r="U54" s="1"/>
      <c r="V54" s="1"/>
    </row>
    <row r="55" spans="1:22" x14ac:dyDescent="0.25">
      <c r="A55" s="1"/>
      <c r="B55" s="8"/>
      <c r="C55" s="8"/>
      <c r="D55" s="8"/>
      <c r="E55" s="1"/>
      <c r="F55" s="1"/>
      <c r="G55" s="1"/>
      <c r="H55" s="1"/>
      <c r="I55" s="1"/>
      <c r="J55" s="1"/>
      <c r="K55" s="1"/>
      <c r="L55" s="8"/>
      <c r="M55" s="8"/>
      <c r="N55" s="8"/>
      <c r="O55" s="1"/>
      <c r="P55" s="1"/>
      <c r="Q55" s="1"/>
      <c r="R55" s="1"/>
      <c r="S55" s="1"/>
      <c r="T55" s="1"/>
      <c r="U55" s="1"/>
      <c r="V55" s="1"/>
    </row>
    <row r="56" spans="1:22" x14ac:dyDescent="0.25">
      <c r="A56" s="1"/>
      <c r="B56" s="8"/>
      <c r="C56" s="8"/>
      <c r="D56" s="8"/>
      <c r="E56" s="1"/>
      <c r="F56" s="1"/>
      <c r="G56" s="1"/>
      <c r="H56" s="1"/>
      <c r="I56" s="1"/>
      <c r="J56" s="1"/>
      <c r="K56" s="1"/>
      <c r="L56" s="8"/>
      <c r="M56" s="8"/>
      <c r="N56" s="8"/>
      <c r="O56" s="1"/>
      <c r="P56" s="1"/>
      <c r="Q56" s="1"/>
      <c r="R56" s="1"/>
      <c r="S56" s="1"/>
      <c r="T56" s="1"/>
      <c r="U56" s="1"/>
      <c r="V56" s="1"/>
    </row>
    <row r="57" spans="1:22" x14ac:dyDescent="0.25">
      <c r="A57" s="1"/>
      <c r="B57" s="8"/>
      <c r="C57" s="8"/>
      <c r="D57" s="8"/>
      <c r="E57" s="1"/>
      <c r="F57" s="1"/>
      <c r="G57" s="1"/>
      <c r="H57" s="1"/>
      <c r="I57" s="1"/>
      <c r="J57" s="1"/>
      <c r="K57" s="1"/>
      <c r="L57" s="8"/>
      <c r="M57" s="8"/>
      <c r="N57" s="8"/>
      <c r="O57" s="1"/>
      <c r="P57" s="1"/>
      <c r="Q57" s="1"/>
      <c r="R57" s="1"/>
      <c r="S57" s="1"/>
      <c r="T57" s="1"/>
      <c r="U57" s="1"/>
      <c r="V57" s="1"/>
    </row>
    <row r="58" spans="1:22" x14ac:dyDescent="0.25">
      <c r="A58" s="1"/>
      <c r="B58" s="8"/>
      <c r="C58" s="8"/>
      <c r="D58" s="8"/>
      <c r="E58" s="1"/>
      <c r="F58" s="1"/>
      <c r="G58" s="1"/>
      <c r="H58" s="1"/>
      <c r="I58" s="1"/>
      <c r="J58" s="1"/>
      <c r="K58" s="1"/>
      <c r="L58" s="8"/>
      <c r="M58" s="8"/>
      <c r="N58" s="8"/>
      <c r="O58" s="1"/>
      <c r="P58" s="1"/>
      <c r="Q58" s="1"/>
      <c r="R58" s="1"/>
      <c r="S58" s="1"/>
      <c r="T58" s="1"/>
      <c r="U58" s="1"/>
      <c r="V58" s="1"/>
    </row>
    <row r="59" spans="1:22" x14ac:dyDescent="0.25">
      <c r="A59" s="1"/>
      <c r="B59" s="8"/>
      <c r="C59" s="8"/>
      <c r="D59" s="8"/>
      <c r="E59" s="1"/>
      <c r="F59" s="1"/>
      <c r="G59" s="1"/>
      <c r="H59" s="1"/>
      <c r="I59" s="1"/>
      <c r="J59" s="1"/>
      <c r="K59" s="1"/>
      <c r="L59" s="8"/>
      <c r="M59" s="8"/>
      <c r="N59" s="8"/>
      <c r="O59" s="1"/>
      <c r="P59" s="1"/>
      <c r="Q59" s="1"/>
      <c r="R59" s="1"/>
      <c r="S59" s="1"/>
      <c r="T59" s="1"/>
      <c r="U59" s="1"/>
      <c r="V59" s="1"/>
    </row>
    <row r="60" spans="1:22" x14ac:dyDescent="0.25">
      <c r="A60" s="1"/>
      <c r="B60" s="8"/>
      <c r="C60" s="8"/>
      <c r="D60" s="8"/>
      <c r="E60" s="1"/>
      <c r="F60" s="1"/>
      <c r="G60" s="1"/>
      <c r="H60" s="1"/>
      <c r="I60" s="1"/>
      <c r="J60" s="1"/>
      <c r="K60" s="1"/>
      <c r="L60" s="8"/>
      <c r="M60" s="8"/>
      <c r="N60" s="8"/>
      <c r="O60" s="1"/>
      <c r="P60" s="1"/>
      <c r="Q60" s="1"/>
      <c r="R60" s="1"/>
      <c r="S60" s="1"/>
      <c r="T60" s="1"/>
      <c r="U60" s="1"/>
      <c r="V60" s="1"/>
    </row>
    <row r="61" spans="1:22" x14ac:dyDescent="0.25">
      <c r="A61" s="1"/>
      <c r="B61" s="8"/>
      <c r="C61" s="8"/>
      <c r="D61" s="8"/>
      <c r="E61" s="1"/>
      <c r="F61" s="1"/>
      <c r="G61" s="1"/>
      <c r="H61" s="1"/>
      <c r="I61" s="1"/>
      <c r="J61" s="1"/>
      <c r="K61" s="1"/>
      <c r="L61" s="8"/>
      <c r="M61" s="8"/>
      <c r="N61" s="8"/>
      <c r="O61" s="1"/>
      <c r="P61" s="1"/>
      <c r="Q61" s="1"/>
      <c r="R61" s="1"/>
      <c r="S61" s="1"/>
      <c r="T61" s="1"/>
      <c r="U61" s="1"/>
      <c r="V61" s="1"/>
    </row>
    <row r="62" spans="1:22" x14ac:dyDescent="0.25">
      <c r="A62" s="1"/>
      <c r="B62" s="8"/>
      <c r="C62" s="8"/>
      <c r="D62" s="8"/>
      <c r="E62" s="1"/>
      <c r="F62" s="1"/>
      <c r="G62" s="1"/>
      <c r="H62" s="1"/>
      <c r="I62" s="1"/>
      <c r="J62" s="1"/>
      <c r="K62" s="1"/>
      <c r="L62" s="8"/>
      <c r="M62" s="8"/>
      <c r="N62" s="8"/>
      <c r="O62" s="1"/>
      <c r="P62" s="1"/>
      <c r="Q62" s="1"/>
      <c r="R62" s="1"/>
      <c r="S62" s="1"/>
      <c r="T62" s="1"/>
      <c r="U62" s="1"/>
      <c r="V62" s="1"/>
    </row>
    <row r="63" spans="1:22" x14ac:dyDescent="0.25">
      <c r="A63" s="1"/>
      <c r="B63" s="8"/>
      <c r="C63" s="8"/>
      <c r="D63" s="8"/>
      <c r="E63" s="1"/>
      <c r="F63" s="1"/>
      <c r="G63" s="1"/>
      <c r="H63" s="1"/>
      <c r="I63" s="1"/>
      <c r="J63" s="1"/>
      <c r="K63" s="1"/>
      <c r="L63" s="8"/>
      <c r="M63" s="8"/>
      <c r="N63" s="8"/>
      <c r="O63" s="1"/>
      <c r="P63" s="1"/>
      <c r="Q63" s="1"/>
      <c r="R63" s="1"/>
      <c r="S63" s="1"/>
      <c r="T63" s="1"/>
      <c r="U63" s="1"/>
      <c r="V63" s="1"/>
    </row>
    <row r="64" spans="1:22" x14ac:dyDescent="0.25">
      <c r="A64" s="1"/>
      <c r="B64" s="26" t="s">
        <v>62</v>
      </c>
      <c r="C64" s="8"/>
      <c r="D64" s="8"/>
      <c r="E64" s="1"/>
      <c r="F64" s="1"/>
      <c r="G64" s="1"/>
      <c r="H64" s="1"/>
      <c r="I64" s="1"/>
      <c r="J64" s="1"/>
      <c r="K64" s="1"/>
      <c r="L64" s="8"/>
      <c r="M64" s="8"/>
      <c r="N64" s="8"/>
      <c r="O64" s="1"/>
      <c r="P64" s="1"/>
      <c r="Q64" s="1"/>
      <c r="R64" s="1"/>
      <c r="S64" s="1"/>
      <c r="T64" s="1"/>
      <c r="U64" s="1"/>
      <c r="V64" s="1"/>
    </row>
    <row r="65" spans="1:25" ht="30" x14ac:dyDescent="0.25">
      <c r="A65" s="1"/>
      <c r="B65" s="49" t="str">
        <f>mrigxl_growthincome("G65","3M","Strategies")</f>
        <v>Automation error</v>
      </c>
      <c r="C65" s="24" t="s">
        <v>19</v>
      </c>
      <c r="D65" s="24" t="s">
        <v>56</v>
      </c>
      <c r="E65" s="24" t="s">
        <v>47</v>
      </c>
      <c r="F65" s="24" t="s">
        <v>57</v>
      </c>
      <c r="G65" s="1"/>
      <c r="H65" s="1"/>
      <c r="I65" s="1"/>
      <c r="J65" s="1"/>
      <c r="K65" s="1"/>
      <c r="L65" s="8"/>
      <c r="M65" s="8"/>
      <c r="N65" s="8"/>
      <c r="O65" s="1"/>
      <c r="P65" s="1"/>
      <c r="Q65" s="1"/>
      <c r="R65" s="1"/>
      <c r="S65" s="1"/>
      <c r="T65" s="1"/>
      <c r="U65" s="1"/>
      <c r="V65" s="1"/>
      <c r="Y65" t="str">
        <f>B65</f>
        <v>Automation error</v>
      </c>
    </row>
    <row r="66" spans="1:25" x14ac:dyDescent="0.25">
      <c r="A66" s="1"/>
      <c r="B66" s="8" t="s">
        <v>77</v>
      </c>
      <c r="C66" s="17">
        <v>-0.12254676036323711</v>
      </c>
      <c r="D66" s="8">
        <v>19.37</v>
      </c>
      <c r="E66" s="28">
        <v>5.9880106571936054</v>
      </c>
      <c r="F66" s="28">
        <v>0.44551962266768308</v>
      </c>
      <c r="G66" s="1"/>
      <c r="H66" s="1"/>
      <c r="I66" s="1"/>
      <c r="J66" s="1"/>
      <c r="K66" s="1"/>
      <c r="L66" s="8"/>
      <c r="M66" s="8"/>
      <c r="N66" s="8"/>
      <c r="O66" s="1"/>
      <c r="P66" s="1"/>
      <c r="Q66" s="1"/>
      <c r="R66" s="1"/>
      <c r="S66" s="1"/>
      <c r="T66" s="1"/>
      <c r="U66" s="1"/>
      <c r="V66" s="1"/>
    </row>
    <row r="67" spans="1:25" x14ac:dyDescent="0.25">
      <c r="A67" s="1"/>
      <c r="B67" s="8" t="s">
        <v>58</v>
      </c>
      <c r="C67" s="17">
        <v>-0.12701336326385398</v>
      </c>
      <c r="D67" s="8">
        <v>23.67</v>
      </c>
      <c r="E67" s="28">
        <v>4.5335181862665141</v>
      </c>
      <c r="F67" s="28">
        <v>0.81566249342194996</v>
      </c>
      <c r="G67" s="1"/>
      <c r="H67" s="1"/>
      <c r="I67" s="1"/>
      <c r="J67" s="1"/>
      <c r="K67" s="1"/>
      <c r="L67" s="8"/>
      <c r="M67" s="8"/>
      <c r="N67" s="8"/>
      <c r="O67" s="1"/>
      <c r="P67" s="1"/>
      <c r="Q67" s="1"/>
      <c r="R67" s="1"/>
      <c r="S67" s="1"/>
      <c r="T67" s="1"/>
      <c r="U67" s="1"/>
      <c r="V67" s="1"/>
    </row>
    <row r="68" spans="1:25" x14ac:dyDescent="0.25">
      <c r="A68" s="1"/>
      <c r="B68" s="8" t="s">
        <v>59</v>
      </c>
      <c r="C68" s="17">
        <v>-3.5254731855101362E-2</v>
      </c>
      <c r="D68" s="8">
        <v>13.86</v>
      </c>
      <c r="E68" s="28">
        <v>6.1083540115798174</v>
      </c>
      <c r="F68" s="28">
        <v>0.10140284191324303</v>
      </c>
      <c r="G68" s="1"/>
      <c r="H68" s="1"/>
      <c r="I68" s="1"/>
      <c r="J68" s="1"/>
      <c r="K68" s="1"/>
      <c r="L68" s="8"/>
      <c r="M68" s="8"/>
      <c r="N68" s="8"/>
      <c r="O68" s="1"/>
      <c r="P68" s="1"/>
      <c r="Q68" s="1"/>
      <c r="R68" s="1"/>
      <c r="S68" s="1"/>
      <c r="T68" s="1"/>
      <c r="U68" s="1"/>
      <c r="V68" s="1"/>
    </row>
    <row r="69" spans="1:25" x14ac:dyDescent="0.25">
      <c r="A69" s="1"/>
      <c r="B69" s="8" t="s">
        <v>60</v>
      </c>
      <c r="C69" s="17">
        <v>-0.18385144453634897</v>
      </c>
      <c r="D69" s="8">
        <v>14.71</v>
      </c>
      <c r="E69" s="28">
        <v>11.696483652066625</v>
      </c>
      <c r="F69" s="28">
        <v>0.39305934122569591</v>
      </c>
      <c r="G69" s="1"/>
      <c r="H69" s="1"/>
      <c r="I69" s="1"/>
      <c r="J69" s="1"/>
      <c r="K69" s="1"/>
      <c r="L69" s="8"/>
      <c r="M69" s="8"/>
      <c r="N69" s="8"/>
      <c r="O69" s="1"/>
      <c r="P69" s="1"/>
      <c r="Q69" s="1"/>
      <c r="R69" s="1"/>
      <c r="S69" s="1"/>
      <c r="T69" s="1"/>
      <c r="U69" s="1"/>
      <c r="V69" s="1"/>
    </row>
    <row r="70" spans="1:25" x14ac:dyDescent="0.25">
      <c r="A70" s="1"/>
      <c r="B70" s="8" t="s">
        <v>61</v>
      </c>
      <c r="C70" s="17">
        <v>-2.2284548156728926E-2</v>
      </c>
      <c r="D70" s="8">
        <v>13.61</v>
      </c>
      <c r="E70" s="28">
        <v>21.25287356321839</v>
      </c>
      <c r="F70" s="28">
        <v>-0.38565424350275401</v>
      </c>
      <c r="G70" s="1"/>
      <c r="H70" s="1"/>
      <c r="I70" s="1"/>
      <c r="J70" s="1"/>
      <c r="K70" s="1"/>
      <c r="L70" s="8"/>
      <c r="M70" s="8"/>
      <c r="N70" s="8"/>
      <c r="O70" s="1"/>
      <c r="P70" s="1"/>
      <c r="Q70" s="1"/>
      <c r="R70" s="1"/>
      <c r="S70" s="1"/>
      <c r="T70" s="1"/>
      <c r="U70" s="1"/>
      <c r="V70" s="1"/>
    </row>
    <row r="71" spans="1:25" x14ac:dyDescent="0.25">
      <c r="A71" s="1"/>
      <c r="B71" s="8" t="s">
        <v>80</v>
      </c>
      <c r="C71" s="17">
        <v>-0.13451982801190726</v>
      </c>
      <c r="D71" s="8">
        <v>15.62</v>
      </c>
      <c r="E71" s="28">
        <v>7.8512053200332508</v>
      </c>
      <c r="F71" s="28">
        <v>0.16871154593566562</v>
      </c>
      <c r="G71" s="1"/>
      <c r="H71" s="1"/>
      <c r="I71" s="1"/>
      <c r="J71" s="1"/>
      <c r="K71" s="1"/>
      <c r="L71" s="8"/>
      <c r="M71" s="8"/>
      <c r="N71" s="8"/>
      <c r="O71" s="1"/>
      <c r="P71" s="1"/>
      <c r="Q71" s="1"/>
      <c r="R71" s="1"/>
      <c r="S71" s="1"/>
      <c r="T71" s="1"/>
      <c r="U71" s="1"/>
      <c r="V71" s="1"/>
    </row>
    <row r="72" spans="1:25" x14ac:dyDescent="0.25">
      <c r="A72" s="1"/>
      <c r="B72" s="8" t="s">
        <v>83</v>
      </c>
      <c r="C72" s="17">
        <v>-5.4616747317900283E-2</v>
      </c>
      <c r="D72" s="8">
        <v>20.16</v>
      </c>
      <c r="E72" s="28">
        <v>5.9062253743104813</v>
      </c>
      <c r="F72" s="28">
        <v>-0.13173759936886062</v>
      </c>
      <c r="G72" s="1"/>
      <c r="H72" s="1"/>
      <c r="I72" s="1"/>
      <c r="J72" s="1"/>
      <c r="K72" s="1"/>
      <c r="L72" s="8"/>
      <c r="M72" s="8"/>
      <c r="N72" s="8"/>
      <c r="O72" s="1"/>
      <c r="P72" s="1"/>
      <c r="Q72" s="1"/>
      <c r="R72" s="1"/>
      <c r="S72" s="1"/>
      <c r="T72" s="1"/>
      <c r="U72" s="1"/>
      <c r="V72" s="1"/>
    </row>
    <row r="73" spans="1:25" x14ac:dyDescent="0.25">
      <c r="A73" s="1"/>
      <c r="B73" s="8"/>
      <c r="C73" s="8"/>
      <c r="D73" s="8"/>
      <c r="E73" s="1"/>
      <c r="F73" s="1"/>
      <c r="G73" s="1"/>
      <c r="H73" s="1"/>
      <c r="I73" s="1"/>
      <c r="J73" s="1"/>
      <c r="K73" s="1"/>
      <c r="L73" s="8"/>
      <c r="M73" s="8"/>
      <c r="N73" s="8"/>
      <c r="O73" s="1"/>
      <c r="P73" s="1"/>
      <c r="Q73" s="1"/>
      <c r="R73" s="1"/>
      <c r="S73" s="1"/>
      <c r="T73" s="1"/>
      <c r="U73" s="1"/>
      <c r="V73" s="1"/>
    </row>
    <row r="74" spans="1:25" x14ac:dyDescent="0.25">
      <c r="A74" s="1"/>
      <c r="B74" s="8"/>
      <c r="C74" s="8"/>
      <c r="D74" s="8"/>
      <c r="E74" s="1"/>
      <c r="F74" s="1"/>
      <c r="G74" s="1"/>
      <c r="H74" s="1"/>
      <c r="I74" s="1"/>
      <c r="J74" s="1"/>
      <c r="K74" s="1"/>
      <c r="L74" s="8"/>
      <c r="M74" s="8"/>
      <c r="N74" s="8"/>
      <c r="O74" s="1"/>
      <c r="P74" s="1"/>
      <c r="Q74" s="1"/>
      <c r="R74" s="1"/>
      <c r="S74" s="1"/>
      <c r="T74" s="1"/>
      <c r="U74" s="1"/>
      <c r="V74" s="1"/>
    </row>
    <row r="75" spans="1:25" x14ac:dyDescent="0.25">
      <c r="A75" s="1"/>
      <c r="B75" s="8"/>
      <c r="C75" s="8"/>
      <c r="D75" s="8"/>
      <c r="E75" s="1"/>
      <c r="F75" s="1"/>
      <c r="G75" s="1"/>
      <c r="H75" s="1"/>
      <c r="I75" s="1"/>
      <c r="J75" s="1"/>
      <c r="K75" s="1"/>
      <c r="L75" s="8"/>
      <c r="M75" s="8"/>
      <c r="N75" s="8"/>
      <c r="O75" s="1"/>
      <c r="P75" s="1"/>
      <c r="Q75" s="1"/>
      <c r="R75" s="1"/>
      <c r="S75" s="1"/>
      <c r="T75" s="1"/>
      <c r="U75" s="1"/>
      <c r="V75" s="1"/>
    </row>
    <row r="76" spans="1:25" x14ac:dyDescent="0.25">
      <c r="A76" s="1"/>
      <c r="B76" s="8"/>
      <c r="C76" s="8"/>
      <c r="D76" s="8"/>
      <c r="E76" s="1"/>
      <c r="F76" s="1"/>
      <c r="G76" s="1"/>
      <c r="H76" s="1"/>
      <c r="I76" s="1"/>
      <c r="J76" s="1"/>
      <c r="K76" s="1"/>
      <c r="L76" s="8"/>
      <c r="M76" s="8"/>
      <c r="N76" s="8"/>
      <c r="O76" s="1"/>
      <c r="P76" s="1"/>
      <c r="Q76" s="1"/>
      <c r="R76" s="1"/>
      <c r="S76" s="1"/>
      <c r="T76" s="1"/>
      <c r="U76" s="1"/>
      <c r="V76" s="1"/>
    </row>
    <row r="77" spans="1:25" x14ac:dyDescent="0.25">
      <c r="A77" s="1"/>
      <c r="B77" s="8"/>
      <c r="C77" s="8"/>
      <c r="D77" s="8"/>
      <c r="E77" s="1"/>
      <c r="F77" s="1"/>
      <c r="G77" s="1"/>
      <c r="H77" s="1"/>
      <c r="I77" s="1"/>
      <c r="J77" s="1"/>
      <c r="K77" s="1"/>
      <c r="L77" s="8"/>
      <c r="M77" s="8"/>
      <c r="N77" s="8"/>
      <c r="O77" s="1"/>
      <c r="P77" s="1"/>
      <c r="Q77" s="1"/>
      <c r="R77" s="1"/>
      <c r="S77" s="1"/>
      <c r="T77" s="1"/>
      <c r="U77" s="1"/>
      <c r="V77" s="1"/>
    </row>
    <row r="78" spans="1:25" x14ac:dyDescent="0.25">
      <c r="A78" s="1"/>
      <c r="B78" s="8"/>
      <c r="C78" s="8"/>
      <c r="D78" s="8"/>
      <c r="E78" s="1"/>
      <c r="F78" s="1"/>
      <c r="G78" s="1"/>
      <c r="H78" s="1"/>
      <c r="I78" s="1"/>
      <c r="J78" s="1"/>
      <c r="K78" s="1"/>
      <c r="L78" s="8"/>
      <c r="M78" s="8"/>
      <c r="N78" s="8"/>
      <c r="O78" s="1"/>
      <c r="P78" s="1"/>
      <c r="Q78" s="1"/>
      <c r="R78" s="1"/>
      <c r="S78" s="1"/>
      <c r="T78" s="1"/>
      <c r="U78" s="1"/>
      <c r="V78" s="1"/>
    </row>
    <row r="79" spans="1:25" x14ac:dyDescent="0.25">
      <c r="A79" s="1"/>
      <c r="B79" s="8"/>
      <c r="C79" s="8"/>
      <c r="D79" s="8"/>
      <c r="E79" s="1"/>
      <c r="F79" s="1"/>
      <c r="G79" s="1"/>
      <c r="H79" s="1"/>
      <c r="I79" s="1"/>
      <c r="J79" s="1"/>
      <c r="K79" s="1"/>
      <c r="L79" s="8"/>
      <c r="M79" s="8"/>
      <c r="N79" s="8"/>
      <c r="O79" s="1"/>
      <c r="P79" s="1"/>
      <c r="Q79" s="1"/>
      <c r="R79" s="1"/>
      <c r="S79" s="1"/>
      <c r="T79" s="1"/>
      <c r="U79" s="1"/>
      <c r="V79" s="1"/>
    </row>
    <row r="80" spans="1:25" x14ac:dyDescent="0.25">
      <c r="A80" s="1"/>
      <c r="B80" s="8"/>
      <c r="C80" s="8"/>
      <c r="D80" s="8"/>
      <c r="E80" s="1"/>
      <c r="F80" s="1"/>
      <c r="G80" s="1"/>
      <c r="H80" s="1"/>
      <c r="I80" s="1"/>
      <c r="J80" s="1"/>
      <c r="K80" s="1"/>
      <c r="L80" s="8"/>
      <c r="M80" s="8"/>
      <c r="N80" s="8"/>
      <c r="O80" s="1"/>
      <c r="P80" s="1"/>
      <c r="Q80" s="1"/>
      <c r="R80" s="1"/>
      <c r="S80" s="1"/>
      <c r="T80" s="1"/>
      <c r="U80" s="1"/>
      <c r="V80" s="1"/>
    </row>
    <row r="81" spans="1:22" x14ac:dyDescent="0.25">
      <c r="A81" s="1"/>
      <c r="B81" s="8"/>
      <c r="C81" s="8"/>
      <c r="D81" s="8"/>
      <c r="E81" s="1"/>
      <c r="F81" s="1"/>
      <c r="G81" s="1"/>
      <c r="H81" s="1"/>
      <c r="I81" s="1"/>
      <c r="J81" s="1"/>
      <c r="K81" s="1"/>
      <c r="L81" s="8"/>
      <c r="M81" s="8"/>
      <c r="N81" s="8"/>
      <c r="O81" s="1"/>
      <c r="P81" s="1"/>
      <c r="Q81" s="1"/>
      <c r="R81" s="1"/>
      <c r="S81" s="1"/>
      <c r="T81" s="1"/>
      <c r="U81" s="1"/>
      <c r="V81" s="1"/>
    </row>
    <row r="82" spans="1:22" x14ac:dyDescent="0.25">
      <c r="A82" s="1"/>
      <c r="B82" s="8"/>
      <c r="C82" s="8"/>
      <c r="D82" s="8"/>
      <c r="E82" s="1"/>
      <c r="F82" s="1"/>
      <c r="G82" s="1"/>
      <c r="H82" s="1"/>
      <c r="I82" s="1"/>
      <c r="J82" s="1"/>
      <c r="K82" s="1"/>
      <c r="L82" s="8"/>
      <c r="M82" s="8"/>
      <c r="N82" s="8"/>
      <c r="O82" s="1"/>
      <c r="P82" s="1"/>
      <c r="Q82" s="1"/>
      <c r="R82" s="1"/>
      <c r="S82" s="1"/>
      <c r="T82" s="1"/>
      <c r="U82" s="1"/>
      <c r="V82" s="1"/>
    </row>
    <row r="83" spans="1:22" x14ac:dyDescent="0.25">
      <c r="A83" s="1"/>
      <c r="B83" s="8"/>
      <c r="C83" s="8"/>
      <c r="D83" s="8"/>
      <c r="E83" s="1"/>
      <c r="F83" s="1"/>
      <c r="G83" s="1"/>
      <c r="H83" s="1"/>
      <c r="I83" s="1"/>
      <c r="J83" s="1"/>
      <c r="K83" s="1"/>
      <c r="L83" s="8"/>
      <c r="M83" s="8"/>
      <c r="N83" s="8"/>
      <c r="O83" s="1"/>
      <c r="P83" s="1"/>
      <c r="Q83" s="1"/>
      <c r="R83" s="1"/>
      <c r="S83" s="1"/>
      <c r="T83" s="1"/>
      <c r="U83" s="1"/>
      <c r="V83" s="1"/>
    </row>
    <row r="84" spans="1:22" x14ac:dyDescent="0.25">
      <c r="A84" s="1"/>
      <c r="B84" s="8"/>
      <c r="C84" s="8"/>
      <c r="D84" s="8"/>
      <c r="E84" s="1"/>
      <c r="F84" s="1"/>
      <c r="G84" s="1"/>
      <c r="H84" s="1"/>
      <c r="I84" s="1"/>
      <c r="J84" s="1"/>
      <c r="K84" s="1"/>
      <c r="L84" s="8"/>
      <c r="M84" s="8"/>
      <c r="N84" s="8"/>
      <c r="O84" s="1"/>
      <c r="P84" s="1"/>
      <c r="Q84" s="1"/>
      <c r="R84" s="1"/>
      <c r="S84" s="1"/>
      <c r="T84" s="1"/>
      <c r="U84" s="1"/>
      <c r="V84" s="1"/>
    </row>
    <row r="85" spans="1:22" x14ac:dyDescent="0.25">
      <c r="A85" s="1"/>
      <c r="B85" s="8"/>
      <c r="C85" s="8"/>
      <c r="D85" s="8"/>
      <c r="E85" s="1"/>
      <c r="F85" s="1"/>
      <c r="G85" s="1"/>
      <c r="H85" s="1"/>
      <c r="I85" s="1"/>
      <c r="J85" s="1"/>
      <c r="K85" s="1"/>
      <c r="L85" s="8"/>
      <c r="M85" s="8"/>
      <c r="N85" s="8"/>
      <c r="O85" s="1"/>
      <c r="P85" s="1"/>
      <c r="Q85" s="1"/>
      <c r="R85" s="1"/>
      <c r="S85" s="1"/>
      <c r="T85" s="1"/>
      <c r="U85" s="1"/>
      <c r="V85" s="1"/>
    </row>
    <row r="86" spans="1:22" x14ac:dyDescent="0.25">
      <c r="A86" s="1"/>
      <c r="B86" s="8"/>
      <c r="C86" s="8"/>
      <c r="D86" s="8"/>
      <c r="E86" s="1"/>
      <c r="F86" s="1"/>
      <c r="G86" s="1"/>
      <c r="H86" s="1"/>
      <c r="I86" s="1"/>
      <c r="J86" s="1"/>
      <c r="K86" s="1"/>
      <c r="L86" s="8"/>
      <c r="M86" s="8"/>
      <c r="N86" s="8"/>
      <c r="O86" s="1"/>
      <c r="P86" s="1"/>
      <c r="Q86" s="1"/>
      <c r="R86" s="1"/>
      <c r="S86" s="1"/>
      <c r="T86" s="1"/>
      <c r="U86" s="1"/>
      <c r="V86" s="1"/>
    </row>
    <row r="87" spans="1:22" x14ac:dyDescent="0.25">
      <c r="A87" s="1"/>
      <c r="B87" s="8"/>
      <c r="C87" s="8"/>
      <c r="D87" s="8"/>
      <c r="E87" s="1"/>
      <c r="F87" s="1"/>
      <c r="G87" s="1"/>
      <c r="H87" s="1"/>
      <c r="I87" s="1"/>
      <c r="J87" s="1"/>
      <c r="K87" s="1"/>
      <c r="L87" s="8"/>
      <c r="M87" s="8"/>
      <c r="N87" s="8"/>
      <c r="O87" s="1"/>
      <c r="P87" s="1"/>
      <c r="Q87" s="1"/>
      <c r="R87" s="1"/>
      <c r="S87" s="1"/>
      <c r="T87" s="1"/>
      <c r="U87" s="1"/>
      <c r="V87" s="1"/>
    </row>
    <row r="88" spans="1:22" x14ac:dyDescent="0.25">
      <c r="A88" s="1"/>
      <c r="B88" s="8"/>
      <c r="C88" s="8"/>
      <c r="D88" s="8"/>
      <c r="E88" s="1"/>
      <c r="F88" s="1"/>
      <c r="G88" s="1"/>
      <c r="H88" s="1"/>
      <c r="I88" s="1"/>
      <c r="J88" s="1"/>
      <c r="K88" s="1"/>
      <c r="L88" s="8"/>
      <c r="M88" s="8"/>
      <c r="N88" s="8"/>
      <c r="O88" s="1"/>
      <c r="P88" s="1"/>
      <c r="Q88" s="1"/>
      <c r="R88" s="1"/>
      <c r="S88" s="1"/>
      <c r="T88" s="1"/>
      <c r="U88" s="1"/>
      <c r="V88" s="1"/>
    </row>
    <row r="89" spans="1:22" x14ac:dyDescent="0.25">
      <c r="A89" s="1"/>
      <c r="B89" s="8"/>
      <c r="C89" s="8"/>
      <c r="D89" s="8"/>
      <c r="E89" s="1"/>
      <c r="F89" s="1"/>
      <c r="G89" s="1"/>
      <c r="H89" s="1"/>
      <c r="I89" s="1"/>
      <c r="J89" s="1"/>
      <c r="K89" s="1"/>
      <c r="L89" s="8"/>
      <c r="M89" s="8"/>
      <c r="N89" s="8"/>
      <c r="O89" s="1"/>
      <c r="P89" s="1"/>
      <c r="Q89" s="1"/>
      <c r="R89" s="1"/>
      <c r="S89" s="1"/>
      <c r="T89" s="1"/>
      <c r="U89" s="1"/>
      <c r="V89" s="1"/>
    </row>
    <row r="90" spans="1:22" x14ac:dyDescent="0.25">
      <c r="A90" s="1"/>
      <c r="B90" s="8"/>
      <c r="C90" s="8"/>
      <c r="D90" s="8"/>
      <c r="E90" s="1"/>
      <c r="F90" s="1"/>
      <c r="G90" s="1"/>
      <c r="H90" s="1"/>
      <c r="I90" s="1"/>
      <c r="J90" s="1"/>
      <c r="K90" s="1"/>
      <c r="L90" s="8"/>
      <c r="M90" s="8"/>
      <c r="N90" s="8"/>
      <c r="O90" s="1"/>
      <c r="P90" s="1"/>
      <c r="Q90" s="1"/>
      <c r="R90" s="1"/>
      <c r="S90" s="1"/>
      <c r="T90" s="1"/>
      <c r="U90" s="1"/>
      <c r="V90" s="1"/>
    </row>
    <row r="91" spans="1:22" x14ac:dyDescent="0.25">
      <c r="A91" s="1"/>
      <c r="B91" s="8"/>
      <c r="C91" s="8"/>
      <c r="D91" s="8"/>
      <c r="E91" s="1"/>
      <c r="F91" s="1"/>
      <c r="G91" s="1"/>
      <c r="H91" s="1"/>
      <c r="I91" s="1"/>
      <c r="J91" s="1"/>
      <c r="K91" s="1"/>
      <c r="L91" s="8"/>
      <c r="M91" s="8"/>
      <c r="N91" s="8"/>
      <c r="O91" s="1"/>
      <c r="P91" s="1"/>
      <c r="Q91" s="1"/>
      <c r="R91" s="1"/>
      <c r="S91" s="1"/>
      <c r="T91" s="1"/>
      <c r="U91" s="1"/>
      <c r="V91" s="1"/>
    </row>
    <row r="92" spans="1:22" x14ac:dyDescent="0.25">
      <c r="A92" s="1"/>
      <c r="B92" s="8"/>
      <c r="C92" s="8"/>
      <c r="D92" s="8"/>
      <c r="E92" s="1"/>
      <c r="F92" s="1"/>
      <c r="G92" s="1"/>
      <c r="H92" s="1"/>
      <c r="I92" s="1"/>
      <c r="J92" s="1"/>
      <c r="K92" s="1"/>
      <c r="L92" s="8"/>
      <c r="M92" s="8"/>
      <c r="N92" s="8"/>
      <c r="O92" s="1"/>
      <c r="P92" s="1"/>
      <c r="Q92" s="1"/>
      <c r="R92" s="1"/>
      <c r="S92" s="1"/>
      <c r="T92" s="1"/>
      <c r="U92" s="1"/>
      <c r="V92" s="1"/>
    </row>
    <row r="93" spans="1:22" x14ac:dyDescent="0.25">
      <c r="A93" s="1"/>
      <c r="B93" s="8"/>
      <c r="C93" s="8"/>
      <c r="D93" s="8"/>
      <c r="E93" s="1"/>
      <c r="F93" s="1"/>
      <c r="G93" s="1"/>
      <c r="H93" s="1"/>
      <c r="I93" s="1"/>
      <c r="J93" s="1"/>
      <c r="K93" s="1"/>
      <c r="L93" s="8"/>
      <c r="M93" s="8"/>
      <c r="N93" s="8"/>
      <c r="O93" s="1"/>
      <c r="P93" s="1"/>
      <c r="Q93" s="1"/>
      <c r="R93" s="1"/>
      <c r="S93" s="1"/>
      <c r="T93" s="1"/>
      <c r="U93" s="1"/>
      <c r="V93" s="1"/>
    </row>
    <row r="94" spans="1:22" x14ac:dyDescent="0.25">
      <c r="A94" s="1"/>
      <c r="B94" s="8"/>
      <c r="C94" s="8"/>
      <c r="D94" s="8"/>
      <c r="E94" s="1"/>
      <c r="F94" s="1"/>
      <c r="G94" s="1"/>
      <c r="H94" s="1"/>
      <c r="I94" s="1"/>
      <c r="J94" s="1"/>
      <c r="K94" s="1"/>
      <c r="L94" s="8"/>
      <c r="M94" s="8"/>
      <c r="N94" s="8"/>
      <c r="O94" s="1"/>
      <c r="P94" s="1"/>
      <c r="Q94" s="1"/>
      <c r="R94" s="1"/>
      <c r="S94" s="1"/>
      <c r="T94" s="1"/>
      <c r="U94" s="1"/>
      <c r="V94" s="1"/>
    </row>
    <row r="95" spans="1:22" x14ac:dyDescent="0.25">
      <c r="A95" s="1"/>
      <c r="B95" s="8"/>
      <c r="C95" s="8"/>
      <c r="D95" s="8"/>
      <c r="E95" s="1"/>
      <c r="F95" s="1"/>
      <c r="G95" s="1"/>
      <c r="H95" s="1"/>
      <c r="I95" s="1"/>
      <c r="J95" s="1"/>
      <c r="K95" s="1"/>
      <c r="L95" s="8"/>
      <c r="M95" s="8"/>
      <c r="N95" s="8"/>
      <c r="O95" s="1"/>
      <c r="P95" s="1"/>
      <c r="Q95" s="1"/>
      <c r="R95" s="1"/>
      <c r="S95" s="1"/>
      <c r="T95" s="1"/>
      <c r="U95" s="1"/>
      <c r="V95" s="1"/>
    </row>
    <row r="96" spans="1:22" x14ac:dyDescent="0.25">
      <c r="A96" s="1"/>
      <c r="B96" s="8"/>
      <c r="C96" s="8"/>
      <c r="D96" s="8"/>
      <c r="E96" s="1"/>
      <c r="F96" s="1"/>
      <c r="G96" s="1"/>
      <c r="H96" s="1"/>
      <c r="I96" s="1"/>
      <c r="J96" s="1"/>
      <c r="K96" s="1"/>
      <c r="L96" s="8"/>
      <c r="M96" s="8"/>
      <c r="N96" s="8"/>
      <c r="O96" s="1"/>
      <c r="P96" s="1"/>
      <c r="Q96" s="1"/>
      <c r="R96" s="1"/>
      <c r="S96" s="1"/>
      <c r="T96" s="1"/>
      <c r="U96" s="1"/>
      <c r="V96" s="1"/>
    </row>
    <row r="97" spans="1:22" x14ac:dyDescent="0.25">
      <c r="A97" s="1"/>
      <c r="B97" s="8"/>
      <c r="C97" s="8"/>
      <c r="D97" s="8"/>
      <c r="E97" s="1"/>
      <c r="F97" s="1"/>
      <c r="G97" s="1"/>
      <c r="H97" s="1"/>
      <c r="I97" s="1"/>
      <c r="J97" s="1"/>
      <c r="K97" s="1"/>
      <c r="L97" s="8"/>
      <c r="M97" s="8"/>
      <c r="N97" s="8"/>
      <c r="O97" s="1"/>
      <c r="P97" s="1"/>
      <c r="Q97" s="1"/>
      <c r="R97" s="1"/>
      <c r="S97" s="1"/>
      <c r="T97" s="1"/>
      <c r="U97" s="1"/>
      <c r="V97" s="1"/>
    </row>
    <row r="98" spans="1:22" x14ac:dyDescent="0.25">
      <c r="A98" s="1"/>
      <c r="B98" s="8"/>
      <c r="C98" s="8"/>
      <c r="D98" s="8"/>
      <c r="E98" s="1"/>
      <c r="F98" s="1"/>
      <c r="G98" s="1"/>
      <c r="H98" s="1"/>
      <c r="I98" s="1"/>
      <c r="J98" s="1"/>
      <c r="K98" s="1"/>
      <c r="L98" s="8"/>
      <c r="M98" s="8"/>
      <c r="N98" s="8"/>
      <c r="O98" s="1"/>
      <c r="P98" s="1"/>
      <c r="Q98" s="1"/>
      <c r="R98" s="1"/>
      <c r="S98" s="1"/>
      <c r="T98" s="1"/>
      <c r="U98" s="1"/>
      <c r="V98" s="1"/>
    </row>
    <row r="99" spans="1:22" x14ac:dyDescent="0.25">
      <c r="A99" s="1"/>
      <c r="B99" s="8"/>
      <c r="C99" s="8"/>
      <c r="D99" s="8"/>
      <c r="E99" s="1"/>
      <c r="F99" s="1"/>
      <c r="G99" s="1"/>
      <c r="H99" s="1"/>
      <c r="I99" s="1"/>
      <c r="J99" s="1"/>
      <c r="K99" s="1"/>
      <c r="L99" s="8"/>
      <c r="M99" s="8"/>
      <c r="N99" s="8"/>
      <c r="O99" s="1"/>
      <c r="P99" s="1"/>
      <c r="Q99" s="1"/>
      <c r="R99" s="1"/>
      <c r="S99" s="1"/>
      <c r="T99" s="1"/>
      <c r="U99" s="1"/>
      <c r="V99" s="1"/>
    </row>
    <row r="100" spans="1:22" x14ac:dyDescent="0.25">
      <c r="A100" s="6"/>
      <c r="B100" s="8"/>
      <c r="C100" s="8"/>
      <c r="D100" s="8"/>
      <c r="E100" s="1"/>
      <c r="F100" s="1"/>
      <c r="G100" s="1"/>
      <c r="H100" s="1"/>
      <c r="I100" s="1"/>
      <c r="J100" s="1"/>
      <c r="K100" s="1"/>
      <c r="L100" s="8"/>
      <c r="M100" s="8"/>
      <c r="N100" s="8"/>
      <c r="O100" s="1"/>
      <c r="P100" s="1"/>
      <c r="Q100" s="1"/>
      <c r="R100" s="1"/>
      <c r="S100" s="1"/>
      <c r="T100" s="1"/>
      <c r="U100" s="1"/>
      <c r="V100" s="1"/>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449"/>
  <sheetViews>
    <sheetView zoomScale="90" zoomScaleNormal="90" workbookViewId="0">
      <selection activeCell="B1" sqref="B1"/>
    </sheetView>
  </sheetViews>
  <sheetFormatPr defaultRowHeight="15" x14ac:dyDescent="0.25"/>
  <cols>
    <col min="1" max="1" width="9.140625" style="29"/>
    <col min="2" max="2" width="17" style="29" bestFit="1" customWidth="1"/>
    <col min="3" max="3" width="11.5703125" style="29" bestFit="1" customWidth="1"/>
    <col min="4" max="4" width="43.140625" style="29" customWidth="1"/>
    <col min="5" max="5" width="103" style="29" customWidth="1"/>
    <col min="6" max="16384" width="9.140625" style="29"/>
  </cols>
  <sheetData>
    <row r="1" spans="1:5" ht="18.75" x14ac:dyDescent="0.3">
      <c r="A1" s="30"/>
      <c r="B1" s="33" t="s">
        <v>76</v>
      </c>
      <c r="C1" s="33" t="s">
        <v>73</v>
      </c>
      <c r="D1" s="33" t="s">
        <v>74</v>
      </c>
      <c r="E1" s="33" t="s">
        <v>75</v>
      </c>
    </row>
    <row r="2" spans="1:5" ht="45" x14ac:dyDescent="0.25">
      <c r="A2" s="30"/>
      <c r="B2" s="30" t="e">
        <f>mrigxl_news()</f>
        <v>#VALUE!</v>
      </c>
      <c r="C2" s="31">
        <v>43476</v>
      </c>
      <c r="D2" s="32" t="s">
        <v>2305</v>
      </c>
      <c r="E2" s="32" t="s">
        <v>2306</v>
      </c>
    </row>
    <row r="3" spans="1:5" ht="30" x14ac:dyDescent="0.25">
      <c r="A3" s="30"/>
      <c r="B3" s="30" t="s">
        <v>64</v>
      </c>
      <c r="C3" s="31">
        <v>43476</v>
      </c>
      <c r="D3" s="32" t="s">
        <v>2307</v>
      </c>
      <c r="E3" s="32" t="s">
        <v>1892</v>
      </c>
    </row>
    <row r="4" spans="1:5" ht="30" x14ac:dyDescent="0.25">
      <c r="A4" s="30"/>
      <c r="B4" s="30" t="s">
        <v>64</v>
      </c>
      <c r="C4" s="31">
        <v>43475</v>
      </c>
      <c r="D4" s="32" t="s">
        <v>2050</v>
      </c>
      <c r="E4" s="32" t="s">
        <v>1892</v>
      </c>
    </row>
    <row r="5" spans="1:5" ht="30" x14ac:dyDescent="0.25">
      <c r="A5" s="30"/>
      <c r="B5" s="30" t="s">
        <v>64</v>
      </c>
      <c r="C5" s="31">
        <v>43475</v>
      </c>
      <c r="D5" s="32" t="s">
        <v>2048</v>
      </c>
      <c r="E5" s="32" t="s">
        <v>2049</v>
      </c>
    </row>
    <row r="6" spans="1:5" ht="30" x14ac:dyDescent="0.25">
      <c r="A6" s="30"/>
      <c r="B6" s="30" t="s">
        <v>64</v>
      </c>
      <c r="C6" s="31">
        <v>43475</v>
      </c>
      <c r="D6" s="32" t="s">
        <v>2047</v>
      </c>
      <c r="E6" s="32" t="s">
        <v>1892</v>
      </c>
    </row>
    <row r="7" spans="1:5" ht="30" x14ac:dyDescent="0.25">
      <c r="A7" s="30"/>
      <c r="B7" s="30" t="s">
        <v>64</v>
      </c>
      <c r="C7" s="31">
        <v>43474</v>
      </c>
      <c r="D7" s="32" t="s">
        <v>2308</v>
      </c>
      <c r="E7" s="32" t="s">
        <v>2309</v>
      </c>
    </row>
    <row r="8" spans="1:5" ht="30" x14ac:dyDescent="0.25">
      <c r="A8" s="30"/>
      <c r="B8" s="30" t="s">
        <v>64</v>
      </c>
      <c r="C8" s="31">
        <v>43474</v>
      </c>
      <c r="D8" s="32" t="s">
        <v>2051</v>
      </c>
      <c r="E8" s="32" t="s">
        <v>2052</v>
      </c>
    </row>
    <row r="9" spans="1:5" ht="30" x14ac:dyDescent="0.25">
      <c r="A9" s="30"/>
      <c r="B9" s="30" t="s">
        <v>64</v>
      </c>
      <c r="C9" s="31">
        <v>43474</v>
      </c>
      <c r="D9" s="32" t="s">
        <v>2053</v>
      </c>
      <c r="E9" s="32" t="s">
        <v>2054</v>
      </c>
    </row>
    <row r="10" spans="1:5" ht="30" x14ac:dyDescent="0.25">
      <c r="A10" s="30"/>
      <c r="B10" s="30" t="s">
        <v>64</v>
      </c>
      <c r="C10" s="31">
        <v>43473</v>
      </c>
      <c r="D10" s="32" t="s">
        <v>1909</v>
      </c>
      <c r="E10" s="32" t="s">
        <v>1910</v>
      </c>
    </row>
    <row r="11" spans="1:5" ht="30" x14ac:dyDescent="0.25">
      <c r="A11" s="30"/>
      <c r="B11" s="30" t="s">
        <v>64</v>
      </c>
      <c r="C11" s="31">
        <v>43473</v>
      </c>
      <c r="D11" s="32" t="s">
        <v>1905</v>
      </c>
      <c r="E11" s="32" t="s">
        <v>1906</v>
      </c>
    </row>
    <row r="12" spans="1:5" ht="30" x14ac:dyDescent="0.25">
      <c r="A12" s="30"/>
      <c r="B12" s="30" t="s">
        <v>64</v>
      </c>
      <c r="C12" s="31">
        <v>43473</v>
      </c>
      <c r="D12" s="32" t="s">
        <v>1903</v>
      </c>
      <c r="E12" s="32" t="s">
        <v>1904</v>
      </c>
    </row>
    <row r="13" spans="1:5" ht="30" x14ac:dyDescent="0.25">
      <c r="A13" s="30"/>
      <c r="B13" s="30" t="s">
        <v>64</v>
      </c>
      <c r="C13" s="31">
        <v>43473</v>
      </c>
      <c r="D13" s="32" t="s">
        <v>1907</v>
      </c>
      <c r="E13" s="32" t="s">
        <v>1908</v>
      </c>
    </row>
    <row r="14" spans="1:5" x14ac:dyDescent="0.25">
      <c r="A14" s="30"/>
      <c r="B14" s="30" t="s">
        <v>65</v>
      </c>
      <c r="C14" s="31">
        <v>43478</v>
      </c>
      <c r="D14" s="32" t="s">
        <v>2310</v>
      </c>
      <c r="E14" s="32" t="s">
        <v>2311</v>
      </c>
    </row>
    <row r="15" spans="1:5" ht="30" x14ac:dyDescent="0.25">
      <c r="A15" s="30"/>
      <c r="B15" s="30" t="s">
        <v>65</v>
      </c>
      <c r="C15" s="31">
        <v>43478</v>
      </c>
      <c r="D15" s="32" t="s">
        <v>2312</v>
      </c>
      <c r="E15" s="32" t="s">
        <v>2313</v>
      </c>
    </row>
    <row r="16" spans="1:5" ht="30" x14ac:dyDescent="0.25">
      <c r="A16" s="30"/>
      <c r="B16" s="30" t="s">
        <v>65</v>
      </c>
      <c r="C16" s="31">
        <v>43478</v>
      </c>
      <c r="D16" s="32" t="s">
        <v>2314</v>
      </c>
      <c r="E16" s="32" t="s">
        <v>2315</v>
      </c>
    </row>
    <row r="17" spans="1:5" ht="30" x14ac:dyDescent="0.25">
      <c r="A17" s="30"/>
      <c r="B17" s="30" t="s">
        <v>65</v>
      </c>
      <c r="C17" s="31">
        <v>43478</v>
      </c>
      <c r="D17" s="32" t="s">
        <v>2316</v>
      </c>
      <c r="E17" s="32" t="s">
        <v>2317</v>
      </c>
    </row>
    <row r="18" spans="1:5" ht="30" x14ac:dyDescent="0.25">
      <c r="A18" s="30"/>
      <c r="B18" s="30" t="s">
        <v>65</v>
      </c>
      <c r="C18" s="31">
        <v>43478</v>
      </c>
      <c r="D18" s="32" t="s">
        <v>2318</v>
      </c>
      <c r="E18" s="32" t="s">
        <v>2319</v>
      </c>
    </row>
    <row r="19" spans="1:5" ht="30" x14ac:dyDescent="0.25">
      <c r="A19" s="30"/>
      <c r="B19" s="30" t="s">
        <v>65</v>
      </c>
      <c r="C19" s="31">
        <v>43478</v>
      </c>
      <c r="D19" s="32" t="s">
        <v>2320</v>
      </c>
      <c r="E19" s="32" t="s">
        <v>2321</v>
      </c>
    </row>
    <row r="20" spans="1:5" ht="30" x14ac:dyDescent="0.25">
      <c r="A20" s="30"/>
      <c r="B20" s="30" t="s">
        <v>65</v>
      </c>
      <c r="C20" s="31">
        <v>43478</v>
      </c>
      <c r="D20" s="32" t="s">
        <v>2322</v>
      </c>
      <c r="E20" s="32" t="s">
        <v>2323</v>
      </c>
    </row>
    <row r="21" spans="1:5" ht="30" x14ac:dyDescent="0.25">
      <c r="A21" s="30"/>
      <c r="B21" s="30" t="s">
        <v>65</v>
      </c>
      <c r="C21" s="31">
        <v>43478</v>
      </c>
      <c r="D21" s="32" t="s">
        <v>2324</v>
      </c>
      <c r="E21" s="32" t="s">
        <v>2325</v>
      </c>
    </row>
    <row r="22" spans="1:5" ht="30" x14ac:dyDescent="0.25">
      <c r="A22" s="30"/>
      <c r="B22" s="30" t="s">
        <v>65</v>
      </c>
      <c r="C22" s="31">
        <v>43478</v>
      </c>
      <c r="D22" s="32" t="s">
        <v>2326</v>
      </c>
      <c r="E22" s="32" t="s">
        <v>2327</v>
      </c>
    </row>
    <row r="23" spans="1:5" ht="30" x14ac:dyDescent="0.25">
      <c r="A23" s="30"/>
      <c r="B23" s="30" t="s">
        <v>65</v>
      </c>
      <c r="C23" s="31">
        <v>43478</v>
      </c>
      <c r="D23" s="32" t="s">
        <v>2328</v>
      </c>
      <c r="E23" s="32" t="s">
        <v>2329</v>
      </c>
    </row>
    <row r="24" spans="1:5" ht="30" x14ac:dyDescent="0.25">
      <c r="A24" s="30"/>
      <c r="B24" s="30" t="s">
        <v>65</v>
      </c>
      <c r="C24" s="31">
        <v>43478</v>
      </c>
      <c r="D24" s="32" t="s">
        <v>2330</v>
      </c>
      <c r="E24" s="32" t="s">
        <v>2331</v>
      </c>
    </row>
    <row r="25" spans="1:5" ht="30" x14ac:dyDescent="0.25">
      <c r="A25" s="30"/>
      <c r="B25" s="30" t="s">
        <v>65</v>
      </c>
      <c r="C25" s="31">
        <v>43478</v>
      </c>
      <c r="D25" s="32" t="s">
        <v>2332</v>
      </c>
      <c r="E25" s="32" t="s">
        <v>2333</v>
      </c>
    </row>
    <row r="26" spans="1:5" ht="45" x14ac:dyDescent="0.25">
      <c r="A26" s="30"/>
      <c r="B26" s="30" t="s">
        <v>65</v>
      </c>
      <c r="C26" s="31">
        <v>43478</v>
      </c>
      <c r="D26" s="32" t="s">
        <v>2334</v>
      </c>
      <c r="E26" s="32" t="s">
        <v>2335</v>
      </c>
    </row>
    <row r="27" spans="1:5" ht="30" x14ac:dyDescent="0.25">
      <c r="A27" s="30"/>
      <c r="B27" s="30" t="s">
        <v>65</v>
      </c>
      <c r="C27" s="31">
        <v>43478</v>
      </c>
      <c r="D27" s="32" t="s">
        <v>2336</v>
      </c>
      <c r="E27" s="32" t="s">
        <v>2337</v>
      </c>
    </row>
    <row r="28" spans="1:5" ht="30" x14ac:dyDescent="0.25">
      <c r="A28" s="30"/>
      <c r="B28" s="30" t="s">
        <v>65</v>
      </c>
      <c r="C28" s="31">
        <v>43478</v>
      </c>
      <c r="D28" s="32" t="s">
        <v>2338</v>
      </c>
      <c r="E28" s="32" t="s">
        <v>2339</v>
      </c>
    </row>
    <row r="29" spans="1:5" ht="30" x14ac:dyDescent="0.25">
      <c r="A29" s="30"/>
      <c r="B29" s="30" t="s">
        <v>65</v>
      </c>
      <c r="C29" s="31">
        <v>43477</v>
      </c>
      <c r="D29" s="32" t="s">
        <v>2340</v>
      </c>
      <c r="E29" s="32" t="s">
        <v>2341</v>
      </c>
    </row>
    <row r="30" spans="1:5" ht="45" x14ac:dyDescent="0.25">
      <c r="A30" s="30"/>
      <c r="B30" s="30" t="s">
        <v>65</v>
      </c>
      <c r="C30" s="31">
        <v>43476</v>
      </c>
      <c r="D30" s="32" t="s">
        <v>2342</v>
      </c>
      <c r="E30" s="32" t="s">
        <v>2343</v>
      </c>
    </row>
    <row r="31" spans="1:5" ht="30" x14ac:dyDescent="0.25">
      <c r="A31" s="30"/>
      <c r="B31" s="30" t="s">
        <v>65</v>
      </c>
      <c r="C31" s="31">
        <v>43476</v>
      </c>
      <c r="D31" s="32" t="s">
        <v>2069</v>
      </c>
      <c r="E31" s="32" t="s">
        <v>2070</v>
      </c>
    </row>
    <row r="32" spans="1:5" ht="30" x14ac:dyDescent="0.25">
      <c r="A32" s="30"/>
      <c r="B32" s="30" t="s">
        <v>65</v>
      </c>
      <c r="C32" s="31">
        <v>43476</v>
      </c>
      <c r="D32" s="32" t="s">
        <v>2344</v>
      </c>
      <c r="E32" s="32" t="s">
        <v>2345</v>
      </c>
    </row>
    <row r="33" spans="1:5" ht="30" x14ac:dyDescent="0.25">
      <c r="A33" s="30"/>
      <c r="B33" s="30" t="s">
        <v>65</v>
      </c>
      <c r="C33" s="31">
        <v>43476</v>
      </c>
      <c r="D33" s="32" t="s">
        <v>2346</v>
      </c>
      <c r="E33" s="32" t="s">
        <v>2347</v>
      </c>
    </row>
    <row r="34" spans="1:5" ht="30" x14ac:dyDescent="0.25">
      <c r="A34" s="30"/>
      <c r="B34" s="30" t="s">
        <v>65</v>
      </c>
      <c r="C34" s="31">
        <v>43476</v>
      </c>
      <c r="D34" s="32" t="s">
        <v>2065</v>
      </c>
      <c r="E34" s="32" t="s">
        <v>2066</v>
      </c>
    </row>
    <row r="35" spans="1:5" ht="30" x14ac:dyDescent="0.25">
      <c r="A35" s="30"/>
      <c r="B35" s="30" t="s">
        <v>65</v>
      </c>
      <c r="C35" s="31">
        <v>43476</v>
      </c>
      <c r="D35" s="32" t="s">
        <v>2063</v>
      </c>
      <c r="E35" s="32" t="s">
        <v>2064</v>
      </c>
    </row>
    <row r="36" spans="1:5" ht="30" x14ac:dyDescent="0.25">
      <c r="A36" s="30"/>
      <c r="B36" s="30" t="s">
        <v>65</v>
      </c>
      <c r="C36" s="31">
        <v>43476</v>
      </c>
      <c r="D36" s="32" t="s">
        <v>2348</v>
      </c>
      <c r="E36" s="32" t="s">
        <v>2349</v>
      </c>
    </row>
    <row r="37" spans="1:5" ht="30" x14ac:dyDescent="0.25">
      <c r="A37" s="30"/>
      <c r="B37" s="30" t="s">
        <v>65</v>
      </c>
      <c r="C37" s="31">
        <v>43476</v>
      </c>
      <c r="D37" s="32" t="s">
        <v>2350</v>
      </c>
      <c r="E37" s="32" t="s">
        <v>2351</v>
      </c>
    </row>
    <row r="38" spans="1:5" ht="30" x14ac:dyDescent="0.25">
      <c r="A38" s="30"/>
      <c r="B38" s="30" t="s">
        <v>65</v>
      </c>
      <c r="C38" s="31">
        <v>43476</v>
      </c>
      <c r="D38" s="32" t="s">
        <v>2352</v>
      </c>
      <c r="E38" s="32" t="s">
        <v>2353</v>
      </c>
    </row>
    <row r="39" spans="1:5" ht="30" x14ac:dyDescent="0.25">
      <c r="A39" s="30"/>
      <c r="B39" s="30" t="s">
        <v>65</v>
      </c>
      <c r="C39" s="31">
        <v>43476</v>
      </c>
      <c r="D39" s="32" t="s">
        <v>2354</v>
      </c>
      <c r="E39" s="32" t="s">
        <v>2355</v>
      </c>
    </row>
    <row r="40" spans="1:5" ht="30" x14ac:dyDescent="0.25">
      <c r="A40" s="30"/>
      <c r="B40" s="30" t="s">
        <v>65</v>
      </c>
      <c r="C40" s="31">
        <v>43476</v>
      </c>
      <c r="D40" s="32" t="s">
        <v>2356</v>
      </c>
      <c r="E40" s="32" t="s">
        <v>2357</v>
      </c>
    </row>
    <row r="41" spans="1:5" ht="30" x14ac:dyDescent="0.25">
      <c r="A41" s="30"/>
      <c r="B41" s="30" t="s">
        <v>65</v>
      </c>
      <c r="C41" s="31">
        <v>43476</v>
      </c>
      <c r="D41" s="32" t="s">
        <v>2358</v>
      </c>
      <c r="E41" s="32" t="s">
        <v>2359</v>
      </c>
    </row>
    <row r="42" spans="1:5" ht="45" x14ac:dyDescent="0.25">
      <c r="A42" s="30"/>
      <c r="B42" s="30" t="s">
        <v>65</v>
      </c>
      <c r="C42" s="31">
        <v>43476</v>
      </c>
      <c r="D42" s="32" t="s">
        <v>2360</v>
      </c>
      <c r="E42" s="32" t="s">
        <v>2361</v>
      </c>
    </row>
    <row r="43" spans="1:5" ht="30" x14ac:dyDescent="0.25">
      <c r="A43" s="30"/>
      <c r="B43" s="30" t="s">
        <v>65</v>
      </c>
      <c r="C43" s="31">
        <v>43476</v>
      </c>
      <c r="D43" s="32" t="s">
        <v>2057</v>
      </c>
      <c r="E43" s="32" t="s">
        <v>2058</v>
      </c>
    </row>
    <row r="44" spans="1:5" ht="30" x14ac:dyDescent="0.25">
      <c r="A44" s="30"/>
      <c r="B44" s="30" t="s">
        <v>65</v>
      </c>
      <c r="C44" s="31">
        <v>43476</v>
      </c>
      <c r="D44" s="32" t="s">
        <v>2362</v>
      </c>
      <c r="E44" s="32" t="s">
        <v>2363</v>
      </c>
    </row>
    <row r="45" spans="1:5" ht="30" x14ac:dyDescent="0.25">
      <c r="A45" s="30"/>
      <c r="B45" s="30" t="s">
        <v>65</v>
      </c>
      <c r="C45" s="31">
        <v>43476</v>
      </c>
      <c r="D45" s="32" t="s">
        <v>2059</v>
      </c>
      <c r="E45" s="32" t="s">
        <v>2060</v>
      </c>
    </row>
    <row r="46" spans="1:5" ht="30" x14ac:dyDescent="0.25">
      <c r="A46" s="30"/>
      <c r="B46" s="30" t="s">
        <v>65</v>
      </c>
      <c r="C46" s="31">
        <v>43476</v>
      </c>
      <c r="D46" s="32" t="s">
        <v>2055</v>
      </c>
      <c r="E46" s="32" t="s">
        <v>2056</v>
      </c>
    </row>
    <row r="47" spans="1:5" ht="30" x14ac:dyDescent="0.25">
      <c r="A47" s="30"/>
      <c r="B47" s="30" t="s">
        <v>65</v>
      </c>
      <c r="C47" s="31">
        <v>43476</v>
      </c>
      <c r="D47" s="32" t="s">
        <v>2075</v>
      </c>
      <c r="E47" s="32" t="s">
        <v>2076</v>
      </c>
    </row>
    <row r="48" spans="1:5" ht="30" x14ac:dyDescent="0.25">
      <c r="A48" s="30"/>
      <c r="B48" s="30" t="s">
        <v>65</v>
      </c>
      <c r="C48" s="31">
        <v>43476</v>
      </c>
      <c r="D48" s="32" t="s">
        <v>2364</v>
      </c>
      <c r="E48" s="32" t="s">
        <v>2365</v>
      </c>
    </row>
    <row r="49" spans="1:5" ht="45" x14ac:dyDescent="0.25">
      <c r="A49" s="30"/>
      <c r="B49" s="30" t="s">
        <v>65</v>
      </c>
      <c r="C49" s="31">
        <v>43476</v>
      </c>
      <c r="D49" s="32" t="s">
        <v>2073</v>
      </c>
      <c r="E49" s="32" t="s">
        <v>2074</v>
      </c>
    </row>
    <row r="50" spans="1:5" ht="30" x14ac:dyDescent="0.25">
      <c r="A50" s="30"/>
      <c r="B50" s="30" t="s">
        <v>65</v>
      </c>
      <c r="C50" s="31">
        <v>43476</v>
      </c>
      <c r="D50" s="32" t="s">
        <v>2366</v>
      </c>
      <c r="E50" s="32" t="s">
        <v>2367</v>
      </c>
    </row>
    <row r="51" spans="1:5" ht="30" x14ac:dyDescent="0.25">
      <c r="A51" s="30"/>
      <c r="B51" s="30" t="s">
        <v>65</v>
      </c>
      <c r="C51" s="31">
        <v>43476</v>
      </c>
      <c r="D51" s="32" t="s">
        <v>2067</v>
      </c>
      <c r="E51" s="32" t="s">
        <v>2068</v>
      </c>
    </row>
    <row r="52" spans="1:5" ht="45" x14ac:dyDescent="0.25">
      <c r="A52" s="30"/>
      <c r="B52" s="30" t="s">
        <v>65</v>
      </c>
      <c r="C52" s="31">
        <v>43476</v>
      </c>
      <c r="D52" s="32" t="s">
        <v>2368</v>
      </c>
      <c r="E52" s="32" t="s">
        <v>2369</v>
      </c>
    </row>
    <row r="53" spans="1:5" ht="30" x14ac:dyDescent="0.25">
      <c r="A53" s="30"/>
      <c r="B53" s="30" t="s">
        <v>65</v>
      </c>
      <c r="C53" s="31">
        <v>43476</v>
      </c>
      <c r="D53" s="32" t="s">
        <v>2061</v>
      </c>
      <c r="E53" s="32" t="s">
        <v>2062</v>
      </c>
    </row>
    <row r="54" spans="1:5" ht="30" x14ac:dyDescent="0.25">
      <c r="A54" s="30"/>
      <c r="B54" s="30" t="s">
        <v>65</v>
      </c>
      <c r="C54" s="31">
        <v>43476</v>
      </c>
      <c r="D54" s="32" t="s">
        <v>2071</v>
      </c>
      <c r="E54" s="32" t="s">
        <v>2072</v>
      </c>
    </row>
    <row r="55" spans="1:5" ht="30" x14ac:dyDescent="0.25">
      <c r="A55" s="30"/>
      <c r="B55" s="30" t="s">
        <v>65</v>
      </c>
      <c r="C55" s="31">
        <v>43475</v>
      </c>
      <c r="D55" s="32" t="s">
        <v>2083</v>
      </c>
      <c r="E55" s="32" t="s">
        <v>2084</v>
      </c>
    </row>
    <row r="56" spans="1:5" ht="30" x14ac:dyDescent="0.25">
      <c r="A56" s="30"/>
      <c r="B56" s="30" t="s">
        <v>65</v>
      </c>
      <c r="C56" s="31">
        <v>43475</v>
      </c>
      <c r="D56" s="32" t="s">
        <v>2105</v>
      </c>
      <c r="E56" s="32" t="s">
        <v>2106</v>
      </c>
    </row>
    <row r="57" spans="1:5" ht="30" x14ac:dyDescent="0.25">
      <c r="A57" s="30"/>
      <c r="B57" s="30" t="s">
        <v>65</v>
      </c>
      <c r="C57" s="31">
        <v>43475</v>
      </c>
      <c r="D57" s="32" t="s">
        <v>2097</v>
      </c>
      <c r="E57" s="32" t="s">
        <v>2098</v>
      </c>
    </row>
    <row r="58" spans="1:5" ht="30" x14ac:dyDescent="0.25">
      <c r="A58" s="30"/>
      <c r="B58" s="30" t="s">
        <v>65</v>
      </c>
      <c r="C58" s="31">
        <v>43475</v>
      </c>
      <c r="D58" s="32" t="s">
        <v>2099</v>
      </c>
      <c r="E58" s="32" t="s">
        <v>2100</v>
      </c>
    </row>
    <row r="59" spans="1:5" ht="45" x14ac:dyDescent="0.25">
      <c r="A59" s="30"/>
      <c r="B59" s="30" t="s">
        <v>65</v>
      </c>
      <c r="C59" s="31">
        <v>43475</v>
      </c>
      <c r="D59" s="32" t="s">
        <v>2081</v>
      </c>
      <c r="E59" s="32" t="s">
        <v>2082</v>
      </c>
    </row>
    <row r="60" spans="1:5" ht="30" x14ac:dyDescent="0.25">
      <c r="A60" s="30"/>
      <c r="B60" s="30" t="s">
        <v>65</v>
      </c>
      <c r="C60" s="31">
        <v>43475</v>
      </c>
      <c r="D60" s="32" t="s">
        <v>2089</v>
      </c>
      <c r="E60" s="32" t="s">
        <v>2090</v>
      </c>
    </row>
    <row r="61" spans="1:5" ht="30" x14ac:dyDescent="0.25">
      <c r="A61" s="30"/>
      <c r="B61" s="30" t="s">
        <v>65</v>
      </c>
      <c r="C61" s="31">
        <v>43475</v>
      </c>
      <c r="D61" s="32" t="s">
        <v>2085</v>
      </c>
      <c r="E61" s="32" t="s">
        <v>2086</v>
      </c>
    </row>
    <row r="62" spans="1:5" ht="30" x14ac:dyDescent="0.25">
      <c r="A62" s="30"/>
      <c r="B62" s="30" t="s">
        <v>65</v>
      </c>
      <c r="C62" s="31">
        <v>43475</v>
      </c>
      <c r="D62" s="32" t="s">
        <v>2101</v>
      </c>
      <c r="E62" s="32" t="s">
        <v>2102</v>
      </c>
    </row>
    <row r="63" spans="1:5" ht="30" x14ac:dyDescent="0.25">
      <c r="A63" s="30"/>
      <c r="B63" s="30" t="s">
        <v>65</v>
      </c>
      <c r="C63" s="31">
        <v>43475</v>
      </c>
      <c r="D63" s="32" t="s">
        <v>2079</v>
      </c>
      <c r="E63" s="32" t="s">
        <v>2080</v>
      </c>
    </row>
    <row r="64" spans="1:5" ht="30" x14ac:dyDescent="0.25">
      <c r="A64" s="30"/>
      <c r="B64" s="30" t="s">
        <v>65</v>
      </c>
      <c r="C64" s="31">
        <v>43475</v>
      </c>
      <c r="D64" s="32" t="s">
        <v>2107</v>
      </c>
      <c r="E64" s="32" t="s">
        <v>2108</v>
      </c>
    </row>
    <row r="65" spans="1:5" ht="30" x14ac:dyDescent="0.25">
      <c r="A65" s="30"/>
      <c r="B65" s="30" t="s">
        <v>65</v>
      </c>
      <c r="C65" s="31">
        <v>43475</v>
      </c>
      <c r="D65" s="32" t="s">
        <v>2091</v>
      </c>
      <c r="E65" s="32" t="s">
        <v>2092</v>
      </c>
    </row>
    <row r="66" spans="1:5" ht="30" x14ac:dyDescent="0.25">
      <c r="A66" s="30"/>
      <c r="B66" s="30" t="s">
        <v>65</v>
      </c>
      <c r="C66" s="31">
        <v>43475</v>
      </c>
      <c r="D66" s="32" t="s">
        <v>2109</v>
      </c>
      <c r="E66" s="32" t="s">
        <v>2110</v>
      </c>
    </row>
    <row r="67" spans="1:5" ht="30" x14ac:dyDescent="0.25">
      <c r="A67" s="30"/>
      <c r="B67" s="30" t="s">
        <v>65</v>
      </c>
      <c r="C67" s="31">
        <v>43475</v>
      </c>
      <c r="D67" s="32" t="s">
        <v>2077</v>
      </c>
      <c r="E67" s="32" t="s">
        <v>2078</v>
      </c>
    </row>
    <row r="68" spans="1:5" ht="30" x14ac:dyDescent="0.25">
      <c r="A68" s="30"/>
      <c r="B68" s="30" t="s">
        <v>65</v>
      </c>
      <c r="C68" s="31">
        <v>43475</v>
      </c>
      <c r="D68" s="32" t="s">
        <v>2093</v>
      </c>
      <c r="E68" s="32" t="s">
        <v>2094</v>
      </c>
    </row>
    <row r="69" spans="1:5" ht="30" x14ac:dyDescent="0.25">
      <c r="A69" s="30"/>
      <c r="B69" s="30" t="s">
        <v>65</v>
      </c>
      <c r="C69" s="31">
        <v>43475</v>
      </c>
      <c r="D69" s="32" t="s">
        <v>2087</v>
      </c>
      <c r="E69" s="32" t="s">
        <v>2088</v>
      </c>
    </row>
    <row r="70" spans="1:5" ht="30" x14ac:dyDescent="0.25">
      <c r="A70" s="30"/>
      <c r="B70" s="30" t="s">
        <v>65</v>
      </c>
      <c r="C70" s="31">
        <v>43475</v>
      </c>
      <c r="D70" s="32" t="s">
        <v>2103</v>
      </c>
      <c r="E70" s="32" t="s">
        <v>2104</v>
      </c>
    </row>
    <row r="71" spans="1:5" ht="45" x14ac:dyDescent="0.25">
      <c r="A71" s="30"/>
      <c r="B71" s="30" t="s">
        <v>65</v>
      </c>
      <c r="C71" s="31">
        <v>43475</v>
      </c>
      <c r="D71" s="32" t="s">
        <v>2095</v>
      </c>
      <c r="E71" s="32" t="s">
        <v>2096</v>
      </c>
    </row>
    <row r="72" spans="1:5" ht="30" x14ac:dyDescent="0.25">
      <c r="A72" s="30"/>
      <c r="B72" s="30" t="s">
        <v>65</v>
      </c>
      <c r="C72" s="31">
        <v>43474</v>
      </c>
      <c r="D72" s="32" t="s">
        <v>1911</v>
      </c>
      <c r="E72" s="32" t="s">
        <v>1912</v>
      </c>
    </row>
    <row r="73" spans="1:5" ht="30" x14ac:dyDescent="0.25">
      <c r="A73" s="30"/>
      <c r="B73" s="30" t="s">
        <v>65</v>
      </c>
      <c r="C73" s="31">
        <v>43474</v>
      </c>
      <c r="D73" s="32" t="s">
        <v>2111</v>
      </c>
      <c r="E73" s="32" t="s">
        <v>2112</v>
      </c>
    </row>
    <row r="74" spans="1:5" ht="30" x14ac:dyDescent="0.25">
      <c r="A74" s="30"/>
      <c r="B74" s="30" t="s">
        <v>65</v>
      </c>
      <c r="C74" s="31">
        <v>43474</v>
      </c>
      <c r="D74" s="32" t="s">
        <v>2113</v>
      </c>
      <c r="E74" s="32" t="s">
        <v>2114</v>
      </c>
    </row>
    <row r="75" spans="1:5" ht="30" x14ac:dyDescent="0.25">
      <c r="A75" s="30"/>
      <c r="B75" s="30" t="s">
        <v>65</v>
      </c>
      <c r="C75" s="31">
        <v>43473</v>
      </c>
      <c r="D75" s="32" t="s">
        <v>1957</v>
      </c>
      <c r="E75" s="32" t="s">
        <v>1958</v>
      </c>
    </row>
    <row r="76" spans="1:5" ht="30" x14ac:dyDescent="0.25">
      <c r="A76" s="30"/>
      <c r="B76" s="30" t="s">
        <v>65</v>
      </c>
      <c r="C76" s="31">
        <v>43473</v>
      </c>
      <c r="D76" s="32" t="s">
        <v>1937</v>
      </c>
      <c r="E76" s="32" t="s">
        <v>1938</v>
      </c>
    </row>
    <row r="77" spans="1:5" ht="30" x14ac:dyDescent="0.25">
      <c r="A77" s="30"/>
      <c r="B77" s="30" t="s">
        <v>65</v>
      </c>
      <c r="C77" s="31">
        <v>43473</v>
      </c>
      <c r="D77" s="32" t="s">
        <v>1915</v>
      </c>
      <c r="E77" s="32" t="s">
        <v>1916</v>
      </c>
    </row>
    <row r="78" spans="1:5" ht="30" x14ac:dyDescent="0.25">
      <c r="A78" s="30"/>
      <c r="B78" s="30" t="s">
        <v>65</v>
      </c>
      <c r="C78" s="31">
        <v>43473</v>
      </c>
      <c r="D78" s="32" t="s">
        <v>1951</v>
      </c>
      <c r="E78" s="32" t="s">
        <v>1952</v>
      </c>
    </row>
    <row r="79" spans="1:5" ht="30" x14ac:dyDescent="0.25">
      <c r="A79" s="30"/>
      <c r="B79" s="30" t="s">
        <v>65</v>
      </c>
      <c r="C79" s="31">
        <v>43473</v>
      </c>
      <c r="D79" s="32" t="s">
        <v>1913</v>
      </c>
      <c r="E79" s="32" t="s">
        <v>1914</v>
      </c>
    </row>
    <row r="80" spans="1:5" ht="30" x14ac:dyDescent="0.25">
      <c r="A80" s="30"/>
      <c r="B80" s="30" t="s">
        <v>65</v>
      </c>
      <c r="C80" s="31">
        <v>43473</v>
      </c>
      <c r="D80" s="32" t="s">
        <v>1933</v>
      </c>
      <c r="E80" s="32" t="s">
        <v>1934</v>
      </c>
    </row>
    <row r="81" spans="1:5" ht="45" x14ac:dyDescent="0.25">
      <c r="A81" s="30"/>
      <c r="B81" s="30" t="s">
        <v>65</v>
      </c>
      <c r="C81" s="31">
        <v>43473</v>
      </c>
      <c r="D81" s="32" t="s">
        <v>1943</v>
      </c>
      <c r="E81" s="32" t="s">
        <v>1944</v>
      </c>
    </row>
    <row r="82" spans="1:5" ht="30" x14ac:dyDescent="0.25">
      <c r="A82" s="30"/>
      <c r="B82" s="30" t="s">
        <v>65</v>
      </c>
      <c r="C82" s="31">
        <v>43473</v>
      </c>
      <c r="D82" s="32" t="s">
        <v>1945</v>
      </c>
      <c r="E82" s="32" t="s">
        <v>1946</v>
      </c>
    </row>
    <row r="83" spans="1:5" ht="30" x14ac:dyDescent="0.25">
      <c r="A83" s="30"/>
      <c r="B83" s="30" t="s">
        <v>65</v>
      </c>
      <c r="C83" s="31">
        <v>43473</v>
      </c>
      <c r="D83" s="32" t="s">
        <v>1923</v>
      </c>
      <c r="E83" s="32" t="s">
        <v>1924</v>
      </c>
    </row>
    <row r="84" spans="1:5" ht="30" x14ac:dyDescent="0.25">
      <c r="A84" s="30"/>
      <c r="B84" s="30" t="s">
        <v>65</v>
      </c>
      <c r="C84" s="31">
        <v>43473</v>
      </c>
      <c r="D84" s="32" t="s">
        <v>1947</v>
      </c>
      <c r="E84" s="32" t="s">
        <v>1948</v>
      </c>
    </row>
    <row r="85" spans="1:5" ht="30" x14ac:dyDescent="0.25">
      <c r="A85" s="30"/>
      <c r="B85" s="30" t="s">
        <v>65</v>
      </c>
      <c r="C85" s="31">
        <v>43473</v>
      </c>
      <c r="D85" s="32" t="s">
        <v>1949</v>
      </c>
      <c r="E85" s="32" t="s">
        <v>1950</v>
      </c>
    </row>
    <row r="86" spans="1:5" ht="30" x14ac:dyDescent="0.25">
      <c r="A86" s="30"/>
      <c r="B86" s="30" t="s">
        <v>65</v>
      </c>
      <c r="C86" s="31">
        <v>43473</v>
      </c>
      <c r="D86" s="32" t="s">
        <v>1961</v>
      </c>
      <c r="E86" s="32" t="s">
        <v>1962</v>
      </c>
    </row>
    <row r="87" spans="1:5" x14ac:dyDescent="0.25">
      <c r="A87" s="30"/>
      <c r="B87" s="30" t="s">
        <v>65</v>
      </c>
      <c r="C87" s="31">
        <v>43473</v>
      </c>
      <c r="D87" s="32" t="s">
        <v>1931</v>
      </c>
      <c r="E87" s="32" t="s">
        <v>1932</v>
      </c>
    </row>
    <row r="88" spans="1:5" ht="30" x14ac:dyDescent="0.25">
      <c r="A88" s="30"/>
      <c r="B88" s="30" t="s">
        <v>65</v>
      </c>
      <c r="C88" s="31">
        <v>43473</v>
      </c>
      <c r="D88" s="32" t="s">
        <v>1953</v>
      </c>
      <c r="E88" s="32" t="s">
        <v>1954</v>
      </c>
    </row>
    <row r="89" spans="1:5" ht="30" x14ac:dyDescent="0.25">
      <c r="A89" s="30"/>
      <c r="B89" s="30" t="s">
        <v>65</v>
      </c>
      <c r="C89" s="31">
        <v>43473</v>
      </c>
      <c r="D89" s="32" t="s">
        <v>1939</v>
      </c>
      <c r="E89" s="32" t="s">
        <v>1940</v>
      </c>
    </row>
    <row r="90" spans="1:5" ht="45" x14ac:dyDescent="0.25">
      <c r="A90" s="30"/>
      <c r="B90" s="30" t="s">
        <v>65</v>
      </c>
      <c r="C90" s="31">
        <v>43473</v>
      </c>
      <c r="D90" s="32" t="s">
        <v>1955</v>
      </c>
      <c r="E90" s="32" t="s">
        <v>1956</v>
      </c>
    </row>
    <row r="91" spans="1:5" ht="30" x14ac:dyDescent="0.25">
      <c r="A91" s="30"/>
      <c r="B91" s="30" t="s">
        <v>65</v>
      </c>
      <c r="C91" s="31">
        <v>43473</v>
      </c>
      <c r="D91" s="32" t="s">
        <v>1917</v>
      </c>
      <c r="E91" s="32" t="s">
        <v>1918</v>
      </c>
    </row>
    <row r="92" spans="1:5" ht="30" x14ac:dyDescent="0.25">
      <c r="A92" s="30"/>
      <c r="B92" s="30" t="s">
        <v>65</v>
      </c>
      <c r="C92" s="31">
        <v>43473</v>
      </c>
      <c r="D92" s="32" t="s">
        <v>1941</v>
      </c>
      <c r="E92" s="32" t="s">
        <v>1942</v>
      </c>
    </row>
    <row r="93" spans="1:5" ht="30" x14ac:dyDescent="0.25">
      <c r="A93" s="30"/>
      <c r="B93" s="30" t="s">
        <v>65</v>
      </c>
      <c r="C93" s="31">
        <v>43473</v>
      </c>
      <c r="D93" s="32" t="s">
        <v>1935</v>
      </c>
      <c r="E93" s="32" t="s">
        <v>1936</v>
      </c>
    </row>
    <row r="94" spans="1:5" ht="30" x14ac:dyDescent="0.25">
      <c r="A94" s="30"/>
      <c r="B94" s="30" t="s">
        <v>65</v>
      </c>
      <c r="C94" s="31">
        <v>43473</v>
      </c>
      <c r="D94" s="32" t="s">
        <v>1959</v>
      </c>
      <c r="E94" s="32" t="s">
        <v>1960</v>
      </c>
    </row>
    <row r="95" spans="1:5" ht="30" x14ac:dyDescent="0.25">
      <c r="A95" s="30"/>
      <c r="B95" s="30" t="s">
        <v>65</v>
      </c>
      <c r="C95" s="31">
        <v>43473</v>
      </c>
      <c r="D95" s="32" t="s">
        <v>1919</v>
      </c>
      <c r="E95" s="32" t="s">
        <v>1920</v>
      </c>
    </row>
    <row r="96" spans="1:5" ht="30" x14ac:dyDescent="0.25">
      <c r="A96" s="30"/>
      <c r="B96" s="30" t="s">
        <v>65</v>
      </c>
      <c r="C96" s="31">
        <v>43473</v>
      </c>
      <c r="D96" s="32" t="s">
        <v>1921</v>
      </c>
      <c r="E96" s="32" t="s">
        <v>1922</v>
      </c>
    </row>
    <row r="97" spans="1:5" ht="30" x14ac:dyDescent="0.25">
      <c r="A97" s="30"/>
      <c r="B97" s="30" t="s">
        <v>65</v>
      </c>
      <c r="C97" s="31">
        <v>43473</v>
      </c>
      <c r="D97" s="32" t="s">
        <v>1929</v>
      </c>
      <c r="E97" s="32" t="s">
        <v>1930</v>
      </c>
    </row>
    <row r="98" spans="1:5" ht="30" x14ac:dyDescent="0.25">
      <c r="A98" s="30"/>
      <c r="B98" s="30" t="s">
        <v>65</v>
      </c>
      <c r="C98" s="31">
        <v>43473</v>
      </c>
      <c r="D98" s="32" t="s">
        <v>1927</v>
      </c>
      <c r="E98" s="32" t="s">
        <v>1928</v>
      </c>
    </row>
    <row r="99" spans="1:5" ht="30" x14ac:dyDescent="0.25">
      <c r="A99" s="30"/>
      <c r="B99" s="30" t="s">
        <v>65</v>
      </c>
      <c r="C99" s="31">
        <v>43473</v>
      </c>
      <c r="D99" s="32" t="s">
        <v>1925</v>
      </c>
      <c r="E99" s="32" t="s">
        <v>1926</v>
      </c>
    </row>
    <row r="100" spans="1:5" ht="30" x14ac:dyDescent="0.25">
      <c r="A100" s="30"/>
      <c r="B100" s="30" t="s">
        <v>66</v>
      </c>
      <c r="C100" s="31">
        <v>43476</v>
      </c>
      <c r="D100" s="32" t="s">
        <v>2370</v>
      </c>
      <c r="E100" s="32" t="s">
        <v>2371</v>
      </c>
    </row>
    <row r="101" spans="1:5" ht="30" x14ac:dyDescent="0.25">
      <c r="A101" s="30"/>
      <c r="B101" s="30" t="s">
        <v>66</v>
      </c>
      <c r="C101" s="31">
        <v>43476</v>
      </c>
      <c r="D101" s="32" t="s">
        <v>2230</v>
      </c>
      <c r="E101" s="32" t="s">
        <v>2231</v>
      </c>
    </row>
    <row r="102" spans="1:5" ht="45" x14ac:dyDescent="0.25">
      <c r="A102" s="30"/>
      <c r="B102" s="30" t="s">
        <v>66</v>
      </c>
      <c r="C102" s="31">
        <v>43476</v>
      </c>
      <c r="D102" s="32" t="s">
        <v>2372</v>
      </c>
      <c r="E102" s="32" t="s">
        <v>2373</v>
      </c>
    </row>
    <row r="103" spans="1:5" ht="30" x14ac:dyDescent="0.25">
      <c r="A103" s="30"/>
      <c r="B103" s="30" t="s">
        <v>66</v>
      </c>
      <c r="C103" s="31">
        <v>43476</v>
      </c>
      <c r="D103" s="32" t="s">
        <v>2374</v>
      </c>
      <c r="E103" s="32" t="s">
        <v>2375</v>
      </c>
    </row>
    <row r="104" spans="1:5" ht="30" x14ac:dyDescent="0.25">
      <c r="A104" s="30"/>
      <c r="B104" s="30" t="s">
        <v>66</v>
      </c>
      <c r="C104" s="31">
        <v>43476</v>
      </c>
      <c r="D104" s="32" t="s">
        <v>2226</v>
      </c>
      <c r="E104" s="32" t="s">
        <v>2227</v>
      </c>
    </row>
    <row r="105" spans="1:5" ht="30" x14ac:dyDescent="0.25">
      <c r="A105" s="30"/>
      <c r="B105" s="30" t="s">
        <v>66</v>
      </c>
      <c r="C105" s="31">
        <v>43476</v>
      </c>
      <c r="D105" s="32" t="s">
        <v>2376</v>
      </c>
      <c r="E105" s="32" t="s">
        <v>2377</v>
      </c>
    </row>
    <row r="106" spans="1:5" ht="30" x14ac:dyDescent="0.25">
      <c r="A106" s="30"/>
      <c r="B106" s="30" t="s">
        <v>66</v>
      </c>
      <c r="C106" s="31">
        <v>43476</v>
      </c>
      <c r="D106" s="32" t="s">
        <v>2378</v>
      </c>
      <c r="E106" s="32" t="s">
        <v>2379</v>
      </c>
    </row>
    <row r="107" spans="1:5" ht="30" x14ac:dyDescent="0.25">
      <c r="A107" s="30"/>
      <c r="B107" s="30" t="s">
        <v>66</v>
      </c>
      <c r="C107" s="31">
        <v>43476</v>
      </c>
      <c r="D107" s="32" t="s">
        <v>2380</v>
      </c>
      <c r="E107" s="32" t="s">
        <v>2381</v>
      </c>
    </row>
    <row r="108" spans="1:5" ht="30" x14ac:dyDescent="0.25">
      <c r="A108" s="30"/>
      <c r="B108" s="30" t="s">
        <v>66</v>
      </c>
      <c r="C108" s="31">
        <v>43476</v>
      </c>
      <c r="D108" s="32" t="s">
        <v>2228</v>
      </c>
      <c r="E108" s="32" t="s">
        <v>2229</v>
      </c>
    </row>
    <row r="109" spans="1:5" ht="30" x14ac:dyDescent="0.25">
      <c r="A109" s="30"/>
      <c r="B109" s="30" t="s">
        <v>66</v>
      </c>
      <c r="C109" s="31">
        <v>43476</v>
      </c>
      <c r="D109" s="32" t="s">
        <v>2382</v>
      </c>
      <c r="E109" s="32" t="s">
        <v>2383</v>
      </c>
    </row>
    <row r="110" spans="1:5" ht="30" x14ac:dyDescent="0.25">
      <c r="A110" s="30"/>
      <c r="B110" s="30" t="s">
        <v>66</v>
      </c>
      <c r="C110" s="31">
        <v>43476</v>
      </c>
      <c r="D110" s="32" t="s">
        <v>2384</v>
      </c>
      <c r="E110" s="32" t="s">
        <v>2385</v>
      </c>
    </row>
    <row r="111" spans="1:5" ht="45" x14ac:dyDescent="0.25">
      <c r="A111" s="30"/>
      <c r="B111" s="30" t="s">
        <v>66</v>
      </c>
      <c r="C111" s="31">
        <v>43476</v>
      </c>
      <c r="D111" s="32" t="s">
        <v>2386</v>
      </c>
      <c r="E111" s="32" t="s">
        <v>2387</v>
      </c>
    </row>
    <row r="112" spans="1:5" ht="30" x14ac:dyDescent="0.25">
      <c r="A112" s="30"/>
      <c r="B112" s="30" t="s">
        <v>66</v>
      </c>
      <c r="C112" s="31">
        <v>43476</v>
      </c>
      <c r="D112" s="32" t="s">
        <v>2388</v>
      </c>
      <c r="E112" s="32" t="s">
        <v>2389</v>
      </c>
    </row>
    <row r="113" spans="1:5" ht="30" x14ac:dyDescent="0.25">
      <c r="A113" s="30"/>
      <c r="B113" s="30" t="s">
        <v>66</v>
      </c>
      <c r="C113" s="31">
        <v>43475</v>
      </c>
      <c r="D113" s="32" t="s">
        <v>2131</v>
      </c>
      <c r="E113" s="32" t="s">
        <v>2132</v>
      </c>
    </row>
    <row r="114" spans="1:5" ht="45" x14ac:dyDescent="0.25">
      <c r="A114" s="30"/>
      <c r="B114" s="30" t="s">
        <v>66</v>
      </c>
      <c r="C114" s="31">
        <v>43475</v>
      </c>
      <c r="D114" s="32" t="s">
        <v>2119</v>
      </c>
      <c r="E114" s="32" t="s">
        <v>2120</v>
      </c>
    </row>
    <row r="115" spans="1:5" ht="45" x14ac:dyDescent="0.25">
      <c r="A115" s="30"/>
      <c r="B115" s="30" t="s">
        <v>66</v>
      </c>
      <c r="C115" s="31">
        <v>43475</v>
      </c>
      <c r="D115" s="32" t="s">
        <v>2129</v>
      </c>
      <c r="E115" s="32" t="s">
        <v>2130</v>
      </c>
    </row>
    <row r="116" spans="1:5" ht="30" x14ac:dyDescent="0.25">
      <c r="A116" s="30"/>
      <c r="B116" s="30" t="s">
        <v>66</v>
      </c>
      <c r="C116" s="31">
        <v>43475</v>
      </c>
      <c r="D116" s="32" t="s">
        <v>2115</v>
      </c>
      <c r="E116" s="32" t="s">
        <v>2116</v>
      </c>
    </row>
    <row r="117" spans="1:5" ht="30" x14ac:dyDescent="0.25">
      <c r="A117" s="30"/>
      <c r="B117" s="30" t="s">
        <v>66</v>
      </c>
      <c r="C117" s="31">
        <v>43475</v>
      </c>
      <c r="D117" s="32" t="s">
        <v>2125</v>
      </c>
      <c r="E117" s="32" t="s">
        <v>2126</v>
      </c>
    </row>
    <row r="118" spans="1:5" ht="30" x14ac:dyDescent="0.25">
      <c r="A118" s="30"/>
      <c r="B118" s="30" t="s">
        <v>66</v>
      </c>
      <c r="C118" s="31">
        <v>43475</v>
      </c>
      <c r="D118" s="32" t="s">
        <v>2123</v>
      </c>
      <c r="E118" s="32" t="s">
        <v>2124</v>
      </c>
    </row>
    <row r="119" spans="1:5" ht="30" x14ac:dyDescent="0.25">
      <c r="A119" s="30"/>
      <c r="B119" s="30" t="s">
        <v>66</v>
      </c>
      <c r="C119" s="31">
        <v>43475</v>
      </c>
      <c r="D119" s="32" t="s">
        <v>2117</v>
      </c>
      <c r="E119" s="32" t="s">
        <v>2118</v>
      </c>
    </row>
    <row r="120" spans="1:5" ht="45" x14ac:dyDescent="0.25">
      <c r="A120" s="30"/>
      <c r="B120" s="30" t="s">
        <v>66</v>
      </c>
      <c r="C120" s="31">
        <v>43475</v>
      </c>
      <c r="D120" s="32" t="s">
        <v>2127</v>
      </c>
      <c r="E120" s="32" t="s">
        <v>2128</v>
      </c>
    </row>
    <row r="121" spans="1:5" ht="45" x14ac:dyDescent="0.25">
      <c r="A121" s="30"/>
      <c r="B121" s="30" t="s">
        <v>66</v>
      </c>
      <c r="C121" s="31">
        <v>43475</v>
      </c>
      <c r="D121" s="32" t="s">
        <v>2121</v>
      </c>
      <c r="E121" s="32" t="s">
        <v>2122</v>
      </c>
    </row>
    <row r="122" spans="1:5" ht="30" x14ac:dyDescent="0.25">
      <c r="A122" s="30"/>
      <c r="B122" s="30" t="s">
        <v>66</v>
      </c>
      <c r="C122" s="31">
        <v>43475</v>
      </c>
      <c r="D122" s="32" t="s">
        <v>2133</v>
      </c>
      <c r="E122" s="32" t="s">
        <v>2134</v>
      </c>
    </row>
    <row r="123" spans="1:5" ht="30" x14ac:dyDescent="0.25">
      <c r="A123" s="30"/>
      <c r="B123" s="30" t="s">
        <v>66</v>
      </c>
      <c r="C123" s="31">
        <v>43474</v>
      </c>
      <c r="D123" s="32" t="s">
        <v>2139</v>
      </c>
      <c r="E123" s="32" t="s">
        <v>2140</v>
      </c>
    </row>
    <row r="124" spans="1:5" ht="30" x14ac:dyDescent="0.25">
      <c r="A124" s="30"/>
      <c r="B124" s="30" t="s">
        <v>66</v>
      </c>
      <c r="C124" s="31">
        <v>43474</v>
      </c>
      <c r="D124" s="32" t="s">
        <v>2145</v>
      </c>
      <c r="E124" s="32" t="s">
        <v>2146</v>
      </c>
    </row>
    <row r="125" spans="1:5" ht="45" x14ac:dyDescent="0.25">
      <c r="A125" s="30"/>
      <c r="B125" s="30" t="s">
        <v>66</v>
      </c>
      <c r="C125" s="31">
        <v>43474</v>
      </c>
      <c r="D125" s="32" t="s">
        <v>2141</v>
      </c>
      <c r="E125" s="32" t="s">
        <v>2142</v>
      </c>
    </row>
    <row r="126" spans="1:5" ht="45" x14ac:dyDescent="0.25">
      <c r="A126" s="30"/>
      <c r="B126" s="30" t="s">
        <v>66</v>
      </c>
      <c r="C126" s="31">
        <v>43474</v>
      </c>
      <c r="D126" s="32" t="s">
        <v>2143</v>
      </c>
      <c r="E126" s="32" t="s">
        <v>2144</v>
      </c>
    </row>
    <row r="127" spans="1:5" ht="30" x14ac:dyDescent="0.25">
      <c r="A127" s="30"/>
      <c r="B127" s="30" t="s">
        <v>66</v>
      </c>
      <c r="C127" s="31">
        <v>43474</v>
      </c>
      <c r="D127" s="32" t="s">
        <v>2147</v>
      </c>
      <c r="E127" s="32" t="s">
        <v>2148</v>
      </c>
    </row>
    <row r="128" spans="1:5" ht="30" x14ac:dyDescent="0.25">
      <c r="A128" s="30"/>
      <c r="B128" s="30" t="s">
        <v>66</v>
      </c>
      <c r="C128" s="31">
        <v>43474</v>
      </c>
      <c r="D128" s="32" t="s">
        <v>2151</v>
      </c>
      <c r="E128" s="32" t="s">
        <v>2152</v>
      </c>
    </row>
    <row r="129" spans="1:5" ht="30" x14ac:dyDescent="0.25">
      <c r="A129" s="30"/>
      <c r="B129" s="30" t="s">
        <v>66</v>
      </c>
      <c r="C129" s="31">
        <v>43474</v>
      </c>
      <c r="D129" s="32" t="s">
        <v>2137</v>
      </c>
      <c r="E129" s="32" t="s">
        <v>2138</v>
      </c>
    </row>
    <row r="130" spans="1:5" ht="45" x14ac:dyDescent="0.25">
      <c r="A130" s="30"/>
      <c r="B130" s="30" t="s">
        <v>66</v>
      </c>
      <c r="C130" s="31">
        <v>43474</v>
      </c>
      <c r="D130" s="32" t="s">
        <v>2135</v>
      </c>
      <c r="E130" s="32" t="s">
        <v>2136</v>
      </c>
    </row>
    <row r="131" spans="1:5" ht="30" x14ac:dyDescent="0.25">
      <c r="A131" s="30"/>
      <c r="B131" s="30" t="s">
        <v>66</v>
      </c>
      <c r="C131" s="31">
        <v>43474</v>
      </c>
      <c r="D131" s="32" t="s">
        <v>2153</v>
      </c>
      <c r="E131" s="32" t="s">
        <v>2154</v>
      </c>
    </row>
    <row r="132" spans="1:5" ht="30" x14ac:dyDescent="0.25">
      <c r="A132" s="30"/>
      <c r="B132" s="30" t="s">
        <v>66</v>
      </c>
      <c r="C132" s="31">
        <v>43474</v>
      </c>
      <c r="D132" s="32" t="s">
        <v>2149</v>
      </c>
      <c r="E132" s="32" t="s">
        <v>2150</v>
      </c>
    </row>
    <row r="133" spans="1:5" ht="30" x14ac:dyDescent="0.25">
      <c r="A133" s="30"/>
      <c r="B133" s="30" t="s">
        <v>66</v>
      </c>
      <c r="C133" s="31">
        <v>43473</v>
      </c>
      <c r="D133" s="32" t="s">
        <v>1969</v>
      </c>
      <c r="E133" s="32" t="s">
        <v>1970</v>
      </c>
    </row>
    <row r="134" spans="1:5" ht="30" x14ac:dyDescent="0.25">
      <c r="A134" s="30"/>
      <c r="B134" s="30" t="s">
        <v>66</v>
      </c>
      <c r="C134" s="31">
        <v>43473</v>
      </c>
      <c r="D134" s="32" t="s">
        <v>1967</v>
      </c>
      <c r="E134" s="32" t="s">
        <v>1968</v>
      </c>
    </row>
    <row r="135" spans="1:5" ht="30" x14ac:dyDescent="0.25">
      <c r="A135" s="30"/>
      <c r="B135" s="30" t="s">
        <v>66</v>
      </c>
      <c r="C135" s="31">
        <v>43473</v>
      </c>
      <c r="D135" s="32" t="s">
        <v>1965</v>
      </c>
      <c r="E135" s="32" t="s">
        <v>1966</v>
      </c>
    </row>
    <row r="136" spans="1:5" ht="30" x14ac:dyDescent="0.25">
      <c r="A136" s="30"/>
      <c r="B136" s="30" t="s">
        <v>66</v>
      </c>
      <c r="C136" s="31">
        <v>43473</v>
      </c>
      <c r="D136" s="32" t="s">
        <v>1971</v>
      </c>
      <c r="E136" s="32" t="s">
        <v>1972</v>
      </c>
    </row>
    <row r="137" spans="1:5" ht="30" x14ac:dyDescent="0.25">
      <c r="A137" s="30"/>
      <c r="B137" s="30" t="s">
        <v>66</v>
      </c>
      <c r="C137" s="31">
        <v>43473</v>
      </c>
      <c r="D137" s="32" t="s">
        <v>1963</v>
      </c>
      <c r="E137" s="32" t="s">
        <v>1964</v>
      </c>
    </row>
    <row r="138" spans="1:5" ht="30" x14ac:dyDescent="0.25">
      <c r="A138" s="30"/>
      <c r="B138" s="30" t="s">
        <v>1893</v>
      </c>
      <c r="C138" s="31">
        <v>43477</v>
      </c>
      <c r="D138" s="32" t="s">
        <v>2390</v>
      </c>
      <c r="E138" s="32" t="s">
        <v>2391</v>
      </c>
    </row>
    <row r="139" spans="1:5" ht="30" x14ac:dyDescent="0.25">
      <c r="A139" s="30"/>
      <c r="B139" s="30" t="s">
        <v>1893</v>
      </c>
      <c r="C139" s="31">
        <v>43477</v>
      </c>
      <c r="D139" s="32" t="s">
        <v>2392</v>
      </c>
      <c r="E139" s="32" t="s">
        <v>2393</v>
      </c>
    </row>
    <row r="140" spans="1:5" ht="30" x14ac:dyDescent="0.25">
      <c r="A140" s="30"/>
      <c r="B140" s="30" t="s">
        <v>1893</v>
      </c>
      <c r="C140" s="31">
        <v>43475</v>
      </c>
      <c r="D140" s="32" t="s">
        <v>2155</v>
      </c>
      <c r="E140" s="32" t="s">
        <v>2156</v>
      </c>
    </row>
    <row r="141" spans="1:5" ht="30" x14ac:dyDescent="0.25">
      <c r="A141" s="30"/>
      <c r="B141" s="30" t="s">
        <v>1893</v>
      </c>
      <c r="C141" s="31">
        <v>43475</v>
      </c>
      <c r="D141" s="32" t="s">
        <v>2157</v>
      </c>
      <c r="E141" s="32" t="s">
        <v>2158</v>
      </c>
    </row>
    <row r="142" spans="1:5" ht="30" x14ac:dyDescent="0.25">
      <c r="A142" s="30"/>
      <c r="B142" s="30" t="s">
        <v>1893</v>
      </c>
      <c r="C142" s="31">
        <v>43474</v>
      </c>
      <c r="D142" s="32" t="s">
        <v>2161</v>
      </c>
      <c r="E142" s="32" t="s">
        <v>2162</v>
      </c>
    </row>
    <row r="143" spans="1:5" ht="30" x14ac:dyDescent="0.25">
      <c r="A143" s="30"/>
      <c r="B143" s="30" t="s">
        <v>1893</v>
      </c>
      <c r="C143" s="31">
        <v>43474</v>
      </c>
      <c r="D143" s="32" t="s">
        <v>2159</v>
      </c>
      <c r="E143" s="32" t="s">
        <v>2160</v>
      </c>
    </row>
    <row r="144" spans="1:5" ht="30" x14ac:dyDescent="0.25">
      <c r="A144" s="30"/>
      <c r="B144" s="30" t="s">
        <v>1893</v>
      </c>
      <c r="C144" s="31">
        <v>43473</v>
      </c>
      <c r="D144" s="32" t="s">
        <v>1894</v>
      </c>
      <c r="E144" s="32" t="s">
        <v>1895</v>
      </c>
    </row>
    <row r="145" spans="1:5" ht="45" x14ac:dyDescent="0.25">
      <c r="A145" s="30"/>
      <c r="B145" s="30" t="s">
        <v>1893</v>
      </c>
      <c r="C145" s="31">
        <v>43473</v>
      </c>
      <c r="D145" s="32" t="s">
        <v>1973</v>
      </c>
      <c r="E145" s="32" t="s">
        <v>1974</v>
      </c>
    </row>
    <row r="146" spans="1:5" ht="30" x14ac:dyDescent="0.25">
      <c r="A146" s="30"/>
      <c r="B146" s="30" t="s">
        <v>67</v>
      </c>
      <c r="C146" s="31">
        <v>43478</v>
      </c>
      <c r="D146" s="32" t="s">
        <v>2394</v>
      </c>
      <c r="E146" s="32" t="s">
        <v>2395</v>
      </c>
    </row>
    <row r="147" spans="1:5" ht="30" x14ac:dyDescent="0.25">
      <c r="A147" s="30"/>
      <c r="B147" s="30" t="s">
        <v>67</v>
      </c>
      <c r="C147" s="31">
        <v>43477</v>
      </c>
      <c r="D147" s="32" t="s">
        <v>2396</v>
      </c>
      <c r="E147" s="32" t="s">
        <v>2397</v>
      </c>
    </row>
    <row r="148" spans="1:5" ht="30" x14ac:dyDescent="0.25">
      <c r="A148" s="30"/>
      <c r="B148" s="30" t="s">
        <v>67</v>
      </c>
      <c r="C148" s="31">
        <v>43477</v>
      </c>
      <c r="D148" s="32" t="s">
        <v>2398</v>
      </c>
      <c r="E148" s="32" t="s">
        <v>2399</v>
      </c>
    </row>
    <row r="149" spans="1:5" ht="30" x14ac:dyDescent="0.25">
      <c r="A149" s="30"/>
      <c r="B149" s="30" t="s">
        <v>67</v>
      </c>
      <c r="C149" s="31">
        <v>43476</v>
      </c>
      <c r="D149" s="32" t="s">
        <v>2400</v>
      </c>
      <c r="E149" s="32" t="s">
        <v>2401</v>
      </c>
    </row>
    <row r="150" spans="1:5" ht="45" x14ac:dyDescent="0.25">
      <c r="A150" s="30"/>
      <c r="B150" s="30" t="s">
        <v>67</v>
      </c>
      <c r="C150" s="31">
        <v>43476</v>
      </c>
      <c r="D150" s="32" t="s">
        <v>2402</v>
      </c>
      <c r="E150" s="32" t="s">
        <v>2403</v>
      </c>
    </row>
    <row r="151" spans="1:5" ht="30" x14ac:dyDescent="0.25">
      <c r="A151" s="30"/>
      <c r="B151" s="30" t="s">
        <v>67</v>
      </c>
      <c r="C151" s="31">
        <v>43476</v>
      </c>
      <c r="D151" s="32" t="s">
        <v>2404</v>
      </c>
      <c r="E151" s="32" t="s">
        <v>2405</v>
      </c>
    </row>
    <row r="152" spans="1:5" x14ac:dyDescent="0.25">
      <c r="A152" s="30"/>
      <c r="B152" s="30" t="s">
        <v>67</v>
      </c>
      <c r="C152" s="31">
        <v>43476</v>
      </c>
      <c r="D152" s="32" t="s">
        <v>2406</v>
      </c>
      <c r="E152" s="32" t="s">
        <v>2407</v>
      </c>
    </row>
    <row r="153" spans="1:5" ht="30" x14ac:dyDescent="0.25">
      <c r="A153" s="30"/>
      <c r="B153" s="30" t="s">
        <v>67</v>
      </c>
      <c r="C153" s="31">
        <v>43476</v>
      </c>
      <c r="D153" s="32" t="s">
        <v>2408</v>
      </c>
      <c r="E153" s="32" t="s">
        <v>2409</v>
      </c>
    </row>
    <row r="154" spans="1:5" ht="30" x14ac:dyDescent="0.25">
      <c r="A154" s="30"/>
      <c r="B154" s="30" t="s">
        <v>67</v>
      </c>
      <c r="C154" s="31">
        <v>43476</v>
      </c>
      <c r="D154" s="32" t="s">
        <v>2410</v>
      </c>
      <c r="E154" s="32" t="s">
        <v>2411</v>
      </c>
    </row>
    <row r="155" spans="1:5" ht="30" x14ac:dyDescent="0.25">
      <c r="A155" s="30"/>
      <c r="B155" s="30" t="s">
        <v>67</v>
      </c>
      <c r="C155" s="31">
        <v>43476</v>
      </c>
      <c r="D155" s="32" t="s">
        <v>2412</v>
      </c>
      <c r="E155" s="32" t="s">
        <v>2413</v>
      </c>
    </row>
    <row r="156" spans="1:5" ht="45" x14ac:dyDescent="0.25">
      <c r="A156" s="30"/>
      <c r="B156" s="30" t="s">
        <v>67</v>
      </c>
      <c r="C156" s="31">
        <v>43476</v>
      </c>
      <c r="D156" s="32" t="s">
        <v>2414</v>
      </c>
      <c r="E156" s="32" t="s">
        <v>2415</v>
      </c>
    </row>
    <row r="157" spans="1:5" ht="45" x14ac:dyDescent="0.25">
      <c r="A157" s="30"/>
      <c r="B157" s="30" t="s">
        <v>67</v>
      </c>
      <c r="C157" s="31">
        <v>43476</v>
      </c>
      <c r="D157" s="32" t="s">
        <v>2416</v>
      </c>
      <c r="E157" s="32" t="s">
        <v>2417</v>
      </c>
    </row>
    <row r="158" spans="1:5" ht="30" x14ac:dyDescent="0.25">
      <c r="A158" s="30"/>
      <c r="B158" s="30" t="s">
        <v>67</v>
      </c>
      <c r="C158" s="31">
        <v>43476</v>
      </c>
      <c r="D158" s="32" t="s">
        <v>2418</v>
      </c>
      <c r="E158" s="32" t="s">
        <v>2419</v>
      </c>
    </row>
    <row r="159" spans="1:5" ht="30" x14ac:dyDescent="0.25">
      <c r="A159" s="30"/>
      <c r="B159" s="30" t="s">
        <v>67</v>
      </c>
      <c r="C159" s="31">
        <v>43476</v>
      </c>
      <c r="D159" s="32" t="s">
        <v>2420</v>
      </c>
      <c r="E159" s="32" t="s">
        <v>2421</v>
      </c>
    </row>
    <row r="160" spans="1:5" ht="30" x14ac:dyDescent="0.25">
      <c r="A160" s="30"/>
      <c r="B160" s="30" t="s">
        <v>67</v>
      </c>
      <c r="C160" s="31">
        <v>43476</v>
      </c>
      <c r="D160" s="32" t="s">
        <v>2422</v>
      </c>
      <c r="E160" s="32" t="s">
        <v>2423</v>
      </c>
    </row>
    <row r="161" spans="1:5" ht="30" x14ac:dyDescent="0.25">
      <c r="A161" s="30"/>
      <c r="B161" s="30" t="s">
        <v>67</v>
      </c>
      <c r="C161" s="31">
        <v>43476</v>
      </c>
      <c r="D161" s="32" t="s">
        <v>2424</v>
      </c>
      <c r="E161" s="32" t="s">
        <v>2425</v>
      </c>
    </row>
    <row r="162" spans="1:5" ht="30" x14ac:dyDescent="0.25">
      <c r="A162" s="30"/>
      <c r="B162" s="30" t="s">
        <v>67</v>
      </c>
      <c r="C162" s="31">
        <v>43475</v>
      </c>
      <c r="D162" s="32" t="s">
        <v>2180</v>
      </c>
      <c r="E162" s="32" t="s">
        <v>2181</v>
      </c>
    </row>
    <row r="163" spans="1:5" ht="30" x14ac:dyDescent="0.25">
      <c r="A163" s="30"/>
      <c r="B163" s="30" t="s">
        <v>67</v>
      </c>
      <c r="C163" s="31">
        <v>43475</v>
      </c>
      <c r="D163" s="32" t="s">
        <v>2169</v>
      </c>
      <c r="E163" s="32" t="s">
        <v>2170</v>
      </c>
    </row>
    <row r="164" spans="1:5" ht="30" x14ac:dyDescent="0.25">
      <c r="A164" s="30"/>
      <c r="B164" s="30" t="s">
        <v>67</v>
      </c>
      <c r="C164" s="31">
        <v>43475</v>
      </c>
      <c r="D164" s="32" t="s">
        <v>2165</v>
      </c>
      <c r="E164" s="32" t="s">
        <v>2166</v>
      </c>
    </row>
    <row r="165" spans="1:5" ht="30" x14ac:dyDescent="0.25">
      <c r="A165" s="30"/>
      <c r="B165" s="30" t="s">
        <v>67</v>
      </c>
      <c r="C165" s="31">
        <v>43475</v>
      </c>
      <c r="D165" s="32" t="s">
        <v>2177</v>
      </c>
      <c r="E165" s="32" t="s">
        <v>1892</v>
      </c>
    </row>
    <row r="166" spans="1:5" ht="30" x14ac:dyDescent="0.25">
      <c r="A166" s="30"/>
      <c r="B166" s="30" t="s">
        <v>67</v>
      </c>
      <c r="C166" s="31">
        <v>43475</v>
      </c>
      <c r="D166" s="32" t="s">
        <v>2163</v>
      </c>
      <c r="E166" s="32" t="s">
        <v>2164</v>
      </c>
    </row>
    <row r="167" spans="1:5" ht="30" x14ac:dyDescent="0.25">
      <c r="A167" s="30"/>
      <c r="B167" s="30" t="s">
        <v>67</v>
      </c>
      <c r="C167" s="31">
        <v>43475</v>
      </c>
      <c r="D167" s="32" t="s">
        <v>2167</v>
      </c>
      <c r="E167" s="32" t="s">
        <v>2168</v>
      </c>
    </row>
    <row r="168" spans="1:5" ht="30" x14ac:dyDescent="0.25">
      <c r="A168" s="30"/>
      <c r="B168" s="30" t="s">
        <v>67</v>
      </c>
      <c r="C168" s="31">
        <v>43475</v>
      </c>
      <c r="D168" s="32" t="s">
        <v>2182</v>
      </c>
      <c r="E168" s="32" t="s">
        <v>2183</v>
      </c>
    </row>
    <row r="169" spans="1:5" ht="30" x14ac:dyDescent="0.25">
      <c r="A169" s="30"/>
      <c r="B169" s="30" t="s">
        <v>67</v>
      </c>
      <c r="C169" s="31">
        <v>43475</v>
      </c>
      <c r="D169" s="32" t="s">
        <v>2178</v>
      </c>
      <c r="E169" s="32" t="s">
        <v>2179</v>
      </c>
    </row>
    <row r="170" spans="1:5" ht="30" x14ac:dyDescent="0.25">
      <c r="A170" s="30"/>
      <c r="B170" s="30" t="s">
        <v>67</v>
      </c>
      <c r="C170" s="31">
        <v>43475</v>
      </c>
      <c r="D170" s="32" t="s">
        <v>2173</v>
      </c>
      <c r="E170" s="32" t="s">
        <v>2174</v>
      </c>
    </row>
    <row r="171" spans="1:5" ht="45" x14ac:dyDescent="0.25">
      <c r="A171" s="30"/>
      <c r="B171" s="30" t="s">
        <v>67</v>
      </c>
      <c r="C171" s="31">
        <v>43475</v>
      </c>
      <c r="D171" s="32" t="s">
        <v>2171</v>
      </c>
      <c r="E171" s="32" t="s">
        <v>2172</v>
      </c>
    </row>
    <row r="172" spans="1:5" ht="30" x14ac:dyDescent="0.25">
      <c r="A172" s="30"/>
      <c r="B172" s="30" t="s">
        <v>67</v>
      </c>
      <c r="C172" s="31">
        <v>43475</v>
      </c>
      <c r="D172" s="32" t="s">
        <v>2175</v>
      </c>
      <c r="E172" s="32" t="s">
        <v>2176</v>
      </c>
    </row>
    <row r="173" spans="1:5" ht="30" x14ac:dyDescent="0.25">
      <c r="A173" s="30"/>
      <c r="B173" s="30" t="s">
        <v>67</v>
      </c>
      <c r="C173" s="31">
        <v>43474</v>
      </c>
      <c r="D173" s="32" t="s">
        <v>2202</v>
      </c>
      <c r="E173" s="32" t="s">
        <v>2203</v>
      </c>
    </row>
    <row r="174" spans="1:5" ht="45" x14ac:dyDescent="0.25">
      <c r="A174" s="30"/>
      <c r="B174" s="30" t="s">
        <v>67</v>
      </c>
      <c r="C174" s="31">
        <v>43474</v>
      </c>
      <c r="D174" s="32" t="s">
        <v>2192</v>
      </c>
      <c r="E174" s="32" t="s">
        <v>2193</v>
      </c>
    </row>
    <row r="175" spans="1:5" ht="30" x14ac:dyDescent="0.25">
      <c r="A175" s="30"/>
      <c r="B175" s="30" t="s">
        <v>67</v>
      </c>
      <c r="C175" s="31">
        <v>43474</v>
      </c>
      <c r="D175" s="32" t="s">
        <v>2186</v>
      </c>
      <c r="E175" s="32" t="s">
        <v>2187</v>
      </c>
    </row>
    <row r="176" spans="1:5" ht="45" x14ac:dyDescent="0.25">
      <c r="A176" s="30"/>
      <c r="B176" s="30" t="s">
        <v>67</v>
      </c>
      <c r="C176" s="31">
        <v>43474</v>
      </c>
      <c r="D176" s="32" t="s">
        <v>2188</v>
      </c>
      <c r="E176" s="32" t="s">
        <v>2189</v>
      </c>
    </row>
    <row r="177" spans="1:5" ht="45" x14ac:dyDescent="0.25">
      <c r="A177" s="30"/>
      <c r="B177" s="30" t="s">
        <v>67</v>
      </c>
      <c r="C177" s="31">
        <v>43474</v>
      </c>
      <c r="D177" s="32" t="s">
        <v>2190</v>
      </c>
      <c r="E177" s="32" t="s">
        <v>2191</v>
      </c>
    </row>
    <row r="178" spans="1:5" ht="30" x14ac:dyDescent="0.25">
      <c r="A178" s="30"/>
      <c r="B178" s="30" t="s">
        <v>67</v>
      </c>
      <c r="C178" s="31">
        <v>43474</v>
      </c>
      <c r="D178" s="32" t="s">
        <v>2196</v>
      </c>
      <c r="E178" s="32" t="s">
        <v>2197</v>
      </c>
    </row>
    <row r="179" spans="1:5" ht="30" x14ac:dyDescent="0.25">
      <c r="A179" s="30"/>
      <c r="B179" s="30" t="s">
        <v>67</v>
      </c>
      <c r="C179" s="31">
        <v>43474</v>
      </c>
      <c r="D179" s="32" t="s">
        <v>2204</v>
      </c>
      <c r="E179" s="32" t="s">
        <v>2205</v>
      </c>
    </row>
    <row r="180" spans="1:5" ht="30" x14ac:dyDescent="0.25">
      <c r="A180" s="30"/>
      <c r="B180" s="30" t="s">
        <v>67</v>
      </c>
      <c r="C180" s="31">
        <v>43474</v>
      </c>
      <c r="D180" s="32" t="s">
        <v>2208</v>
      </c>
      <c r="E180" s="32" t="s">
        <v>2209</v>
      </c>
    </row>
    <row r="181" spans="1:5" ht="30" x14ac:dyDescent="0.25">
      <c r="A181" s="30"/>
      <c r="B181" s="30" t="s">
        <v>67</v>
      </c>
      <c r="C181" s="31">
        <v>43474</v>
      </c>
      <c r="D181" s="32" t="s">
        <v>2194</v>
      </c>
      <c r="E181" s="32" t="s">
        <v>2195</v>
      </c>
    </row>
    <row r="182" spans="1:5" ht="30" x14ac:dyDescent="0.25">
      <c r="A182" s="30"/>
      <c r="B182" s="30" t="s">
        <v>67</v>
      </c>
      <c r="C182" s="31">
        <v>43474</v>
      </c>
      <c r="D182" s="32" t="s">
        <v>2200</v>
      </c>
      <c r="E182" s="32" t="s">
        <v>2201</v>
      </c>
    </row>
    <row r="183" spans="1:5" ht="30" x14ac:dyDescent="0.25">
      <c r="A183" s="30"/>
      <c r="B183" s="30" t="s">
        <v>67</v>
      </c>
      <c r="C183" s="31">
        <v>43474</v>
      </c>
      <c r="D183" s="32" t="s">
        <v>2198</v>
      </c>
      <c r="E183" s="32" t="s">
        <v>2199</v>
      </c>
    </row>
    <row r="184" spans="1:5" ht="30" x14ac:dyDescent="0.25">
      <c r="A184" s="30"/>
      <c r="B184" s="30" t="s">
        <v>67</v>
      </c>
      <c r="C184" s="31">
        <v>43474</v>
      </c>
      <c r="D184" s="32" t="s">
        <v>2184</v>
      </c>
      <c r="E184" s="32" t="s">
        <v>2185</v>
      </c>
    </row>
    <row r="185" spans="1:5" ht="30" x14ac:dyDescent="0.25">
      <c r="A185" s="30"/>
      <c r="B185" s="30" t="s">
        <v>67</v>
      </c>
      <c r="C185" s="31">
        <v>43474</v>
      </c>
      <c r="D185" s="32" t="s">
        <v>2206</v>
      </c>
      <c r="E185" s="32" t="s">
        <v>2207</v>
      </c>
    </row>
    <row r="186" spans="1:5" ht="30" x14ac:dyDescent="0.25">
      <c r="A186" s="30"/>
      <c r="B186" s="30" t="s">
        <v>67</v>
      </c>
      <c r="C186" s="31">
        <v>43473</v>
      </c>
      <c r="D186" s="32" t="s">
        <v>1975</v>
      </c>
      <c r="E186" s="32" t="s">
        <v>1976</v>
      </c>
    </row>
    <row r="187" spans="1:5" ht="30" x14ac:dyDescent="0.25">
      <c r="A187" s="30"/>
      <c r="B187" s="30" t="s">
        <v>67</v>
      </c>
      <c r="C187" s="31">
        <v>43473</v>
      </c>
      <c r="D187" s="32" t="s">
        <v>1977</v>
      </c>
      <c r="E187" s="32" t="s">
        <v>1978</v>
      </c>
    </row>
    <row r="188" spans="1:5" ht="30" x14ac:dyDescent="0.25">
      <c r="A188" s="30"/>
      <c r="B188" s="30" t="s">
        <v>67</v>
      </c>
      <c r="C188" s="31">
        <v>43473</v>
      </c>
      <c r="D188" s="32" t="s">
        <v>1981</v>
      </c>
      <c r="E188" s="32" t="s">
        <v>1982</v>
      </c>
    </row>
    <row r="189" spans="1:5" ht="45" x14ac:dyDescent="0.25">
      <c r="A189" s="30"/>
      <c r="B189" s="30" t="s">
        <v>67</v>
      </c>
      <c r="C189" s="31">
        <v>43473</v>
      </c>
      <c r="D189" s="32" t="s">
        <v>1989</v>
      </c>
      <c r="E189" s="32" t="s">
        <v>1990</v>
      </c>
    </row>
    <row r="190" spans="1:5" ht="45" x14ac:dyDescent="0.25">
      <c r="A190" s="30"/>
      <c r="B190" s="30" t="s">
        <v>67</v>
      </c>
      <c r="C190" s="31">
        <v>43473</v>
      </c>
      <c r="D190" s="32" t="s">
        <v>1985</v>
      </c>
      <c r="E190" s="32" t="s">
        <v>1986</v>
      </c>
    </row>
    <row r="191" spans="1:5" ht="45" x14ac:dyDescent="0.25">
      <c r="A191" s="30"/>
      <c r="B191" s="30" t="s">
        <v>67</v>
      </c>
      <c r="C191" s="31">
        <v>43473</v>
      </c>
      <c r="D191" s="32" t="s">
        <v>1979</v>
      </c>
      <c r="E191" s="32" t="s">
        <v>1980</v>
      </c>
    </row>
    <row r="192" spans="1:5" ht="30" x14ac:dyDescent="0.25">
      <c r="A192" s="30"/>
      <c r="B192" s="30" t="s">
        <v>67</v>
      </c>
      <c r="C192" s="31">
        <v>43473</v>
      </c>
      <c r="D192" s="32" t="s">
        <v>1987</v>
      </c>
      <c r="E192" s="32" t="s">
        <v>1988</v>
      </c>
    </row>
    <row r="193" spans="1:5" ht="30" x14ac:dyDescent="0.25">
      <c r="A193" s="30"/>
      <c r="B193" s="30" t="s">
        <v>67</v>
      </c>
      <c r="C193" s="31">
        <v>43473</v>
      </c>
      <c r="D193" s="32" t="s">
        <v>1983</v>
      </c>
      <c r="E193" s="32" t="s">
        <v>1984</v>
      </c>
    </row>
    <row r="194" spans="1:5" ht="30" x14ac:dyDescent="0.25">
      <c r="A194" s="30"/>
      <c r="B194" s="30" t="s">
        <v>67</v>
      </c>
      <c r="C194" s="31">
        <v>43473</v>
      </c>
      <c r="D194" s="32" t="s">
        <v>1991</v>
      </c>
      <c r="E194" s="32" t="s">
        <v>1992</v>
      </c>
    </row>
    <row r="195" spans="1:5" ht="45" x14ac:dyDescent="0.25">
      <c r="A195" s="30"/>
      <c r="B195" s="30" t="s">
        <v>68</v>
      </c>
      <c r="C195" s="31">
        <v>43479</v>
      </c>
      <c r="D195" s="32" t="s">
        <v>2426</v>
      </c>
      <c r="E195" s="32" t="s">
        <v>2427</v>
      </c>
    </row>
    <row r="196" spans="1:5" ht="30" x14ac:dyDescent="0.25">
      <c r="A196" s="30"/>
      <c r="B196" s="30" t="s">
        <v>68</v>
      </c>
      <c r="C196" s="31">
        <v>43477</v>
      </c>
      <c r="D196" s="32" t="s">
        <v>2428</v>
      </c>
      <c r="E196" s="32" t="s">
        <v>2429</v>
      </c>
    </row>
    <row r="197" spans="1:5" ht="30" x14ac:dyDescent="0.25">
      <c r="A197" s="30"/>
      <c r="B197" s="30" t="s">
        <v>68</v>
      </c>
      <c r="C197" s="31">
        <v>43476</v>
      </c>
      <c r="D197" s="32" t="s">
        <v>2210</v>
      </c>
      <c r="E197" s="32" t="s">
        <v>2211</v>
      </c>
    </row>
    <row r="198" spans="1:5" ht="30" x14ac:dyDescent="0.25">
      <c r="A198" s="30"/>
      <c r="B198" s="30" t="s">
        <v>68</v>
      </c>
      <c r="C198" s="31">
        <v>43476</v>
      </c>
      <c r="D198" s="32" t="s">
        <v>2212</v>
      </c>
      <c r="E198" s="32" t="s">
        <v>2213</v>
      </c>
    </row>
    <row r="199" spans="1:5" ht="30" x14ac:dyDescent="0.25">
      <c r="A199" s="30"/>
      <c r="B199" s="30" t="s">
        <v>68</v>
      </c>
      <c r="C199" s="31">
        <v>43475</v>
      </c>
      <c r="D199" s="32" t="s">
        <v>2214</v>
      </c>
      <c r="E199" s="32" t="s">
        <v>2215</v>
      </c>
    </row>
    <row r="200" spans="1:5" ht="30" x14ac:dyDescent="0.25">
      <c r="A200" s="30"/>
      <c r="B200" s="30" t="s">
        <v>68</v>
      </c>
      <c r="C200" s="31">
        <v>43474</v>
      </c>
      <c r="D200" s="32" t="s">
        <v>1995</v>
      </c>
      <c r="E200" s="32" t="s">
        <v>1996</v>
      </c>
    </row>
    <row r="201" spans="1:5" ht="30" x14ac:dyDescent="0.25">
      <c r="A201" s="30"/>
      <c r="B201" s="30" t="s">
        <v>68</v>
      </c>
      <c r="C201" s="31">
        <v>43474</v>
      </c>
      <c r="D201" s="32" t="s">
        <v>1993</v>
      </c>
      <c r="E201" s="32" t="s">
        <v>1994</v>
      </c>
    </row>
    <row r="202" spans="1:5" ht="30" x14ac:dyDescent="0.25">
      <c r="A202" s="30"/>
      <c r="B202" s="30" t="s">
        <v>68</v>
      </c>
      <c r="C202" s="31">
        <v>43473</v>
      </c>
      <c r="D202" s="32" t="s">
        <v>1999</v>
      </c>
      <c r="E202" s="32" t="s">
        <v>2000</v>
      </c>
    </row>
    <row r="203" spans="1:5" ht="30" x14ac:dyDescent="0.25">
      <c r="A203" s="30"/>
      <c r="B203" s="30" t="s">
        <v>68</v>
      </c>
      <c r="C203" s="31">
        <v>43473</v>
      </c>
      <c r="D203" s="32" t="s">
        <v>1997</v>
      </c>
      <c r="E203" s="32" t="s">
        <v>1998</v>
      </c>
    </row>
    <row r="204" spans="1:5" ht="30" x14ac:dyDescent="0.25">
      <c r="A204" s="30"/>
      <c r="B204" s="30" t="s">
        <v>69</v>
      </c>
      <c r="C204" s="31">
        <v>43479</v>
      </c>
      <c r="D204" s="32" t="s">
        <v>2430</v>
      </c>
      <c r="E204" s="32" t="s">
        <v>2431</v>
      </c>
    </row>
    <row r="205" spans="1:5" ht="45" x14ac:dyDescent="0.25">
      <c r="A205" s="30"/>
      <c r="B205" s="30" t="s">
        <v>69</v>
      </c>
      <c r="C205" s="31">
        <v>43479</v>
      </c>
      <c r="D205" s="32" t="s">
        <v>2432</v>
      </c>
      <c r="E205" s="32" t="s">
        <v>2433</v>
      </c>
    </row>
    <row r="206" spans="1:5" ht="45" x14ac:dyDescent="0.25">
      <c r="A206" s="30"/>
      <c r="B206" s="30" t="s">
        <v>69</v>
      </c>
      <c r="C206" s="31">
        <v>43479</v>
      </c>
      <c r="D206" s="32" t="s">
        <v>2426</v>
      </c>
      <c r="E206" s="32" t="s">
        <v>2427</v>
      </c>
    </row>
    <row r="207" spans="1:5" ht="30" x14ac:dyDescent="0.25">
      <c r="A207" s="30"/>
      <c r="B207" s="30" t="s">
        <v>69</v>
      </c>
      <c r="C207" s="31">
        <v>43479</v>
      </c>
      <c r="D207" s="32" t="s">
        <v>2434</v>
      </c>
      <c r="E207" s="32" t="s">
        <v>2435</v>
      </c>
    </row>
    <row r="208" spans="1:5" ht="30" x14ac:dyDescent="0.25">
      <c r="A208" s="30"/>
      <c r="B208" s="30" t="s">
        <v>69</v>
      </c>
      <c r="C208" s="31">
        <v>43479</v>
      </c>
      <c r="D208" s="32" t="s">
        <v>2436</v>
      </c>
      <c r="E208" s="32" t="s">
        <v>2437</v>
      </c>
    </row>
    <row r="209" spans="1:5" ht="45" x14ac:dyDescent="0.25">
      <c r="A209" s="30"/>
      <c r="B209" s="30" t="s">
        <v>69</v>
      </c>
      <c r="C209" s="31">
        <v>43478</v>
      </c>
      <c r="D209" s="32" t="s">
        <v>2438</v>
      </c>
      <c r="E209" s="32" t="s">
        <v>2439</v>
      </c>
    </row>
    <row r="210" spans="1:5" ht="30" x14ac:dyDescent="0.25">
      <c r="A210" s="30"/>
      <c r="B210" s="30" t="s">
        <v>69</v>
      </c>
      <c r="C210" s="31">
        <v>43478</v>
      </c>
      <c r="D210" s="32" t="s">
        <v>2440</v>
      </c>
      <c r="E210" s="32" t="s">
        <v>2441</v>
      </c>
    </row>
    <row r="211" spans="1:5" ht="45" x14ac:dyDescent="0.25">
      <c r="A211" s="30"/>
      <c r="B211" s="30" t="s">
        <v>69</v>
      </c>
      <c r="C211" s="31">
        <v>43478</v>
      </c>
      <c r="D211" s="32" t="s">
        <v>2442</v>
      </c>
      <c r="E211" s="32" t="s">
        <v>2443</v>
      </c>
    </row>
    <row r="212" spans="1:5" ht="30" x14ac:dyDescent="0.25">
      <c r="A212" s="30"/>
      <c r="B212" s="30" t="s">
        <v>69</v>
      </c>
      <c r="C212" s="31">
        <v>43478</v>
      </c>
      <c r="D212" s="32" t="s">
        <v>2444</v>
      </c>
      <c r="E212" s="32" t="s">
        <v>2445</v>
      </c>
    </row>
    <row r="213" spans="1:5" ht="30" x14ac:dyDescent="0.25">
      <c r="A213" s="30"/>
      <c r="B213" s="30" t="s">
        <v>69</v>
      </c>
      <c r="C213" s="31">
        <v>43478</v>
      </c>
      <c r="D213" s="32" t="s">
        <v>2446</v>
      </c>
      <c r="E213" s="32" t="s">
        <v>2447</v>
      </c>
    </row>
    <row r="214" spans="1:5" ht="30" x14ac:dyDescent="0.25">
      <c r="A214" s="30"/>
      <c r="B214" s="30" t="s">
        <v>69</v>
      </c>
      <c r="C214" s="31">
        <v>43478</v>
      </c>
      <c r="D214" s="32" t="s">
        <v>2448</v>
      </c>
      <c r="E214" s="32" t="s">
        <v>2449</v>
      </c>
    </row>
    <row r="215" spans="1:5" ht="30" x14ac:dyDescent="0.25">
      <c r="A215" s="30"/>
      <c r="B215" s="30" t="s">
        <v>69</v>
      </c>
      <c r="C215" s="31">
        <v>43478</v>
      </c>
      <c r="D215" s="32" t="s">
        <v>2336</v>
      </c>
      <c r="E215" s="32" t="s">
        <v>2337</v>
      </c>
    </row>
    <row r="216" spans="1:5" ht="45" x14ac:dyDescent="0.25">
      <c r="A216" s="30"/>
      <c r="B216" s="30" t="s">
        <v>69</v>
      </c>
      <c r="C216" s="31">
        <v>43478</v>
      </c>
      <c r="D216" s="32" t="s">
        <v>2450</v>
      </c>
      <c r="E216" s="32" t="s">
        <v>2451</v>
      </c>
    </row>
    <row r="217" spans="1:5" ht="45" x14ac:dyDescent="0.25">
      <c r="A217" s="30"/>
      <c r="B217" s="30" t="s">
        <v>69</v>
      </c>
      <c r="C217" s="31">
        <v>43478</v>
      </c>
      <c r="D217" s="32" t="s">
        <v>2452</v>
      </c>
      <c r="E217" s="32" t="s">
        <v>2453</v>
      </c>
    </row>
    <row r="218" spans="1:5" ht="30" x14ac:dyDescent="0.25">
      <c r="A218" s="30"/>
      <c r="B218" s="30" t="s">
        <v>69</v>
      </c>
      <c r="C218" s="31">
        <v>43478</v>
      </c>
      <c r="D218" s="32" t="s">
        <v>2454</v>
      </c>
      <c r="E218" s="32" t="s">
        <v>2455</v>
      </c>
    </row>
    <row r="219" spans="1:5" x14ac:dyDescent="0.25">
      <c r="A219" s="30"/>
      <c r="B219" s="30" t="s">
        <v>69</v>
      </c>
      <c r="C219" s="31">
        <v>43477</v>
      </c>
      <c r="D219" s="32" t="s">
        <v>2456</v>
      </c>
      <c r="E219" s="32" t="s">
        <v>2457</v>
      </c>
    </row>
    <row r="220" spans="1:5" ht="30" x14ac:dyDescent="0.25">
      <c r="A220" s="30"/>
      <c r="B220" s="30" t="s">
        <v>69</v>
      </c>
      <c r="C220" s="31">
        <v>43477</v>
      </c>
      <c r="D220" s="32" t="s">
        <v>2340</v>
      </c>
      <c r="E220" s="32" t="s">
        <v>2341</v>
      </c>
    </row>
    <row r="221" spans="1:5" x14ac:dyDescent="0.25">
      <c r="A221" s="30"/>
      <c r="B221" s="30" t="s">
        <v>69</v>
      </c>
      <c r="C221" s="31">
        <v>43477</v>
      </c>
      <c r="D221" s="32" t="s">
        <v>2458</v>
      </c>
      <c r="E221" s="32" t="s">
        <v>2458</v>
      </c>
    </row>
    <row r="222" spans="1:5" ht="30" x14ac:dyDescent="0.25">
      <c r="A222" s="30"/>
      <c r="B222" s="30" t="s">
        <v>69</v>
      </c>
      <c r="C222" s="31">
        <v>43477</v>
      </c>
      <c r="D222" s="32" t="s">
        <v>2459</v>
      </c>
      <c r="E222" s="32" t="s">
        <v>2460</v>
      </c>
    </row>
    <row r="223" spans="1:5" ht="30" x14ac:dyDescent="0.25">
      <c r="A223" s="30"/>
      <c r="B223" s="30" t="s">
        <v>69</v>
      </c>
      <c r="C223" s="31">
        <v>43477</v>
      </c>
      <c r="D223" s="32" t="s">
        <v>2461</v>
      </c>
      <c r="E223" s="32" t="s">
        <v>2462</v>
      </c>
    </row>
    <row r="224" spans="1:5" x14ac:dyDescent="0.25">
      <c r="A224" s="30"/>
      <c r="B224" s="30" t="s">
        <v>69</v>
      </c>
      <c r="C224" s="31">
        <v>43477</v>
      </c>
      <c r="D224" s="32" t="s">
        <v>2463</v>
      </c>
      <c r="E224" s="32" t="s">
        <v>2464</v>
      </c>
    </row>
    <row r="225" spans="1:5" ht="30" x14ac:dyDescent="0.25">
      <c r="A225" s="30"/>
      <c r="B225" s="30" t="s">
        <v>69</v>
      </c>
      <c r="C225" s="31">
        <v>43477</v>
      </c>
      <c r="D225" s="32" t="s">
        <v>2465</v>
      </c>
      <c r="E225" s="32" t="s">
        <v>2465</v>
      </c>
    </row>
    <row r="226" spans="1:5" ht="30" x14ac:dyDescent="0.25">
      <c r="A226" s="30"/>
      <c r="B226" s="30" t="s">
        <v>69</v>
      </c>
      <c r="C226" s="31">
        <v>43477</v>
      </c>
      <c r="D226" s="32" t="s">
        <v>2466</v>
      </c>
      <c r="E226" s="32" t="s">
        <v>2467</v>
      </c>
    </row>
    <row r="227" spans="1:5" ht="45" x14ac:dyDescent="0.25">
      <c r="A227" s="30"/>
      <c r="B227" s="30" t="s">
        <v>69</v>
      </c>
      <c r="C227" s="31">
        <v>43477</v>
      </c>
      <c r="D227" s="32" t="s">
        <v>2468</v>
      </c>
      <c r="E227" s="32" t="s">
        <v>2469</v>
      </c>
    </row>
    <row r="228" spans="1:5" ht="30" x14ac:dyDescent="0.25">
      <c r="A228" s="30"/>
      <c r="B228" s="30" t="s">
        <v>69</v>
      </c>
      <c r="C228" s="31">
        <v>43477</v>
      </c>
      <c r="D228" s="32" t="s">
        <v>2428</v>
      </c>
      <c r="E228" s="32" t="s">
        <v>2429</v>
      </c>
    </row>
    <row r="229" spans="1:5" x14ac:dyDescent="0.25">
      <c r="A229" s="30"/>
      <c r="B229" s="30" t="s">
        <v>69</v>
      </c>
      <c r="C229" s="31">
        <v>43476</v>
      </c>
      <c r="D229" s="32" t="s">
        <v>2216</v>
      </c>
      <c r="E229" s="32" t="s">
        <v>2217</v>
      </c>
    </row>
    <row r="230" spans="1:5" ht="30" x14ac:dyDescent="0.25">
      <c r="A230" s="30"/>
      <c r="B230" s="30" t="s">
        <v>69</v>
      </c>
      <c r="C230" s="31">
        <v>43476</v>
      </c>
      <c r="D230" s="32" t="s">
        <v>2224</v>
      </c>
      <c r="E230" s="32" t="s">
        <v>2225</v>
      </c>
    </row>
    <row r="231" spans="1:5" ht="30" x14ac:dyDescent="0.25">
      <c r="A231" s="30"/>
      <c r="B231" s="30" t="s">
        <v>69</v>
      </c>
      <c r="C231" s="31">
        <v>43476</v>
      </c>
      <c r="D231" s="32" t="s">
        <v>2223</v>
      </c>
      <c r="E231" s="32" t="s">
        <v>2223</v>
      </c>
    </row>
    <row r="232" spans="1:5" ht="30" x14ac:dyDescent="0.25">
      <c r="A232" s="30"/>
      <c r="B232" s="30" t="s">
        <v>69</v>
      </c>
      <c r="C232" s="31">
        <v>43476</v>
      </c>
      <c r="D232" s="32" t="s">
        <v>2059</v>
      </c>
      <c r="E232" s="32" t="s">
        <v>2060</v>
      </c>
    </row>
    <row r="233" spans="1:5" ht="30" x14ac:dyDescent="0.25">
      <c r="A233" s="30"/>
      <c r="B233" s="30" t="s">
        <v>69</v>
      </c>
      <c r="C233" s="31">
        <v>43476</v>
      </c>
      <c r="D233" s="32" t="s">
        <v>2061</v>
      </c>
      <c r="E233" s="32" t="s">
        <v>2062</v>
      </c>
    </row>
    <row r="234" spans="1:5" ht="30" x14ac:dyDescent="0.25">
      <c r="A234" s="30"/>
      <c r="B234" s="30" t="s">
        <v>69</v>
      </c>
      <c r="C234" s="31">
        <v>43476</v>
      </c>
      <c r="D234" s="32" t="s">
        <v>2221</v>
      </c>
      <c r="E234" s="32" t="s">
        <v>2222</v>
      </c>
    </row>
    <row r="235" spans="1:5" ht="30" x14ac:dyDescent="0.25">
      <c r="A235" s="30"/>
      <c r="B235" s="30" t="s">
        <v>69</v>
      </c>
      <c r="C235" s="31">
        <v>43476</v>
      </c>
      <c r="D235" s="32" t="s">
        <v>2228</v>
      </c>
      <c r="E235" s="32" t="s">
        <v>2229</v>
      </c>
    </row>
    <row r="236" spans="1:5" ht="30" x14ac:dyDescent="0.25">
      <c r="A236" s="30"/>
      <c r="B236" s="30" t="s">
        <v>69</v>
      </c>
      <c r="C236" s="31">
        <v>43476</v>
      </c>
      <c r="D236" s="32" t="s">
        <v>2220</v>
      </c>
      <c r="E236" s="32" t="s">
        <v>2220</v>
      </c>
    </row>
    <row r="237" spans="1:5" ht="30" x14ac:dyDescent="0.25">
      <c r="A237" s="30"/>
      <c r="B237" s="30" t="s">
        <v>69</v>
      </c>
      <c r="C237" s="31">
        <v>43476</v>
      </c>
      <c r="D237" s="32" t="s">
        <v>2230</v>
      </c>
      <c r="E237" s="32" t="s">
        <v>2231</v>
      </c>
    </row>
    <row r="238" spans="1:5" ht="30" x14ac:dyDescent="0.25">
      <c r="A238" s="30"/>
      <c r="B238" s="30" t="s">
        <v>69</v>
      </c>
      <c r="C238" s="31">
        <v>43476</v>
      </c>
      <c r="D238" s="32" t="s">
        <v>2063</v>
      </c>
      <c r="E238" s="32" t="s">
        <v>2064</v>
      </c>
    </row>
    <row r="239" spans="1:5" ht="30" x14ac:dyDescent="0.25">
      <c r="A239" s="30"/>
      <c r="B239" s="30" t="s">
        <v>69</v>
      </c>
      <c r="C239" s="31">
        <v>43476</v>
      </c>
      <c r="D239" s="32" t="s">
        <v>2470</v>
      </c>
      <c r="E239" s="32" t="s">
        <v>2471</v>
      </c>
    </row>
    <row r="240" spans="1:5" ht="30" x14ac:dyDescent="0.25">
      <c r="A240" s="30"/>
      <c r="B240" s="30" t="s">
        <v>69</v>
      </c>
      <c r="C240" s="31">
        <v>43476</v>
      </c>
      <c r="D240" s="32" t="s">
        <v>2218</v>
      </c>
      <c r="E240" s="32" t="s">
        <v>2219</v>
      </c>
    </row>
    <row r="241" spans="1:5" ht="45" x14ac:dyDescent="0.25">
      <c r="A241" s="30"/>
      <c r="B241" s="30" t="s">
        <v>69</v>
      </c>
      <c r="C241" s="31">
        <v>43476</v>
      </c>
      <c r="D241" s="32" t="s">
        <v>2073</v>
      </c>
      <c r="E241" s="32" t="s">
        <v>2074</v>
      </c>
    </row>
    <row r="242" spans="1:5" ht="30" x14ac:dyDescent="0.25">
      <c r="A242" s="30"/>
      <c r="B242" s="30" t="s">
        <v>69</v>
      </c>
      <c r="C242" s="31">
        <v>43476</v>
      </c>
      <c r="D242" s="32" t="s">
        <v>2364</v>
      </c>
      <c r="E242" s="32" t="s">
        <v>2365</v>
      </c>
    </row>
    <row r="243" spans="1:5" ht="30" x14ac:dyDescent="0.25">
      <c r="A243" s="30"/>
      <c r="B243" s="30" t="s">
        <v>69</v>
      </c>
      <c r="C243" s="31">
        <v>43476</v>
      </c>
      <c r="D243" s="32" t="s">
        <v>2472</v>
      </c>
      <c r="E243" s="32" t="s">
        <v>2473</v>
      </c>
    </row>
    <row r="244" spans="1:5" ht="30" x14ac:dyDescent="0.25">
      <c r="A244" s="30"/>
      <c r="B244" s="30" t="s">
        <v>69</v>
      </c>
      <c r="C244" s="31">
        <v>43476</v>
      </c>
      <c r="D244" s="32" t="s">
        <v>2354</v>
      </c>
      <c r="E244" s="32" t="s">
        <v>2355</v>
      </c>
    </row>
    <row r="245" spans="1:5" ht="30" x14ac:dyDescent="0.25">
      <c r="A245" s="30"/>
      <c r="B245" s="30" t="s">
        <v>69</v>
      </c>
      <c r="C245" s="31">
        <v>43476</v>
      </c>
      <c r="D245" s="32" t="s">
        <v>2055</v>
      </c>
      <c r="E245" s="32" t="s">
        <v>2056</v>
      </c>
    </row>
    <row r="246" spans="1:5" ht="30" x14ac:dyDescent="0.25">
      <c r="A246" s="30"/>
      <c r="B246" s="30" t="s">
        <v>69</v>
      </c>
      <c r="C246" s="31">
        <v>43476</v>
      </c>
      <c r="D246" s="32" t="s">
        <v>2474</v>
      </c>
      <c r="E246" s="32" t="s">
        <v>2475</v>
      </c>
    </row>
    <row r="247" spans="1:5" ht="30" x14ac:dyDescent="0.25">
      <c r="A247" s="30"/>
      <c r="B247" s="30" t="s">
        <v>69</v>
      </c>
      <c r="C247" s="31">
        <v>43476</v>
      </c>
      <c r="D247" s="32" t="s">
        <v>2067</v>
      </c>
      <c r="E247" s="32" t="s">
        <v>2068</v>
      </c>
    </row>
    <row r="248" spans="1:5" ht="30" x14ac:dyDescent="0.25">
      <c r="A248" s="30"/>
      <c r="B248" s="30" t="s">
        <v>69</v>
      </c>
      <c r="C248" s="31">
        <v>43476</v>
      </c>
      <c r="D248" s="32" t="s">
        <v>2226</v>
      </c>
      <c r="E248" s="32" t="s">
        <v>2227</v>
      </c>
    </row>
    <row r="249" spans="1:5" ht="30" x14ac:dyDescent="0.25">
      <c r="A249" s="30"/>
      <c r="B249" s="30" t="s">
        <v>69</v>
      </c>
      <c r="C249" s="31">
        <v>43475</v>
      </c>
      <c r="D249" s="32" t="s">
        <v>2178</v>
      </c>
      <c r="E249" s="32" t="s">
        <v>2179</v>
      </c>
    </row>
    <row r="250" spans="1:5" ht="30" x14ac:dyDescent="0.25">
      <c r="A250" s="30"/>
      <c r="B250" s="30" t="s">
        <v>69</v>
      </c>
      <c r="C250" s="31">
        <v>43475</v>
      </c>
      <c r="D250" s="32" t="s">
        <v>2236</v>
      </c>
      <c r="E250" s="32" t="s">
        <v>2237</v>
      </c>
    </row>
    <row r="251" spans="1:5" ht="30" x14ac:dyDescent="0.25">
      <c r="A251" s="30"/>
      <c r="B251" s="30" t="s">
        <v>69</v>
      </c>
      <c r="C251" s="31">
        <v>43475</v>
      </c>
      <c r="D251" s="32" t="s">
        <v>2241</v>
      </c>
      <c r="E251" s="32" t="s">
        <v>2242</v>
      </c>
    </row>
    <row r="252" spans="1:5" ht="30" x14ac:dyDescent="0.25">
      <c r="A252" s="30"/>
      <c r="B252" s="30" t="s">
        <v>69</v>
      </c>
      <c r="C252" s="31">
        <v>43475</v>
      </c>
      <c r="D252" s="32" t="s">
        <v>2169</v>
      </c>
      <c r="E252" s="32" t="s">
        <v>2170</v>
      </c>
    </row>
    <row r="253" spans="1:5" ht="30" x14ac:dyDescent="0.25">
      <c r="A253" s="30"/>
      <c r="B253" s="30" t="s">
        <v>69</v>
      </c>
      <c r="C253" s="31">
        <v>43475</v>
      </c>
      <c r="D253" s="32" t="s">
        <v>2239</v>
      </c>
      <c r="E253" s="32" t="s">
        <v>2240</v>
      </c>
    </row>
    <row r="254" spans="1:5" ht="30" x14ac:dyDescent="0.25">
      <c r="A254" s="30"/>
      <c r="B254" s="30" t="s">
        <v>69</v>
      </c>
      <c r="C254" s="31">
        <v>43475</v>
      </c>
      <c r="D254" s="32" t="s">
        <v>2232</v>
      </c>
      <c r="E254" s="32" t="s">
        <v>2233</v>
      </c>
    </row>
    <row r="255" spans="1:5" ht="30" x14ac:dyDescent="0.25">
      <c r="A255" s="30"/>
      <c r="B255" s="30" t="s">
        <v>69</v>
      </c>
      <c r="C255" s="31">
        <v>43475</v>
      </c>
      <c r="D255" s="32" t="s">
        <v>2115</v>
      </c>
      <c r="E255" s="32" t="s">
        <v>2116</v>
      </c>
    </row>
    <row r="256" spans="1:5" ht="30" x14ac:dyDescent="0.25">
      <c r="A256" s="30"/>
      <c r="B256" s="30" t="s">
        <v>69</v>
      </c>
      <c r="C256" s="31">
        <v>43475</v>
      </c>
      <c r="D256" s="32" t="s">
        <v>2167</v>
      </c>
      <c r="E256" s="32" t="s">
        <v>2168</v>
      </c>
    </row>
    <row r="257" spans="1:5" ht="30" x14ac:dyDescent="0.25">
      <c r="A257" s="30"/>
      <c r="B257" s="30" t="s">
        <v>69</v>
      </c>
      <c r="C257" s="31">
        <v>43475</v>
      </c>
      <c r="D257" s="32" t="s">
        <v>2243</v>
      </c>
      <c r="E257" s="32" t="s">
        <v>2244</v>
      </c>
    </row>
    <row r="258" spans="1:5" x14ac:dyDescent="0.25">
      <c r="A258" s="30"/>
      <c r="B258" s="30" t="s">
        <v>69</v>
      </c>
      <c r="C258" s="31">
        <v>43475</v>
      </c>
      <c r="D258" s="32" t="s">
        <v>2234</v>
      </c>
      <c r="E258" s="32" t="s">
        <v>2235</v>
      </c>
    </row>
    <row r="259" spans="1:5" ht="30" x14ac:dyDescent="0.25">
      <c r="A259" s="30"/>
      <c r="B259" s="30" t="s">
        <v>69</v>
      </c>
      <c r="C259" s="31">
        <v>43475</v>
      </c>
      <c r="D259" s="32" t="s">
        <v>2107</v>
      </c>
      <c r="E259" s="32" t="s">
        <v>2108</v>
      </c>
    </row>
    <row r="260" spans="1:5" ht="30" x14ac:dyDescent="0.25">
      <c r="A260" s="30"/>
      <c r="B260" s="30" t="s">
        <v>69</v>
      </c>
      <c r="C260" s="31">
        <v>43475</v>
      </c>
      <c r="D260" s="32" t="s">
        <v>2246</v>
      </c>
      <c r="E260" s="32" t="s">
        <v>2247</v>
      </c>
    </row>
    <row r="261" spans="1:5" ht="30" x14ac:dyDescent="0.25">
      <c r="A261" s="30"/>
      <c r="B261" s="30" t="s">
        <v>69</v>
      </c>
      <c r="C261" s="31">
        <v>43475</v>
      </c>
      <c r="D261" s="32" t="s">
        <v>2238</v>
      </c>
      <c r="E261" s="32" t="s">
        <v>1892</v>
      </c>
    </row>
    <row r="262" spans="1:5" ht="30" x14ac:dyDescent="0.25">
      <c r="A262" s="30"/>
      <c r="B262" s="30" t="s">
        <v>69</v>
      </c>
      <c r="C262" s="31">
        <v>43475</v>
      </c>
      <c r="D262" s="32" t="s">
        <v>2180</v>
      </c>
      <c r="E262" s="32" t="s">
        <v>2181</v>
      </c>
    </row>
    <row r="263" spans="1:5" ht="30" x14ac:dyDescent="0.25">
      <c r="A263" s="30"/>
      <c r="B263" s="30" t="s">
        <v>69</v>
      </c>
      <c r="C263" s="31">
        <v>43475</v>
      </c>
      <c r="D263" s="32" t="s">
        <v>2245</v>
      </c>
      <c r="E263" s="32" t="s">
        <v>1892</v>
      </c>
    </row>
    <row r="264" spans="1:5" ht="30" x14ac:dyDescent="0.25">
      <c r="A264" s="30"/>
      <c r="B264" s="30" t="s">
        <v>69</v>
      </c>
      <c r="C264" s="31">
        <v>43474</v>
      </c>
      <c r="D264" s="32" t="s">
        <v>2004</v>
      </c>
      <c r="E264" s="32" t="s">
        <v>2005</v>
      </c>
    </row>
    <row r="265" spans="1:5" ht="30" x14ac:dyDescent="0.25">
      <c r="A265" s="30"/>
      <c r="B265" s="30" t="s">
        <v>69</v>
      </c>
      <c r="C265" s="31">
        <v>43474</v>
      </c>
      <c r="D265" s="32" t="s">
        <v>1995</v>
      </c>
      <c r="E265" s="32" t="s">
        <v>1996</v>
      </c>
    </row>
    <row r="266" spans="1:5" ht="45" x14ac:dyDescent="0.25">
      <c r="A266" s="30"/>
      <c r="B266" s="30" t="s">
        <v>69</v>
      </c>
      <c r="C266" s="31">
        <v>43474</v>
      </c>
      <c r="D266" s="32" t="s">
        <v>2007</v>
      </c>
      <c r="E266" s="32" t="s">
        <v>2008</v>
      </c>
    </row>
    <row r="267" spans="1:5" x14ac:dyDescent="0.25">
      <c r="A267" s="30"/>
      <c r="B267" s="30" t="s">
        <v>69</v>
      </c>
      <c r="C267" s="31">
        <v>43474</v>
      </c>
      <c r="D267" s="32" t="s">
        <v>2016</v>
      </c>
      <c r="E267" s="32" t="s">
        <v>2017</v>
      </c>
    </row>
    <row r="268" spans="1:5" ht="30" x14ac:dyDescent="0.25">
      <c r="A268" s="30"/>
      <c r="B268" s="30" t="s">
        <v>69</v>
      </c>
      <c r="C268" s="31">
        <v>43474</v>
      </c>
      <c r="D268" s="32" t="s">
        <v>1993</v>
      </c>
      <c r="E268" s="32" t="s">
        <v>1994</v>
      </c>
    </row>
    <row r="269" spans="1:5" ht="30" x14ac:dyDescent="0.25">
      <c r="A269" s="30"/>
      <c r="B269" s="30" t="s">
        <v>69</v>
      </c>
      <c r="C269" s="31">
        <v>43474</v>
      </c>
      <c r="D269" s="32" t="s">
        <v>2013</v>
      </c>
      <c r="E269" s="32" t="s">
        <v>1897</v>
      </c>
    </row>
    <row r="270" spans="1:5" ht="30" x14ac:dyDescent="0.25">
      <c r="A270" s="30"/>
      <c r="B270" s="30" t="s">
        <v>69</v>
      </c>
      <c r="C270" s="31">
        <v>43474</v>
      </c>
      <c r="D270" s="32" t="s">
        <v>2001</v>
      </c>
      <c r="E270" s="32" t="s">
        <v>2001</v>
      </c>
    </row>
    <row r="271" spans="1:5" ht="45" x14ac:dyDescent="0.25">
      <c r="A271" s="30"/>
      <c r="B271" s="30" t="s">
        <v>69</v>
      </c>
      <c r="C271" s="31">
        <v>43474</v>
      </c>
      <c r="D271" s="32" t="s">
        <v>2006</v>
      </c>
      <c r="E271" s="32" t="s">
        <v>2006</v>
      </c>
    </row>
    <row r="272" spans="1:5" ht="45" x14ac:dyDescent="0.25">
      <c r="A272" s="30"/>
      <c r="B272" s="30" t="s">
        <v>69</v>
      </c>
      <c r="C272" s="31">
        <v>43474</v>
      </c>
      <c r="D272" s="32" t="s">
        <v>2011</v>
      </c>
      <c r="E272" s="32" t="s">
        <v>2012</v>
      </c>
    </row>
    <row r="273" spans="1:5" ht="30" x14ac:dyDescent="0.25">
      <c r="A273" s="30"/>
      <c r="B273" s="30" t="s">
        <v>69</v>
      </c>
      <c r="C273" s="31">
        <v>43474</v>
      </c>
      <c r="D273" s="32" t="s">
        <v>2009</v>
      </c>
      <c r="E273" s="32" t="s">
        <v>2010</v>
      </c>
    </row>
    <row r="274" spans="1:5" ht="30" x14ac:dyDescent="0.25">
      <c r="A274" s="30"/>
      <c r="B274" s="30" t="s">
        <v>69</v>
      </c>
      <c r="C274" s="31">
        <v>43474</v>
      </c>
      <c r="D274" s="32" t="s">
        <v>1911</v>
      </c>
      <c r="E274" s="32" t="s">
        <v>1912</v>
      </c>
    </row>
    <row r="275" spans="1:5" ht="30" x14ac:dyDescent="0.25">
      <c r="A275" s="30"/>
      <c r="B275" s="30" t="s">
        <v>69</v>
      </c>
      <c r="C275" s="31">
        <v>43474</v>
      </c>
      <c r="D275" s="32" t="s">
        <v>2002</v>
      </c>
      <c r="E275" s="32" t="s">
        <v>2003</v>
      </c>
    </row>
    <row r="276" spans="1:5" ht="30" x14ac:dyDescent="0.25">
      <c r="A276" s="30"/>
      <c r="B276" s="30" t="s">
        <v>69</v>
      </c>
      <c r="C276" s="31">
        <v>43474</v>
      </c>
      <c r="D276" s="32" t="s">
        <v>2014</v>
      </c>
      <c r="E276" s="32" t="s">
        <v>2015</v>
      </c>
    </row>
    <row r="277" spans="1:5" ht="30" x14ac:dyDescent="0.25">
      <c r="A277" s="30"/>
      <c r="B277" s="30" t="s">
        <v>69</v>
      </c>
      <c r="C277" s="31">
        <v>43473</v>
      </c>
      <c r="D277" s="32" t="s">
        <v>2021</v>
      </c>
      <c r="E277" s="32" t="s">
        <v>2022</v>
      </c>
    </row>
    <row r="278" spans="1:5" ht="30" x14ac:dyDescent="0.25">
      <c r="A278" s="30"/>
      <c r="B278" s="30" t="s">
        <v>69</v>
      </c>
      <c r="C278" s="31">
        <v>43473</v>
      </c>
      <c r="D278" s="32" t="s">
        <v>1959</v>
      </c>
      <c r="E278" s="32" t="s">
        <v>1960</v>
      </c>
    </row>
    <row r="279" spans="1:5" ht="30" x14ac:dyDescent="0.25">
      <c r="A279" s="30"/>
      <c r="B279" s="30" t="s">
        <v>69</v>
      </c>
      <c r="C279" s="31">
        <v>43473</v>
      </c>
      <c r="D279" s="32" t="s">
        <v>2036</v>
      </c>
      <c r="E279" s="32" t="s">
        <v>2037</v>
      </c>
    </row>
    <row r="280" spans="1:5" ht="30" x14ac:dyDescent="0.25">
      <c r="A280" s="30"/>
      <c r="B280" s="30" t="s">
        <v>69</v>
      </c>
      <c r="C280" s="31">
        <v>43473</v>
      </c>
      <c r="D280" s="32" t="s">
        <v>2024</v>
      </c>
      <c r="E280" s="32" t="s">
        <v>2025</v>
      </c>
    </row>
    <row r="281" spans="1:5" ht="45" x14ac:dyDescent="0.25">
      <c r="A281" s="30"/>
      <c r="B281" s="30" t="s">
        <v>69</v>
      </c>
      <c r="C281" s="31">
        <v>43473</v>
      </c>
      <c r="D281" s="32" t="s">
        <v>2034</v>
      </c>
      <c r="E281" s="32" t="s">
        <v>2035</v>
      </c>
    </row>
    <row r="282" spans="1:5" ht="45" x14ac:dyDescent="0.25">
      <c r="A282" s="30"/>
      <c r="B282" s="30" t="s">
        <v>69</v>
      </c>
      <c r="C282" s="31">
        <v>43473</v>
      </c>
      <c r="D282" s="32" t="s">
        <v>2028</v>
      </c>
      <c r="E282" s="32" t="s">
        <v>2029</v>
      </c>
    </row>
    <row r="283" spans="1:5" ht="30" x14ac:dyDescent="0.25">
      <c r="A283" s="30"/>
      <c r="B283" s="30" t="s">
        <v>69</v>
      </c>
      <c r="C283" s="31">
        <v>43473</v>
      </c>
      <c r="D283" s="32" t="s">
        <v>2030</v>
      </c>
      <c r="E283" s="32" t="s">
        <v>2031</v>
      </c>
    </row>
    <row r="284" spans="1:5" ht="30" x14ac:dyDescent="0.25">
      <c r="A284" s="30"/>
      <c r="B284" s="30" t="s">
        <v>69</v>
      </c>
      <c r="C284" s="31">
        <v>43473</v>
      </c>
      <c r="D284" s="32" t="s">
        <v>1929</v>
      </c>
      <c r="E284" s="32" t="s">
        <v>1930</v>
      </c>
    </row>
    <row r="285" spans="1:5" ht="30" x14ac:dyDescent="0.25">
      <c r="A285" s="30"/>
      <c r="B285" s="30" t="s">
        <v>69</v>
      </c>
      <c r="C285" s="31">
        <v>43473</v>
      </c>
      <c r="D285" s="32" t="s">
        <v>1965</v>
      </c>
      <c r="E285" s="32" t="s">
        <v>1966</v>
      </c>
    </row>
    <row r="286" spans="1:5" ht="30" x14ac:dyDescent="0.25">
      <c r="A286" s="30"/>
      <c r="B286" s="30" t="s">
        <v>69</v>
      </c>
      <c r="C286" s="31">
        <v>43473</v>
      </c>
      <c r="D286" s="32" t="s">
        <v>2020</v>
      </c>
      <c r="E286" s="32" t="s">
        <v>2020</v>
      </c>
    </row>
    <row r="287" spans="1:5" ht="30" x14ac:dyDescent="0.25">
      <c r="A287" s="30"/>
      <c r="B287" s="30" t="s">
        <v>69</v>
      </c>
      <c r="C287" s="31">
        <v>43473</v>
      </c>
      <c r="D287" s="32" t="s">
        <v>1947</v>
      </c>
      <c r="E287" s="32" t="s">
        <v>1948</v>
      </c>
    </row>
    <row r="288" spans="1:5" ht="30" x14ac:dyDescent="0.25">
      <c r="A288" s="30"/>
      <c r="B288" s="30" t="s">
        <v>69</v>
      </c>
      <c r="C288" s="31">
        <v>43473</v>
      </c>
      <c r="D288" s="32" t="s">
        <v>2018</v>
      </c>
      <c r="E288" s="32" t="s">
        <v>2019</v>
      </c>
    </row>
    <row r="289" spans="1:5" ht="30" x14ac:dyDescent="0.25">
      <c r="A289" s="30"/>
      <c r="B289" s="30" t="s">
        <v>69</v>
      </c>
      <c r="C289" s="31">
        <v>43473</v>
      </c>
      <c r="D289" s="32" t="s">
        <v>2038</v>
      </c>
      <c r="E289" s="32" t="s">
        <v>2039</v>
      </c>
    </row>
    <row r="290" spans="1:5" ht="30" x14ac:dyDescent="0.25">
      <c r="A290" s="30"/>
      <c r="B290" s="30" t="s">
        <v>69</v>
      </c>
      <c r="C290" s="31">
        <v>43473</v>
      </c>
      <c r="D290" s="32" t="s">
        <v>1963</v>
      </c>
      <c r="E290" s="32" t="s">
        <v>1964</v>
      </c>
    </row>
    <row r="291" spans="1:5" ht="45" x14ac:dyDescent="0.25">
      <c r="A291" s="30"/>
      <c r="B291" s="30" t="s">
        <v>69</v>
      </c>
      <c r="C291" s="31">
        <v>43473</v>
      </c>
      <c r="D291" s="32" t="s">
        <v>2026</v>
      </c>
      <c r="E291" s="32" t="s">
        <v>2027</v>
      </c>
    </row>
    <row r="292" spans="1:5" ht="30" x14ac:dyDescent="0.25">
      <c r="A292" s="30"/>
      <c r="B292" s="30" t="s">
        <v>69</v>
      </c>
      <c r="C292" s="31">
        <v>43473</v>
      </c>
      <c r="D292" s="32" t="s">
        <v>2032</v>
      </c>
      <c r="E292" s="32" t="s">
        <v>2033</v>
      </c>
    </row>
    <row r="293" spans="1:5" ht="30" x14ac:dyDescent="0.25">
      <c r="A293" s="30"/>
      <c r="B293" s="30" t="s">
        <v>69</v>
      </c>
      <c r="C293" s="31">
        <v>43473</v>
      </c>
      <c r="D293" s="32" t="s">
        <v>2023</v>
      </c>
      <c r="E293" s="32" t="s">
        <v>2023</v>
      </c>
    </row>
    <row r="294" spans="1:5" ht="30" x14ac:dyDescent="0.25">
      <c r="A294" s="30"/>
      <c r="B294" s="30" t="s">
        <v>70</v>
      </c>
      <c r="C294" s="31">
        <v>43476</v>
      </c>
      <c r="D294" s="32" t="s">
        <v>2476</v>
      </c>
      <c r="E294" s="32" t="s">
        <v>2477</v>
      </c>
    </row>
    <row r="295" spans="1:5" ht="30" x14ac:dyDescent="0.25">
      <c r="A295" s="30"/>
      <c r="B295" s="30" t="s">
        <v>70</v>
      </c>
      <c r="C295" s="31">
        <v>43476</v>
      </c>
      <c r="D295" s="32" t="s">
        <v>2478</v>
      </c>
      <c r="E295" s="32" t="s">
        <v>2479</v>
      </c>
    </row>
    <row r="296" spans="1:5" ht="30" x14ac:dyDescent="0.25">
      <c r="A296" s="30"/>
      <c r="B296" s="30" t="s">
        <v>70</v>
      </c>
      <c r="C296" s="31">
        <v>43476</v>
      </c>
      <c r="D296" s="32" t="s">
        <v>2480</v>
      </c>
      <c r="E296" s="32" t="s">
        <v>2481</v>
      </c>
    </row>
    <row r="297" spans="1:5" ht="30" x14ac:dyDescent="0.25">
      <c r="A297" s="30"/>
      <c r="B297" s="30" t="s">
        <v>70</v>
      </c>
      <c r="C297" s="31">
        <v>43476</v>
      </c>
      <c r="D297" s="32" t="s">
        <v>2482</v>
      </c>
      <c r="E297" s="32" t="s">
        <v>2483</v>
      </c>
    </row>
    <row r="298" spans="1:5" ht="30" x14ac:dyDescent="0.25">
      <c r="A298" s="30"/>
      <c r="B298" s="30" t="s">
        <v>70</v>
      </c>
      <c r="C298" s="31">
        <v>43475</v>
      </c>
      <c r="D298" s="32" t="s">
        <v>2248</v>
      </c>
      <c r="E298" s="32" t="s">
        <v>2249</v>
      </c>
    </row>
    <row r="299" spans="1:5" ht="30" x14ac:dyDescent="0.25">
      <c r="A299" s="30"/>
      <c r="B299" s="30" t="s">
        <v>70</v>
      </c>
      <c r="C299" s="31">
        <v>43475</v>
      </c>
      <c r="D299" s="32" t="s">
        <v>2250</v>
      </c>
      <c r="E299" s="32" t="s">
        <v>2251</v>
      </c>
    </row>
    <row r="300" spans="1:5" ht="30" x14ac:dyDescent="0.25">
      <c r="A300" s="30"/>
      <c r="B300" s="30" t="s">
        <v>70</v>
      </c>
      <c r="C300" s="31">
        <v>43474</v>
      </c>
      <c r="D300" s="32" t="s">
        <v>2252</v>
      </c>
      <c r="E300" s="32" t="s">
        <v>2253</v>
      </c>
    </row>
    <row r="301" spans="1:5" ht="30" x14ac:dyDescent="0.25">
      <c r="A301" s="30"/>
      <c r="B301" s="30" t="s">
        <v>70</v>
      </c>
      <c r="C301" s="31">
        <v>43473</v>
      </c>
      <c r="D301" s="32" t="s">
        <v>1896</v>
      </c>
      <c r="E301" s="32" t="s">
        <v>2042</v>
      </c>
    </row>
    <row r="302" spans="1:5" ht="30" x14ac:dyDescent="0.25">
      <c r="A302" s="30"/>
      <c r="B302" s="30" t="s">
        <v>70</v>
      </c>
      <c r="C302" s="31">
        <v>43473</v>
      </c>
      <c r="D302" s="32" t="s">
        <v>2040</v>
      </c>
      <c r="E302" s="32" t="s">
        <v>2041</v>
      </c>
    </row>
    <row r="303" spans="1:5" ht="45" x14ac:dyDescent="0.25">
      <c r="A303" s="30"/>
      <c r="B303" s="30" t="s">
        <v>71</v>
      </c>
      <c r="C303" s="31">
        <v>43476</v>
      </c>
      <c r="D303" s="32" t="s">
        <v>2484</v>
      </c>
      <c r="E303" s="32" t="s">
        <v>2485</v>
      </c>
    </row>
    <row r="304" spans="1:5" ht="45" x14ac:dyDescent="0.25">
      <c r="A304" s="30"/>
      <c r="B304" s="30" t="s">
        <v>71</v>
      </c>
      <c r="C304" s="31">
        <v>43475</v>
      </c>
      <c r="D304" s="32" t="s">
        <v>2254</v>
      </c>
      <c r="E304" s="32" t="s">
        <v>2255</v>
      </c>
    </row>
    <row r="305" spans="1:5" ht="45" x14ac:dyDescent="0.25">
      <c r="A305" s="30"/>
      <c r="B305" s="30" t="s">
        <v>71</v>
      </c>
      <c r="C305" s="31">
        <v>43474</v>
      </c>
      <c r="D305" s="32" t="s">
        <v>2256</v>
      </c>
      <c r="E305" s="32" t="s">
        <v>2257</v>
      </c>
    </row>
    <row r="306" spans="1:5" ht="45" x14ac:dyDescent="0.25">
      <c r="A306" s="30"/>
      <c r="B306" s="30" t="s">
        <v>71</v>
      </c>
      <c r="C306" s="31">
        <v>43473</v>
      </c>
      <c r="D306" s="32" t="s">
        <v>2043</v>
      </c>
      <c r="E306" s="32" t="s">
        <v>2044</v>
      </c>
    </row>
    <row r="307" spans="1:5" ht="30" x14ac:dyDescent="0.25">
      <c r="A307" s="30"/>
      <c r="B307" s="30" t="s">
        <v>1898</v>
      </c>
      <c r="C307" s="31">
        <v>43477</v>
      </c>
      <c r="D307" s="32" t="s">
        <v>2486</v>
      </c>
      <c r="E307" s="32" t="s">
        <v>2487</v>
      </c>
    </row>
    <row r="308" spans="1:5" ht="30" x14ac:dyDescent="0.25">
      <c r="A308" s="30"/>
      <c r="B308" s="30" t="s">
        <v>1898</v>
      </c>
      <c r="C308" s="31">
        <v>43477</v>
      </c>
      <c r="D308" s="32" t="s">
        <v>2488</v>
      </c>
      <c r="E308" s="32" t="s">
        <v>1892</v>
      </c>
    </row>
    <row r="309" spans="1:5" ht="30" x14ac:dyDescent="0.25">
      <c r="A309" s="30"/>
      <c r="B309" s="30" t="s">
        <v>1898</v>
      </c>
      <c r="C309" s="31">
        <v>43477</v>
      </c>
      <c r="D309" s="32" t="s">
        <v>2489</v>
      </c>
      <c r="E309" s="32" t="s">
        <v>1892</v>
      </c>
    </row>
    <row r="310" spans="1:5" ht="30" x14ac:dyDescent="0.25">
      <c r="A310" s="30"/>
      <c r="B310" s="30" t="s">
        <v>1898</v>
      </c>
      <c r="C310" s="31">
        <v>43477</v>
      </c>
      <c r="D310" s="32" t="s">
        <v>2490</v>
      </c>
      <c r="E310" s="32" t="s">
        <v>2491</v>
      </c>
    </row>
    <row r="311" spans="1:5" ht="30" x14ac:dyDescent="0.25">
      <c r="A311" s="30"/>
      <c r="B311" s="30" t="s">
        <v>1898</v>
      </c>
      <c r="C311" s="31">
        <v>43477</v>
      </c>
      <c r="D311" s="32" t="s">
        <v>2492</v>
      </c>
      <c r="E311" s="32" t="s">
        <v>2493</v>
      </c>
    </row>
    <row r="312" spans="1:5" ht="30" x14ac:dyDescent="0.25">
      <c r="A312" s="30"/>
      <c r="B312" s="30" t="s">
        <v>1898</v>
      </c>
      <c r="C312" s="31">
        <v>43477</v>
      </c>
      <c r="D312" s="32" t="s">
        <v>2494</v>
      </c>
      <c r="E312" s="32" t="s">
        <v>2495</v>
      </c>
    </row>
    <row r="313" spans="1:5" ht="30" x14ac:dyDescent="0.25">
      <c r="A313" s="30"/>
      <c r="B313" s="30" t="s">
        <v>1898</v>
      </c>
      <c r="C313" s="31">
        <v>43477</v>
      </c>
      <c r="D313" s="32" t="s">
        <v>2496</v>
      </c>
      <c r="E313" s="32" t="s">
        <v>2497</v>
      </c>
    </row>
    <row r="314" spans="1:5" ht="30" x14ac:dyDescent="0.25">
      <c r="A314" s="30"/>
      <c r="B314" s="30" t="s">
        <v>1898</v>
      </c>
      <c r="C314" s="31">
        <v>43477</v>
      </c>
      <c r="D314" s="32" t="s">
        <v>2498</v>
      </c>
      <c r="E314" s="32" t="s">
        <v>1892</v>
      </c>
    </row>
    <row r="315" spans="1:5" ht="30" x14ac:dyDescent="0.25">
      <c r="A315" s="30"/>
      <c r="B315" s="30" t="s">
        <v>1898</v>
      </c>
      <c r="C315" s="31">
        <v>43477</v>
      </c>
      <c r="D315" s="32" t="s">
        <v>2499</v>
      </c>
      <c r="E315" s="32" t="s">
        <v>2500</v>
      </c>
    </row>
    <row r="316" spans="1:5" ht="30" x14ac:dyDescent="0.25">
      <c r="A316" s="30"/>
      <c r="B316" s="30" t="s">
        <v>1898</v>
      </c>
      <c r="C316" s="31">
        <v>43477</v>
      </c>
      <c r="D316" s="32" t="s">
        <v>2501</v>
      </c>
      <c r="E316" s="32" t="s">
        <v>2502</v>
      </c>
    </row>
    <row r="317" spans="1:5" ht="30" x14ac:dyDescent="0.25">
      <c r="A317" s="30"/>
      <c r="B317" s="30" t="s">
        <v>1898</v>
      </c>
      <c r="C317" s="31">
        <v>43477</v>
      </c>
      <c r="D317" s="32" t="s">
        <v>2503</v>
      </c>
      <c r="E317" s="32" t="s">
        <v>2504</v>
      </c>
    </row>
    <row r="318" spans="1:5" ht="30" x14ac:dyDescent="0.25">
      <c r="A318" s="30"/>
      <c r="B318" s="30" t="s">
        <v>1898</v>
      </c>
      <c r="C318" s="31">
        <v>43477</v>
      </c>
      <c r="D318" s="32" t="s">
        <v>2505</v>
      </c>
      <c r="E318" s="32" t="s">
        <v>1892</v>
      </c>
    </row>
    <row r="319" spans="1:5" ht="30" x14ac:dyDescent="0.25">
      <c r="A319" s="30"/>
      <c r="B319" s="30" t="s">
        <v>1898</v>
      </c>
      <c r="C319" s="31">
        <v>43477</v>
      </c>
      <c r="D319" s="32" t="s">
        <v>2506</v>
      </c>
      <c r="E319" s="32" t="s">
        <v>2507</v>
      </c>
    </row>
    <row r="320" spans="1:5" ht="30" x14ac:dyDescent="0.25">
      <c r="A320" s="30"/>
      <c r="B320" s="30" t="s">
        <v>1898</v>
      </c>
      <c r="C320" s="31">
        <v>43477</v>
      </c>
      <c r="D320" s="32" t="s">
        <v>2508</v>
      </c>
      <c r="E320" s="32" t="s">
        <v>2509</v>
      </c>
    </row>
    <row r="321" spans="1:5" ht="30" x14ac:dyDescent="0.25">
      <c r="A321" s="30"/>
      <c r="B321" s="30" t="s">
        <v>1898</v>
      </c>
      <c r="C321" s="31">
        <v>43476</v>
      </c>
      <c r="D321" s="32" t="s">
        <v>2510</v>
      </c>
      <c r="E321" s="32" t="s">
        <v>2511</v>
      </c>
    </row>
    <row r="322" spans="1:5" ht="30" x14ac:dyDescent="0.25">
      <c r="A322" s="30"/>
      <c r="B322" s="30" t="s">
        <v>1898</v>
      </c>
      <c r="C322" s="31">
        <v>43476</v>
      </c>
      <c r="D322" s="32" t="s">
        <v>2512</v>
      </c>
      <c r="E322" s="32" t="s">
        <v>2513</v>
      </c>
    </row>
    <row r="323" spans="1:5" ht="30" x14ac:dyDescent="0.25">
      <c r="A323" s="30"/>
      <c r="B323" s="30" t="s">
        <v>1898</v>
      </c>
      <c r="C323" s="31">
        <v>43476</v>
      </c>
      <c r="D323" s="32" t="s">
        <v>2514</v>
      </c>
      <c r="E323" s="32" t="s">
        <v>2515</v>
      </c>
    </row>
    <row r="324" spans="1:5" ht="30" x14ac:dyDescent="0.25">
      <c r="A324" s="30"/>
      <c r="B324" s="30" t="s">
        <v>1898</v>
      </c>
      <c r="C324" s="31">
        <v>43476</v>
      </c>
      <c r="D324" s="32" t="s">
        <v>2516</v>
      </c>
      <c r="E324" s="32" t="s">
        <v>2517</v>
      </c>
    </row>
    <row r="325" spans="1:5" ht="30" x14ac:dyDescent="0.25">
      <c r="A325" s="30"/>
      <c r="B325" s="30" t="s">
        <v>1898</v>
      </c>
      <c r="C325" s="31">
        <v>43476</v>
      </c>
      <c r="D325" s="32" t="s">
        <v>2518</v>
      </c>
      <c r="E325" s="32" t="s">
        <v>2519</v>
      </c>
    </row>
    <row r="326" spans="1:5" ht="30" x14ac:dyDescent="0.25">
      <c r="A326" s="30"/>
      <c r="B326" s="30" t="s">
        <v>1898</v>
      </c>
      <c r="C326" s="31">
        <v>43476</v>
      </c>
      <c r="D326" s="32" t="s">
        <v>2520</v>
      </c>
      <c r="E326" s="32" t="s">
        <v>1892</v>
      </c>
    </row>
    <row r="327" spans="1:5" ht="30" x14ac:dyDescent="0.25">
      <c r="A327" s="30"/>
      <c r="B327" s="30" t="s">
        <v>1898</v>
      </c>
      <c r="C327" s="31">
        <v>43476</v>
      </c>
      <c r="D327" s="32" t="s">
        <v>2521</v>
      </c>
      <c r="E327" s="32" t="s">
        <v>2522</v>
      </c>
    </row>
    <row r="328" spans="1:5" ht="30" x14ac:dyDescent="0.25">
      <c r="A328" s="30"/>
      <c r="B328" s="30" t="s">
        <v>1898</v>
      </c>
      <c r="C328" s="31">
        <v>43476</v>
      </c>
      <c r="D328" s="32" t="s">
        <v>2523</v>
      </c>
      <c r="E328" s="32" t="s">
        <v>2524</v>
      </c>
    </row>
    <row r="329" spans="1:5" ht="30" x14ac:dyDescent="0.25">
      <c r="A329" s="30"/>
      <c r="B329" s="30" t="s">
        <v>1898</v>
      </c>
      <c r="C329" s="31">
        <v>43476</v>
      </c>
      <c r="D329" s="32" t="s">
        <v>2525</v>
      </c>
      <c r="E329" s="32" t="s">
        <v>2526</v>
      </c>
    </row>
    <row r="330" spans="1:5" ht="30" x14ac:dyDescent="0.25">
      <c r="A330" s="30"/>
      <c r="B330" s="30" t="s">
        <v>1898</v>
      </c>
      <c r="C330" s="31">
        <v>43476</v>
      </c>
      <c r="D330" s="32" t="s">
        <v>2527</v>
      </c>
      <c r="E330" s="32" t="s">
        <v>1892</v>
      </c>
    </row>
    <row r="331" spans="1:5" ht="30" x14ac:dyDescent="0.25">
      <c r="A331" s="30"/>
      <c r="B331" s="30" t="s">
        <v>1898</v>
      </c>
      <c r="C331" s="31">
        <v>43476</v>
      </c>
      <c r="D331" s="32" t="s">
        <v>2528</v>
      </c>
      <c r="E331" s="32" t="s">
        <v>2529</v>
      </c>
    </row>
    <row r="332" spans="1:5" ht="30" x14ac:dyDescent="0.25">
      <c r="A332" s="30"/>
      <c r="B332" s="30" t="s">
        <v>1898</v>
      </c>
      <c r="C332" s="31">
        <v>43476</v>
      </c>
      <c r="D332" s="32" t="s">
        <v>2530</v>
      </c>
      <c r="E332" s="32" t="s">
        <v>2531</v>
      </c>
    </row>
    <row r="333" spans="1:5" ht="30" x14ac:dyDescent="0.25">
      <c r="A333" s="30"/>
      <c r="B333" s="30" t="s">
        <v>1898</v>
      </c>
      <c r="C333" s="31">
        <v>43476</v>
      </c>
      <c r="D333" s="32" t="s">
        <v>2532</v>
      </c>
      <c r="E333" s="32" t="s">
        <v>2533</v>
      </c>
    </row>
    <row r="334" spans="1:5" ht="30" x14ac:dyDescent="0.25">
      <c r="A334" s="30"/>
      <c r="B334" s="30" t="s">
        <v>1898</v>
      </c>
      <c r="C334" s="31">
        <v>43476</v>
      </c>
      <c r="D334" s="32" t="s">
        <v>2534</v>
      </c>
      <c r="E334" s="32" t="s">
        <v>2535</v>
      </c>
    </row>
    <row r="335" spans="1:5" ht="30" x14ac:dyDescent="0.25">
      <c r="A335" s="30"/>
      <c r="B335" s="30" t="s">
        <v>1898</v>
      </c>
      <c r="C335" s="31">
        <v>43476</v>
      </c>
      <c r="D335" s="32" t="s">
        <v>2536</v>
      </c>
      <c r="E335" s="32" t="s">
        <v>2537</v>
      </c>
    </row>
    <row r="336" spans="1:5" ht="30" x14ac:dyDescent="0.25">
      <c r="A336" s="30"/>
      <c r="B336" s="30" t="s">
        <v>1898</v>
      </c>
      <c r="C336" s="31">
        <v>43475</v>
      </c>
      <c r="D336" s="32" t="s">
        <v>2281</v>
      </c>
      <c r="E336" s="32" t="s">
        <v>2282</v>
      </c>
    </row>
    <row r="337" spans="1:5" ht="30" x14ac:dyDescent="0.25">
      <c r="A337" s="30"/>
      <c r="B337" s="30" t="s">
        <v>1898</v>
      </c>
      <c r="C337" s="31">
        <v>43475</v>
      </c>
      <c r="D337" s="32" t="s">
        <v>2271</v>
      </c>
      <c r="E337" s="32" t="s">
        <v>1892</v>
      </c>
    </row>
    <row r="338" spans="1:5" ht="30" x14ac:dyDescent="0.25">
      <c r="A338" s="30"/>
      <c r="B338" s="30" t="s">
        <v>1898</v>
      </c>
      <c r="C338" s="31">
        <v>43475</v>
      </c>
      <c r="D338" s="32" t="s">
        <v>2272</v>
      </c>
      <c r="E338" s="32" t="s">
        <v>2273</v>
      </c>
    </row>
    <row r="339" spans="1:5" ht="30" x14ac:dyDescent="0.25">
      <c r="A339" s="30"/>
      <c r="B339" s="30" t="s">
        <v>1898</v>
      </c>
      <c r="C339" s="31">
        <v>43475</v>
      </c>
      <c r="D339" s="32" t="s">
        <v>2264</v>
      </c>
      <c r="E339" s="32" t="s">
        <v>2265</v>
      </c>
    </row>
    <row r="340" spans="1:5" ht="30" x14ac:dyDescent="0.25">
      <c r="A340" s="30"/>
      <c r="B340" s="30" t="s">
        <v>1898</v>
      </c>
      <c r="C340" s="31">
        <v>43475</v>
      </c>
      <c r="D340" s="32" t="s">
        <v>2267</v>
      </c>
      <c r="E340" s="32" t="s">
        <v>2268</v>
      </c>
    </row>
    <row r="341" spans="1:5" ht="30" x14ac:dyDescent="0.25">
      <c r="A341" s="30"/>
      <c r="B341" s="30" t="s">
        <v>1898</v>
      </c>
      <c r="C341" s="31">
        <v>43475</v>
      </c>
      <c r="D341" s="32" t="s">
        <v>2280</v>
      </c>
      <c r="E341" s="32" t="s">
        <v>1892</v>
      </c>
    </row>
    <row r="342" spans="1:5" ht="30" x14ac:dyDescent="0.25">
      <c r="A342" s="30"/>
      <c r="B342" s="30" t="s">
        <v>1898</v>
      </c>
      <c r="C342" s="31">
        <v>43475</v>
      </c>
      <c r="D342" s="32" t="s">
        <v>2258</v>
      </c>
      <c r="E342" s="32" t="s">
        <v>2259</v>
      </c>
    </row>
    <row r="343" spans="1:5" ht="30" x14ac:dyDescent="0.25">
      <c r="A343" s="30"/>
      <c r="B343" s="30" t="s">
        <v>1898</v>
      </c>
      <c r="C343" s="31">
        <v>43475</v>
      </c>
      <c r="D343" s="32" t="s">
        <v>2266</v>
      </c>
      <c r="E343" s="32" t="s">
        <v>1892</v>
      </c>
    </row>
    <row r="344" spans="1:5" ht="30" x14ac:dyDescent="0.25">
      <c r="A344" s="30"/>
      <c r="B344" s="30" t="s">
        <v>1898</v>
      </c>
      <c r="C344" s="31">
        <v>43475</v>
      </c>
      <c r="D344" s="32" t="s">
        <v>2239</v>
      </c>
      <c r="E344" s="32" t="s">
        <v>2240</v>
      </c>
    </row>
    <row r="345" spans="1:5" ht="30" x14ac:dyDescent="0.25">
      <c r="A345" s="30"/>
      <c r="B345" s="30" t="s">
        <v>1898</v>
      </c>
      <c r="C345" s="31">
        <v>43475</v>
      </c>
      <c r="D345" s="32" t="s">
        <v>2245</v>
      </c>
      <c r="E345" s="32" t="s">
        <v>1892</v>
      </c>
    </row>
    <row r="346" spans="1:5" ht="30" x14ac:dyDescent="0.25">
      <c r="A346" s="30"/>
      <c r="B346" s="30" t="s">
        <v>1898</v>
      </c>
      <c r="C346" s="31">
        <v>43475</v>
      </c>
      <c r="D346" s="32" t="s">
        <v>2274</v>
      </c>
      <c r="E346" s="32" t="s">
        <v>2275</v>
      </c>
    </row>
    <row r="347" spans="1:5" ht="30" x14ac:dyDescent="0.25">
      <c r="A347" s="30"/>
      <c r="B347" s="30" t="s">
        <v>1898</v>
      </c>
      <c r="C347" s="31">
        <v>43475</v>
      </c>
      <c r="D347" s="32" t="s">
        <v>2260</v>
      </c>
      <c r="E347" s="32" t="s">
        <v>2261</v>
      </c>
    </row>
    <row r="348" spans="1:5" ht="30" x14ac:dyDescent="0.25">
      <c r="A348" s="30"/>
      <c r="B348" s="30" t="s">
        <v>1898</v>
      </c>
      <c r="C348" s="31">
        <v>43475</v>
      </c>
      <c r="D348" s="32" t="s">
        <v>2276</v>
      </c>
      <c r="E348" s="32" t="s">
        <v>2277</v>
      </c>
    </row>
    <row r="349" spans="1:5" ht="30" x14ac:dyDescent="0.25">
      <c r="A349" s="30"/>
      <c r="B349" s="30" t="s">
        <v>1898</v>
      </c>
      <c r="C349" s="31">
        <v>43475</v>
      </c>
      <c r="D349" s="32" t="s">
        <v>2238</v>
      </c>
      <c r="E349" s="32" t="s">
        <v>1892</v>
      </c>
    </row>
    <row r="350" spans="1:5" ht="45" x14ac:dyDescent="0.25">
      <c r="A350" s="30"/>
      <c r="B350" s="30" t="s">
        <v>1898</v>
      </c>
      <c r="C350" s="31">
        <v>43475</v>
      </c>
      <c r="D350" s="32" t="s">
        <v>2262</v>
      </c>
      <c r="E350" s="32" t="s">
        <v>2263</v>
      </c>
    </row>
    <row r="351" spans="1:5" ht="30" x14ac:dyDescent="0.25">
      <c r="A351" s="30"/>
      <c r="B351" s="30" t="s">
        <v>1898</v>
      </c>
      <c r="C351" s="31">
        <v>43475</v>
      </c>
      <c r="D351" s="32" t="s">
        <v>2269</v>
      </c>
      <c r="E351" s="32" t="s">
        <v>2270</v>
      </c>
    </row>
    <row r="352" spans="1:5" ht="30" x14ac:dyDescent="0.25">
      <c r="A352" s="30"/>
      <c r="B352" s="30" t="s">
        <v>1898</v>
      </c>
      <c r="C352" s="31">
        <v>43475</v>
      </c>
      <c r="D352" s="32" t="s">
        <v>2278</v>
      </c>
      <c r="E352" s="32" t="s">
        <v>2279</v>
      </c>
    </row>
    <row r="353" spans="1:5" ht="30" x14ac:dyDescent="0.25">
      <c r="A353" s="30"/>
      <c r="B353" s="30" t="s">
        <v>1898</v>
      </c>
      <c r="C353" s="31">
        <v>43474</v>
      </c>
      <c r="D353" s="32" t="s">
        <v>2295</v>
      </c>
      <c r="E353" s="32" t="s">
        <v>1892</v>
      </c>
    </row>
    <row r="354" spans="1:5" ht="30" x14ac:dyDescent="0.25">
      <c r="A354" s="30"/>
      <c r="B354" s="30" t="s">
        <v>1898</v>
      </c>
      <c r="C354" s="31">
        <v>43474</v>
      </c>
      <c r="D354" s="32" t="s">
        <v>2286</v>
      </c>
      <c r="E354" s="32" t="s">
        <v>1892</v>
      </c>
    </row>
    <row r="355" spans="1:5" ht="30" x14ac:dyDescent="0.25">
      <c r="A355" s="30"/>
      <c r="B355" s="30" t="s">
        <v>1898</v>
      </c>
      <c r="C355" s="31">
        <v>43474</v>
      </c>
      <c r="D355" s="32" t="s">
        <v>2284</v>
      </c>
      <c r="E355" s="32" t="s">
        <v>2285</v>
      </c>
    </row>
    <row r="356" spans="1:5" ht="30" x14ac:dyDescent="0.25">
      <c r="A356" s="30"/>
      <c r="B356" s="30" t="s">
        <v>1898</v>
      </c>
      <c r="C356" s="31">
        <v>43474</v>
      </c>
      <c r="D356" s="32" t="s">
        <v>2289</v>
      </c>
      <c r="E356" s="32" t="s">
        <v>2290</v>
      </c>
    </row>
    <row r="357" spans="1:5" ht="30" x14ac:dyDescent="0.25">
      <c r="A357" s="30"/>
      <c r="B357" s="30" t="s">
        <v>1898</v>
      </c>
      <c r="C357" s="31">
        <v>43474</v>
      </c>
      <c r="D357" s="32" t="s">
        <v>2292</v>
      </c>
      <c r="E357" s="32" t="s">
        <v>2293</v>
      </c>
    </row>
    <row r="358" spans="1:5" ht="30" x14ac:dyDescent="0.25">
      <c r="A358" s="30"/>
      <c r="B358" s="30" t="s">
        <v>1898</v>
      </c>
      <c r="C358" s="31">
        <v>43474</v>
      </c>
      <c r="D358" s="32" t="s">
        <v>2297</v>
      </c>
      <c r="E358" s="32" t="s">
        <v>2298</v>
      </c>
    </row>
    <row r="359" spans="1:5" ht="45" x14ac:dyDescent="0.25">
      <c r="A359" s="30"/>
      <c r="B359" s="30" t="s">
        <v>1898</v>
      </c>
      <c r="C359" s="31">
        <v>43474</v>
      </c>
      <c r="D359" s="32" t="s">
        <v>2283</v>
      </c>
      <c r="E359" s="32" t="s">
        <v>1892</v>
      </c>
    </row>
    <row r="360" spans="1:5" ht="30" x14ac:dyDescent="0.25">
      <c r="A360" s="30"/>
      <c r="B360" s="30" t="s">
        <v>1898</v>
      </c>
      <c r="C360" s="31">
        <v>43474</v>
      </c>
      <c r="D360" s="32" t="s">
        <v>2287</v>
      </c>
      <c r="E360" s="32" t="s">
        <v>2288</v>
      </c>
    </row>
    <row r="361" spans="1:5" ht="30" x14ac:dyDescent="0.25">
      <c r="A361" s="30"/>
      <c r="B361" s="30" t="s">
        <v>1898</v>
      </c>
      <c r="C361" s="31">
        <v>43474</v>
      </c>
      <c r="D361" s="32" t="s">
        <v>2294</v>
      </c>
      <c r="E361" s="32" t="s">
        <v>1892</v>
      </c>
    </row>
    <row r="362" spans="1:5" ht="30" x14ac:dyDescent="0.25">
      <c r="A362" s="30"/>
      <c r="B362" s="30" t="s">
        <v>1898</v>
      </c>
      <c r="C362" s="31">
        <v>43474</v>
      </c>
      <c r="D362" s="32" t="s">
        <v>2296</v>
      </c>
      <c r="E362" s="32" t="s">
        <v>1892</v>
      </c>
    </row>
    <row r="363" spans="1:5" ht="30" x14ac:dyDescent="0.25">
      <c r="A363" s="30"/>
      <c r="B363" s="30" t="s">
        <v>1898</v>
      </c>
      <c r="C363" s="31">
        <v>43474</v>
      </c>
      <c r="D363" s="32" t="s">
        <v>2291</v>
      </c>
      <c r="E363" s="32" t="s">
        <v>1892</v>
      </c>
    </row>
    <row r="364" spans="1:5" ht="30" x14ac:dyDescent="0.25">
      <c r="A364" s="30"/>
      <c r="B364" s="30" t="s">
        <v>1898</v>
      </c>
      <c r="C364" s="31">
        <v>43474</v>
      </c>
      <c r="D364" s="32" t="s">
        <v>2299</v>
      </c>
      <c r="E364" s="32" t="s">
        <v>2300</v>
      </c>
    </row>
    <row r="365" spans="1:5" ht="30" x14ac:dyDescent="0.25">
      <c r="A365" s="30"/>
      <c r="B365" s="30" t="s">
        <v>1898</v>
      </c>
      <c r="C365" s="31">
        <v>43473</v>
      </c>
      <c r="D365" s="32" t="s">
        <v>2045</v>
      </c>
      <c r="E365" s="32" t="s">
        <v>2046</v>
      </c>
    </row>
    <row r="366" spans="1:5" ht="30" x14ac:dyDescent="0.25">
      <c r="A366" s="30"/>
      <c r="B366" s="30" t="s">
        <v>72</v>
      </c>
      <c r="C366" s="31">
        <v>43478</v>
      </c>
      <c r="D366" s="32" t="s">
        <v>2538</v>
      </c>
      <c r="E366" s="32" t="s">
        <v>2539</v>
      </c>
    </row>
    <row r="367" spans="1:5" ht="45" x14ac:dyDescent="0.25">
      <c r="A367" s="30"/>
      <c r="B367" s="30" t="s">
        <v>72</v>
      </c>
      <c r="C367" s="31">
        <v>43478</v>
      </c>
      <c r="D367" s="32" t="s">
        <v>2540</v>
      </c>
      <c r="E367" s="32" t="s">
        <v>2541</v>
      </c>
    </row>
    <row r="368" spans="1:5" ht="30" x14ac:dyDescent="0.25">
      <c r="A368" s="30"/>
      <c r="B368" s="30" t="s">
        <v>72</v>
      </c>
      <c r="C368" s="31">
        <v>43477</v>
      </c>
      <c r="D368" s="32" t="s">
        <v>2542</v>
      </c>
      <c r="E368" s="32" t="s">
        <v>2543</v>
      </c>
    </row>
    <row r="369" spans="1:5" ht="45" x14ac:dyDescent="0.25">
      <c r="A369" s="30"/>
      <c r="B369" s="30" t="s">
        <v>72</v>
      </c>
      <c r="C369" s="31">
        <v>43476</v>
      </c>
      <c r="D369" s="32" t="s">
        <v>2544</v>
      </c>
      <c r="E369" s="32" t="s">
        <v>2545</v>
      </c>
    </row>
    <row r="370" spans="1:5" ht="45" x14ac:dyDescent="0.25">
      <c r="A370" s="30"/>
      <c r="B370" s="30" t="s">
        <v>72</v>
      </c>
      <c r="C370" s="31">
        <v>43475</v>
      </c>
      <c r="D370" s="32" t="s">
        <v>2301</v>
      </c>
      <c r="E370" s="32" t="s">
        <v>2302</v>
      </c>
    </row>
    <row r="371" spans="1:5" ht="45" x14ac:dyDescent="0.25">
      <c r="A371" s="30"/>
      <c r="B371" s="30" t="s">
        <v>72</v>
      </c>
      <c r="C371" s="31">
        <v>43474</v>
      </c>
      <c r="D371" s="32" t="s">
        <v>2303</v>
      </c>
      <c r="E371" s="32" t="s">
        <v>2304</v>
      </c>
    </row>
    <row r="372" spans="1:5" x14ac:dyDescent="0.25">
      <c r="A372" s="30"/>
      <c r="B372" s="30"/>
      <c r="C372" s="31"/>
      <c r="D372" s="32"/>
      <c r="E372" s="32"/>
    </row>
    <row r="373" spans="1:5" x14ac:dyDescent="0.25">
      <c r="A373" s="30"/>
      <c r="B373" s="30"/>
      <c r="C373" s="31"/>
      <c r="D373" s="32"/>
      <c r="E373" s="32"/>
    </row>
    <row r="374" spans="1:5" x14ac:dyDescent="0.25">
      <c r="A374" s="30"/>
      <c r="B374" s="30"/>
      <c r="C374" s="31"/>
      <c r="D374" s="32"/>
      <c r="E374" s="32"/>
    </row>
    <row r="375" spans="1:5" x14ac:dyDescent="0.25">
      <c r="A375" s="30"/>
      <c r="B375" s="30"/>
      <c r="C375" s="31"/>
      <c r="D375" s="32"/>
      <c r="E375" s="32"/>
    </row>
    <row r="376" spans="1:5" x14ac:dyDescent="0.25">
      <c r="A376" s="30"/>
      <c r="B376" s="30"/>
      <c r="C376" s="31"/>
      <c r="D376" s="32"/>
      <c r="E376" s="32"/>
    </row>
    <row r="377" spans="1:5" x14ac:dyDescent="0.25">
      <c r="A377" s="30"/>
      <c r="B377" s="30"/>
      <c r="C377" s="31"/>
      <c r="D377" s="32"/>
      <c r="E377" s="32"/>
    </row>
    <row r="378" spans="1:5" x14ac:dyDescent="0.25">
      <c r="A378" s="30"/>
      <c r="B378" s="30"/>
      <c r="C378" s="31"/>
      <c r="D378" s="32"/>
      <c r="E378" s="32"/>
    </row>
    <row r="379" spans="1:5" x14ac:dyDescent="0.25">
      <c r="A379" s="30"/>
      <c r="B379" s="30"/>
      <c r="C379" s="31"/>
      <c r="D379" s="32"/>
      <c r="E379" s="32"/>
    </row>
    <row r="380" spans="1:5" x14ac:dyDescent="0.25">
      <c r="A380" s="30"/>
      <c r="B380" s="30"/>
      <c r="C380" s="31"/>
      <c r="D380" s="32"/>
      <c r="E380" s="32"/>
    </row>
    <row r="381" spans="1:5" x14ac:dyDescent="0.25">
      <c r="A381" s="30"/>
      <c r="B381" s="30"/>
      <c r="C381" s="31"/>
      <c r="D381" s="32"/>
      <c r="E381" s="32"/>
    </row>
    <row r="382" spans="1:5" x14ac:dyDescent="0.25">
      <c r="A382" s="30"/>
      <c r="B382" s="30"/>
      <c r="C382" s="31"/>
      <c r="D382" s="32"/>
      <c r="E382" s="32"/>
    </row>
    <row r="383" spans="1:5" x14ac:dyDescent="0.25">
      <c r="A383" s="30"/>
      <c r="B383" s="30"/>
      <c r="C383" s="31"/>
      <c r="D383" s="32"/>
      <c r="E383" s="32"/>
    </row>
    <row r="384" spans="1:5" x14ac:dyDescent="0.25">
      <c r="A384" s="30"/>
      <c r="B384" s="30"/>
      <c r="C384" s="31"/>
      <c r="D384" s="32"/>
      <c r="E384" s="32"/>
    </row>
    <row r="385" spans="1:5" x14ac:dyDescent="0.25">
      <c r="A385" s="30"/>
      <c r="B385" s="30"/>
      <c r="C385" s="31"/>
      <c r="D385" s="32"/>
      <c r="E385" s="32"/>
    </row>
    <row r="386" spans="1:5" x14ac:dyDescent="0.25">
      <c r="A386" s="30"/>
      <c r="B386" s="30"/>
      <c r="C386" s="31"/>
      <c r="D386" s="32"/>
      <c r="E386" s="32"/>
    </row>
    <row r="387" spans="1:5" x14ac:dyDescent="0.25">
      <c r="A387" s="30"/>
      <c r="B387" s="30"/>
      <c r="C387" s="31"/>
      <c r="D387" s="32"/>
      <c r="E387" s="32"/>
    </row>
    <row r="388" spans="1:5" x14ac:dyDescent="0.25">
      <c r="A388" s="30"/>
      <c r="B388" s="30"/>
      <c r="C388" s="31"/>
      <c r="D388" s="32"/>
      <c r="E388" s="32"/>
    </row>
    <row r="389" spans="1:5" x14ac:dyDescent="0.25">
      <c r="A389" s="30"/>
      <c r="B389" s="30"/>
      <c r="C389" s="31"/>
      <c r="D389" s="32"/>
      <c r="E389" s="32"/>
    </row>
    <row r="390" spans="1:5" x14ac:dyDescent="0.25">
      <c r="A390" s="30"/>
      <c r="B390" s="30"/>
      <c r="C390" s="31"/>
      <c r="D390" s="32"/>
      <c r="E390" s="32"/>
    </row>
    <row r="391" spans="1:5" x14ac:dyDescent="0.25">
      <c r="A391" s="30"/>
      <c r="B391" s="30"/>
      <c r="C391" s="31"/>
      <c r="D391" s="32"/>
      <c r="E391" s="32"/>
    </row>
    <row r="392" spans="1:5" x14ac:dyDescent="0.25">
      <c r="A392" s="30"/>
      <c r="B392" s="30"/>
      <c r="C392" s="31"/>
      <c r="D392" s="32"/>
      <c r="E392" s="32"/>
    </row>
    <row r="393" spans="1:5" x14ac:dyDescent="0.25">
      <c r="A393" s="30"/>
      <c r="B393" s="30"/>
      <c r="C393" s="31"/>
      <c r="D393" s="32"/>
      <c r="E393" s="32"/>
    </row>
    <row r="394" spans="1:5" x14ac:dyDescent="0.25">
      <c r="A394" s="30"/>
      <c r="B394" s="30"/>
      <c r="C394" s="31"/>
      <c r="D394" s="32"/>
      <c r="E394" s="32"/>
    </row>
    <row r="395" spans="1:5" x14ac:dyDescent="0.25">
      <c r="A395" s="30"/>
      <c r="B395" s="30"/>
      <c r="C395" s="31"/>
      <c r="D395" s="32"/>
      <c r="E395" s="32"/>
    </row>
    <row r="396" spans="1:5" x14ac:dyDescent="0.25">
      <c r="A396" s="30"/>
      <c r="B396" s="30"/>
      <c r="C396" s="31"/>
      <c r="D396" s="32"/>
      <c r="E396" s="32"/>
    </row>
    <row r="397" spans="1:5" x14ac:dyDescent="0.25">
      <c r="A397" s="30"/>
      <c r="B397" s="30"/>
      <c r="C397" s="31"/>
      <c r="D397" s="32"/>
      <c r="E397" s="32"/>
    </row>
    <row r="398" spans="1:5" x14ac:dyDescent="0.25">
      <c r="A398" s="30"/>
      <c r="B398" s="30"/>
      <c r="C398" s="31"/>
      <c r="D398" s="32"/>
      <c r="E398" s="32"/>
    </row>
    <row r="399" spans="1:5" x14ac:dyDescent="0.25">
      <c r="A399" s="30"/>
      <c r="B399" s="30"/>
      <c r="C399" s="31"/>
      <c r="D399" s="32"/>
      <c r="E399" s="32"/>
    </row>
    <row r="400" spans="1:5" x14ac:dyDescent="0.25">
      <c r="A400" s="30"/>
      <c r="B400" s="30"/>
      <c r="C400" s="31"/>
      <c r="D400" s="32"/>
      <c r="E400" s="32"/>
    </row>
    <row r="401" spans="3:3" x14ac:dyDescent="0.25">
      <c r="C401" s="36"/>
    </row>
    <row r="402" spans="3:3" x14ac:dyDescent="0.25">
      <c r="C402" s="36"/>
    </row>
    <row r="403" spans="3:3" x14ac:dyDescent="0.25">
      <c r="C403" s="36"/>
    </row>
    <row r="404" spans="3:3" x14ac:dyDescent="0.25">
      <c r="C404" s="36"/>
    </row>
    <row r="405" spans="3:3" x14ac:dyDescent="0.25">
      <c r="C405" s="36"/>
    </row>
    <row r="406" spans="3:3" x14ac:dyDescent="0.25">
      <c r="C406" s="36"/>
    </row>
    <row r="407" spans="3:3" x14ac:dyDescent="0.25">
      <c r="C407" s="36"/>
    </row>
    <row r="408" spans="3:3" x14ac:dyDescent="0.25">
      <c r="C408" s="36"/>
    </row>
    <row r="409" spans="3:3" x14ac:dyDescent="0.25">
      <c r="C409" s="36"/>
    </row>
    <row r="410" spans="3:3" x14ac:dyDescent="0.25">
      <c r="C410" s="36"/>
    </row>
    <row r="411" spans="3:3" x14ac:dyDescent="0.25">
      <c r="C411" s="36"/>
    </row>
    <row r="412" spans="3:3" x14ac:dyDescent="0.25">
      <c r="C412" s="36"/>
    </row>
    <row r="413" spans="3:3" x14ac:dyDescent="0.25">
      <c r="C413" s="36"/>
    </row>
    <row r="414" spans="3:3" x14ac:dyDescent="0.25">
      <c r="C414" s="36"/>
    </row>
    <row r="415" spans="3:3" x14ac:dyDescent="0.25">
      <c r="C415" s="36"/>
    </row>
    <row r="416" spans="3:3" x14ac:dyDescent="0.25">
      <c r="C416" s="36"/>
    </row>
    <row r="417" spans="3:3" x14ac:dyDescent="0.25">
      <c r="C417" s="36"/>
    </row>
    <row r="418" spans="3:3" x14ac:dyDescent="0.25">
      <c r="C418" s="36"/>
    </row>
    <row r="419" spans="3:3" x14ac:dyDescent="0.25">
      <c r="C419" s="36"/>
    </row>
    <row r="420" spans="3:3" x14ac:dyDescent="0.25">
      <c r="C420" s="36"/>
    </row>
    <row r="421" spans="3:3" x14ac:dyDescent="0.25">
      <c r="C421" s="36"/>
    </row>
    <row r="422" spans="3:3" x14ac:dyDescent="0.25">
      <c r="C422" s="36"/>
    </row>
    <row r="423" spans="3:3" x14ac:dyDescent="0.25">
      <c r="C423" s="36"/>
    </row>
    <row r="424" spans="3:3" x14ac:dyDescent="0.25">
      <c r="C424" s="36"/>
    </row>
    <row r="425" spans="3:3" x14ac:dyDescent="0.25">
      <c r="C425" s="36"/>
    </row>
    <row r="426" spans="3:3" x14ac:dyDescent="0.25">
      <c r="C426" s="36"/>
    </row>
    <row r="427" spans="3:3" x14ac:dyDescent="0.25">
      <c r="C427" s="36"/>
    </row>
    <row r="428" spans="3:3" x14ac:dyDescent="0.25">
      <c r="C428" s="36"/>
    </row>
    <row r="429" spans="3:3" x14ac:dyDescent="0.25">
      <c r="C429" s="36"/>
    </row>
    <row r="430" spans="3:3" x14ac:dyDescent="0.25">
      <c r="C430" s="36"/>
    </row>
    <row r="431" spans="3:3" x14ac:dyDescent="0.25">
      <c r="C431" s="36"/>
    </row>
    <row r="432" spans="3:3" x14ac:dyDescent="0.25">
      <c r="C432" s="36"/>
    </row>
    <row r="433" spans="3:3" x14ac:dyDescent="0.25">
      <c r="C433" s="36"/>
    </row>
    <row r="434" spans="3:3" x14ac:dyDescent="0.25">
      <c r="C434" s="36"/>
    </row>
    <row r="435" spans="3:3" x14ac:dyDescent="0.25">
      <c r="C435" s="36"/>
    </row>
    <row r="436" spans="3:3" x14ac:dyDescent="0.25">
      <c r="C436" s="36"/>
    </row>
    <row r="437" spans="3:3" x14ac:dyDescent="0.25">
      <c r="C437" s="36"/>
    </row>
    <row r="438" spans="3:3" x14ac:dyDescent="0.25">
      <c r="C438" s="36"/>
    </row>
    <row r="439" spans="3:3" x14ac:dyDescent="0.25">
      <c r="C439" s="36"/>
    </row>
    <row r="440" spans="3:3" x14ac:dyDescent="0.25">
      <c r="C440" s="36"/>
    </row>
    <row r="441" spans="3:3" x14ac:dyDescent="0.25">
      <c r="C441" s="36"/>
    </row>
    <row r="442" spans="3:3" x14ac:dyDescent="0.25">
      <c r="C442" s="36"/>
    </row>
    <row r="443" spans="3:3" x14ac:dyDescent="0.25">
      <c r="C443" s="36"/>
    </row>
    <row r="444" spans="3:3" x14ac:dyDescent="0.25">
      <c r="C444" s="36"/>
    </row>
    <row r="445" spans="3:3" x14ac:dyDescent="0.25">
      <c r="C445" s="36"/>
    </row>
    <row r="446" spans="3:3" x14ac:dyDescent="0.25">
      <c r="C446" s="36"/>
    </row>
    <row r="447" spans="3:3" x14ac:dyDescent="0.25">
      <c r="C447" s="36"/>
    </row>
    <row r="448" spans="3:3" x14ac:dyDescent="0.25">
      <c r="C448" s="36"/>
    </row>
    <row r="449" spans="3:3" x14ac:dyDescent="0.25">
      <c r="C449" s="36"/>
    </row>
  </sheetData>
  <autoFilter ref="B1:E362"/>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Z300"/>
  <sheetViews>
    <sheetView zoomScale="80" zoomScaleNormal="80" workbookViewId="0">
      <selection activeCell="J25" sqref="J25"/>
    </sheetView>
  </sheetViews>
  <sheetFormatPr defaultRowHeight="15" x14ac:dyDescent="0.25"/>
  <cols>
    <col min="2" max="2" width="19.140625" customWidth="1"/>
    <col min="4" max="4" width="13.85546875" customWidth="1"/>
    <col min="5" max="10" width="11.42578125" customWidth="1"/>
    <col min="23" max="23" width="14.5703125" bestFit="1" customWidth="1"/>
  </cols>
  <sheetData>
    <row r="1" spans="1:52" ht="15.75" thickBot="1" x14ac:dyDescent="0.3">
      <c r="A1" s="1"/>
      <c r="B1" s="1"/>
      <c r="C1" s="1"/>
      <c r="D1" s="41" t="s">
        <v>1858</v>
      </c>
      <c r="E1" s="40"/>
      <c r="F1" s="40"/>
      <c r="G1" s="40"/>
      <c r="H1" s="40"/>
      <c r="I1" s="40"/>
      <c r="J1" s="40"/>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t="s">
        <v>1844</v>
      </c>
    </row>
    <row r="2" spans="1:52" ht="30.75" thickBot="1" x14ac:dyDescent="0.3">
      <c r="A2" s="1"/>
      <c r="B2" s="34" t="s">
        <v>1352</v>
      </c>
      <c r="C2" s="1"/>
      <c r="D2" s="40" t="s">
        <v>1847</v>
      </c>
      <c r="E2" s="40" t="s">
        <v>1840</v>
      </c>
      <c r="F2" s="40" t="s">
        <v>1843</v>
      </c>
      <c r="G2" s="40" t="s">
        <v>1845</v>
      </c>
      <c r="H2" s="40" t="s">
        <v>1846</v>
      </c>
      <c r="I2" s="40" t="s">
        <v>1841</v>
      </c>
      <c r="J2" s="40" t="s">
        <v>1842</v>
      </c>
      <c r="K2" s="1"/>
      <c r="L2" s="37" t="s">
        <v>1856</v>
      </c>
      <c r="M2" s="34" t="s">
        <v>1852</v>
      </c>
      <c r="N2" s="1"/>
      <c r="O2" s="1"/>
      <c r="P2" s="1"/>
      <c r="Q2" s="1"/>
      <c r="R2" s="1"/>
      <c r="S2" s="1"/>
      <c r="T2" s="1"/>
      <c r="U2" s="1"/>
      <c r="V2" s="1"/>
      <c r="W2" s="41" t="s">
        <v>1867</v>
      </c>
      <c r="X2" s="41"/>
      <c r="Y2" s="41"/>
      <c r="Z2" s="41"/>
      <c r="AA2" s="41"/>
      <c r="AB2" s="48" t="s">
        <v>1869</v>
      </c>
      <c r="AC2" s="41"/>
      <c r="AD2" s="41"/>
      <c r="AE2" s="41"/>
      <c r="AF2" s="41"/>
      <c r="AG2" s="41"/>
      <c r="AH2" s="43"/>
      <c r="AI2" s="41"/>
      <c r="AJ2" s="41"/>
      <c r="AK2" s="41"/>
      <c r="AL2" s="41"/>
      <c r="AM2" s="41"/>
      <c r="AN2" s="48" t="s">
        <v>1870</v>
      </c>
      <c r="AO2" s="41"/>
      <c r="AP2" s="41"/>
      <c r="AQ2" s="41"/>
      <c r="AR2" s="41"/>
      <c r="AS2" s="1"/>
      <c r="AT2" s="1"/>
      <c r="AU2" s="1"/>
      <c r="AV2" s="1"/>
      <c r="AW2" s="1"/>
      <c r="AX2" s="1"/>
      <c r="AY2" s="1"/>
      <c r="AZ2" s="1"/>
    </row>
    <row r="3" spans="1:52" ht="30" x14ac:dyDescent="0.25">
      <c r="A3" s="1"/>
      <c r="B3" s="1"/>
      <c r="C3" s="1"/>
      <c r="D3" s="39">
        <v>126</v>
      </c>
      <c r="E3" s="10">
        <v>125</v>
      </c>
      <c r="F3" s="10">
        <v>124.55</v>
      </c>
      <c r="G3" s="10">
        <v>126.5</v>
      </c>
      <c r="H3" s="10">
        <v>124.65</v>
      </c>
      <c r="I3" s="10">
        <v>162.69999999999999</v>
      </c>
      <c r="J3" s="10">
        <v>89</v>
      </c>
      <c r="K3" s="1"/>
      <c r="L3" s="1"/>
      <c r="M3" s="1"/>
      <c r="N3" s="1"/>
      <c r="O3" s="1"/>
      <c r="P3" s="1"/>
      <c r="Q3" s="1"/>
      <c r="R3" s="1"/>
      <c r="S3" s="1"/>
      <c r="T3" s="1"/>
      <c r="U3" s="1"/>
      <c r="V3" s="1"/>
      <c r="W3" s="40" t="s">
        <v>1868</v>
      </c>
      <c r="X3" s="40" t="s">
        <v>1871</v>
      </c>
      <c r="Y3" s="40" t="s">
        <v>1887</v>
      </c>
      <c r="Z3" s="40" t="s">
        <v>1872</v>
      </c>
      <c r="AA3" s="40" t="s">
        <v>1873</v>
      </c>
      <c r="AB3" s="40" t="s">
        <v>1874</v>
      </c>
      <c r="AC3" s="40" t="s">
        <v>1888</v>
      </c>
      <c r="AD3" s="40" t="s">
        <v>1875</v>
      </c>
      <c r="AE3" s="40" t="s">
        <v>1876</v>
      </c>
      <c r="AF3" s="40" t="s">
        <v>1877</v>
      </c>
      <c r="AG3" s="40" t="s">
        <v>1878</v>
      </c>
      <c r="AH3" s="44" t="s">
        <v>1891</v>
      </c>
      <c r="AI3" s="40" t="s">
        <v>1879</v>
      </c>
      <c r="AJ3" s="40" t="s">
        <v>1880</v>
      </c>
      <c r="AK3" s="40" t="s">
        <v>1881</v>
      </c>
      <c r="AL3" s="40" t="s">
        <v>1882</v>
      </c>
      <c r="AM3" s="40" t="s">
        <v>1889</v>
      </c>
      <c r="AN3" s="40" t="s">
        <v>1883</v>
      </c>
      <c r="AO3" s="40" t="s">
        <v>1884</v>
      </c>
      <c r="AP3" s="40" t="s">
        <v>1885</v>
      </c>
      <c r="AQ3" s="40" t="s">
        <v>1890</v>
      </c>
      <c r="AR3" s="40" t="s">
        <v>1886</v>
      </c>
      <c r="AS3" s="1"/>
      <c r="AT3" s="1"/>
      <c r="AU3" s="1"/>
      <c r="AV3" s="1"/>
      <c r="AW3" s="1"/>
      <c r="AX3" s="1"/>
      <c r="AY3" s="1"/>
      <c r="AZ3" s="1"/>
    </row>
    <row r="4" spans="1:52" x14ac:dyDescent="0.25">
      <c r="A4" s="1"/>
      <c r="B4" s="1"/>
      <c r="C4" s="1"/>
      <c r="D4" s="1"/>
      <c r="E4" s="1"/>
      <c r="F4" s="1"/>
      <c r="G4" s="1"/>
      <c r="H4" s="1"/>
      <c r="I4" s="1"/>
      <c r="J4" s="1"/>
      <c r="K4" s="1"/>
      <c r="L4" s="1"/>
      <c r="M4" s="1"/>
      <c r="N4" s="1"/>
      <c r="O4" s="1"/>
      <c r="P4" s="1"/>
      <c r="Q4" s="1"/>
      <c r="R4" s="1"/>
      <c r="S4" s="1"/>
      <c r="T4" s="1"/>
      <c r="U4" s="1"/>
      <c r="V4" s="1"/>
      <c r="W4" s="46">
        <v>43496</v>
      </c>
      <c r="X4" s="8" t="s">
        <v>2585</v>
      </c>
      <c r="Y4" s="8" t="s">
        <v>2585</v>
      </c>
      <c r="Z4" s="8" t="s">
        <v>2585</v>
      </c>
      <c r="AA4" s="8" t="s">
        <v>2585</v>
      </c>
      <c r="AB4" s="47" t="s">
        <v>2585</v>
      </c>
      <c r="AC4" s="8" t="s">
        <v>2585</v>
      </c>
      <c r="AD4" s="8" t="s">
        <v>2585</v>
      </c>
      <c r="AE4" s="8" t="s">
        <v>2585</v>
      </c>
      <c r="AF4" s="8" t="s">
        <v>2585</v>
      </c>
      <c r="AG4" s="8" t="s">
        <v>2585</v>
      </c>
      <c r="AH4" s="45">
        <v>75</v>
      </c>
      <c r="AI4" s="8" t="s">
        <v>2585</v>
      </c>
      <c r="AJ4" s="8" t="s">
        <v>2585</v>
      </c>
      <c r="AK4" s="8">
        <v>0.45</v>
      </c>
      <c r="AL4" s="8">
        <v>6000</v>
      </c>
      <c r="AM4" s="8" t="s">
        <v>2585</v>
      </c>
      <c r="AN4" s="47" t="s">
        <v>2585</v>
      </c>
      <c r="AO4" s="8" t="s">
        <v>2585</v>
      </c>
      <c r="AP4" s="8" t="s">
        <v>2585</v>
      </c>
      <c r="AQ4" s="8" t="s">
        <v>2585</v>
      </c>
      <c r="AR4" s="8" t="s">
        <v>2585</v>
      </c>
      <c r="AS4" s="1"/>
      <c r="AT4" s="1"/>
      <c r="AU4" s="1"/>
      <c r="AV4" s="1"/>
      <c r="AW4" s="1"/>
      <c r="AX4" s="1"/>
      <c r="AY4" s="1"/>
      <c r="AZ4" s="1"/>
    </row>
    <row r="5" spans="1:52" x14ac:dyDescent="0.25">
      <c r="A5" s="1"/>
      <c r="B5" s="1"/>
      <c r="C5" s="1"/>
      <c r="D5" s="1"/>
      <c r="E5" s="1"/>
      <c r="F5" s="1"/>
      <c r="G5" s="1"/>
      <c r="H5" s="1"/>
      <c r="I5" s="1"/>
      <c r="J5" s="1"/>
      <c r="K5" s="1"/>
      <c r="L5" s="1"/>
      <c r="M5" s="1"/>
      <c r="N5" s="1"/>
      <c r="O5" s="1"/>
      <c r="P5" s="1"/>
      <c r="Q5" s="1"/>
      <c r="R5" s="1"/>
      <c r="S5" s="1"/>
      <c r="T5" s="1"/>
      <c r="U5" s="1"/>
      <c r="V5" s="1"/>
      <c r="W5" s="46">
        <v>43496</v>
      </c>
      <c r="X5" s="8" t="s">
        <v>2585</v>
      </c>
      <c r="Y5" s="8" t="s">
        <v>2585</v>
      </c>
      <c r="Z5" s="8" t="s">
        <v>2585</v>
      </c>
      <c r="AA5" s="8" t="s">
        <v>2585</v>
      </c>
      <c r="AB5" s="47" t="s">
        <v>2585</v>
      </c>
      <c r="AC5" s="8" t="s">
        <v>2585</v>
      </c>
      <c r="AD5" s="8" t="s">
        <v>2585</v>
      </c>
      <c r="AE5" s="8" t="s">
        <v>2585</v>
      </c>
      <c r="AF5" s="8" t="s">
        <v>2585</v>
      </c>
      <c r="AG5" s="8" t="s">
        <v>2585</v>
      </c>
      <c r="AH5" s="45">
        <v>77.5</v>
      </c>
      <c r="AI5" s="8" t="s">
        <v>2585</v>
      </c>
      <c r="AJ5" s="8" t="s">
        <v>2585</v>
      </c>
      <c r="AK5" s="8">
        <v>0.45</v>
      </c>
      <c r="AL5" s="8">
        <v>6000</v>
      </c>
      <c r="AM5" s="8" t="s">
        <v>2585</v>
      </c>
      <c r="AN5" s="47" t="s">
        <v>2585</v>
      </c>
      <c r="AO5" s="8" t="s">
        <v>2585</v>
      </c>
      <c r="AP5" s="8" t="s">
        <v>2585</v>
      </c>
      <c r="AQ5" s="8" t="s">
        <v>2585</v>
      </c>
      <c r="AR5" s="8" t="s">
        <v>2585</v>
      </c>
      <c r="AS5" s="1"/>
      <c r="AT5" s="1"/>
      <c r="AU5" s="1"/>
      <c r="AV5" s="1"/>
      <c r="AW5" s="1"/>
      <c r="AX5" s="1"/>
      <c r="AY5" s="1"/>
      <c r="AZ5" s="1"/>
    </row>
    <row r="6" spans="1:52" x14ac:dyDescent="0.25">
      <c r="A6" s="1"/>
      <c r="B6" s="1"/>
      <c r="C6" s="1"/>
      <c r="D6" s="1"/>
      <c r="E6" s="1"/>
      <c r="F6" s="1"/>
      <c r="G6" s="1"/>
      <c r="H6" s="1"/>
      <c r="I6" s="1"/>
      <c r="J6" s="1"/>
      <c r="K6" s="1"/>
      <c r="L6" s="1"/>
      <c r="M6" s="1"/>
      <c r="N6" s="1"/>
      <c r="O6" s="1"/>
      <c r="P6" s="1"/>
      <c r="Q6" s="1"/>
      <c r="R6" s="1"/>
      <c r="S6" s="1"/>
      <c r="T6" s="1"/>
      <c r="U6" s="1"/>
      <c r="V6" s="1"/>
      <c r="W6" s="46">
        <v>43496</v>
      </c>
      <c r="X6" s="8" t="s">
        <v>2585</v>
      </c>
      <c r="Y6" s="8" t="s">
        <v>2585</v>
      </c>
      <c r="Z6" s="8" t="s">
        <v>2585</v>
      </c>
      <c r="AA6" s="8" t="s">
        <v>2585</v>
      </c>
      <c r="AB6" s="47" t="s">
        <v>2585</v>
      </c>
      <c r="AC6" s="8" t="s">
        <v>2585</v>
      </c>
      <c r="AD6" s="8" t="s">
        <v>2585</v>
      </c>
      <c r="AE6" s="8" t="s">
        <v>2585</v>
      </c>
      <c r="AF6" s="8" t="s">
        <v>2585</v>
      </c>
      <c r="AG6" s="8" t="s">
        <v>2585</v>
      </c>
      <c r="AH6" s="45">
        <v>80</v>
      </c>
      <c r="AI6" s="8" t="s">
        <v>2585</v>
      </c>
      <c r="AJ6" s="8" t="s">
        <v>2585</v>
      </c>
      <c r="AK6" s="8">
        <v>0.1</v>
      </c>
      <c r="AL6" s="8">
        <v>6000</v>
      </c>
      <c r="AM6" s="8" t="s">
        <v>2585</v>
      </c>
      <c r="AN6" s="47">
        <v>0.2</v>
      </c>
      <c r="AO6" s="8" t="s">
        <v>2585</v>
      </c>
      <c r="AP6" s="8" t="s">
        <v>2585</v>
      </c>
      <c r="AQ6" s="8" t="s">
        <v>2585</v>
      </c>
      <c r="AR6" s="8">
        <v>6000</v>
      </c>
      <c r="AS6" s="1"/>
      <c r="AT6" s="1"/>
      <c r="AU6" s="1"/>
      <c r="AV6" s="1"/>
      <c r="AW6" s="1"/>
      <c r="AX6" s="1"/>
      <c r="AY6" s="1"/>
      <c r="AZ6" s="1"/>
    </row>
    <row r="7" spans="1:52" x14ac:dyDescent="0.25">
      <c r="A7" s="1"/>
      <c r="B7" s="1"/>
      <c r="C7" s="1"/>
      <c r="D7" s="41" t="s">
        <v>1857</v>
      </c>
      <c r="E7" s="40"/>
      <c r="F7" s="40"/>
      <c r="G7" s="40"/>
      <c r="H7" s="40"/>
      <c r="I7" s="40"/>
      <c r="J7" s="1"/>
      <c r="K7" s="1"/>
      <c r="L7" s="1"/>
      <c r="M7" s="1"/>
      <c r="N7" s="1"/>
      <c r="O7" s="1"/>
      <c r="P7" s="1"/>
      <c r="Q7" s="1"/>
      <c r="R7" s="1"/>
      <c r="S7" s="1"/>
      <c r="T7" s="1"/>
      <c r="U7" s="1"/>
      <c r="V7" s="1"/>
      <c r="W7" s="46">
        <v>43496</v>
      </c>
      <c r="X7" s="8" t="s">
        <v>2585</v>
      </c>
      <c r="Y7" s="8" t="s">
        <v>2585</v>
      </c>
      <c r="Z7" s="8" t="s">
        <v>2585</v>
      </c>
      <c r="AA7" s="8" t="s">
        <v>2585</v>
      </c>
      <c r="AB7" s="47" t="s">
        <v>2585</v>
      </c>
      <c r="AC7" s="8" t="s">
        <v>2585</v>
      </c>
      <c r="AD7" s="8" t="s">
        <v>2585</v>
      </c>
      <c r="AE7" s="8" t="s">
        <v>2585</v>
      </c>
      <c r="AF7" s="8" t="s">
        <v>2585</v>
      </c>
      <c r="AG7" s="8" t="s">
        <v>2585</v>
      </c>
      <c r="AH7" s="45">
        <v>82.5</v>
      </c>
      <c r="AI7" s="8" t="s">
        <v>2585</v>
      </c>
      <c r="AJ7" s="8" t="s">
        <v>2585</v>
      </c>
      <c r="AK7" s="8">
        <v>0.45</v>
      </c>
      <c r="AL7" s="8">
        <v>6000</v>
      </c>
      <c r="AM7" s="8" t="s">
        <v>2585</v>
      </c>
      <c r="AN7" s="47" t="s">
        <v>2585</v>
      </c>
      <c r="AO7" s="8" t="s">
        <v>2585</v>
      </c>
      <c r="AP7" s="8" t="s">
        <v>2585</v>
      </c>
      <c r="AQ7" s="8" t="s">
        <v>2585</v>
      </c>
      <c r="AR7" s="8" t="s">
        <v>2585</v>
      </c>
      <c r="AS7" s="1"/>
      <c r="AT7" s="1"/>
      <c r="AU7" s="1"/>
      <c r="AV7" s="1"/>
      <c r="AW7" s="1"/>
      <c r="AX7" s="1"/>
      <c r="AY7" s="1"/>
      <c r="AZ7" s="1"/>
    </row>
    <row r="8" spans="1:52" x14ac:dyDescent="0.25">
      <c r="A8" s="1"/>
      <c r="B8" s="1"/>
      <c r="C8" s="1"/>
      <c r="D8" s="40" t="s">
        <v>1848</v>
      </c>
      <c r="E8" s="40" t="s">
        <v>1849</v>
      </c>
      <c r="F8" s="40" t="s">
        <v>1850</v>
      </c>
      <c r="G8" s="40" t="s">
        <v>1851</v>
      </c>
      <c r="H8" s="40" t="s">
        <v>1852</v>
      </c>
      <c r="I8" s="40" t="s">
        <v>1855</v>
      </c>
      <c r="J8" s="1"/>
      <c r="K8" s="1"/>
      <c r="L8" s="1"/>
      <c r="M8" s="1"/>
      <c r="N8" s="1"/>
      <c r="O8" s="1"/>
      <c r="P8" s="1"/>
      <c r="Q8" s="1"/>
      <c r="R8" s="1"/>
      <c r="S8" s="1"/>
      <c r="T8" s="1"/>
      <c r="U8" s="1"/>
      <c r="V8" s="1"/>
      <c r="W8" s="46">
        <v>43496</v>
      </c>
      <c r="X8" s="8" t="s">
        <v>2585</v>
      </c>
      <c r="Y8" s="8" t="s">
        <v>2585</v>
      </c>
      <c r="Z8" s="8" t="s">
        <v>2585</v>
      </c>
      <c r="AA8" s="8" t="s">
        <v>2585</v>
      </c>
      <c r="AB8" s="47" t="s">
        <v>2585</v>
      </c>
      <c r="AC8" s="8" t="s">
        <v>2585</v>
      </c>
      <c r="AD8" s="8" t="s">
        <v>2585</v>
      </c>
      <c r="AE8" s="8" t="s">
        <v>2585</v>
      </c>
      <c r="AF8" s="8" t="s">
        <v>2585</v>
      </c>
      <c r="AG8" s="8" t="s">
        <v>2585</v>
      </c>
      <c r="AH8" s="45">
        <v>85</v>
      </c>
      <c r="AI8" s="8" t="s">
        <v>2585</v>
      </c>
      <c r="AJ8" s="8" t="s">
        <v>2585</v>
      </c>
      <c r="AK8" s="8">
        <v>0.05</v>
      </c>
      <c r="AL8" s="8">
        <v>6000</v>
      </c>
      <c r="AM8" s="8" t="s">
        <v>2585</v>
      </c>
      <c r="AN8" s="47">
        <v>0.15</v>
      </c>
      <c r="AO8" s="8" t="s">
        <v>2585</v>
      </c>
      <c r="AP8" s="8" t="s">
        <v>2585</v>
      </c>
      <c r="AQ8" s="8" t="s">
        <v>2585</v>
      </c>
      <c r="AR8" s="8">
        <v>6000</v>
      </c>
      <c r="AS8" s="1"/>
      <c r="AT8" s="1"/>
      <c r="AU8" s="1"/>
      <c r="AV8" s="1"/>
      <c r="AW8" s="1"/>
      <c r="AX8" s="1"/>
      <c r="AY8" s="1"/>
      <c r="AZ8" s="1"/>
    </row>
    <row r="9" spans="1:52" x14ac:dyDescent="0.25">
      <c r="A9" s="1"/>
      <c r="B9" s="1"/>
      <c r="C9" s="1"/>
      <c r="D9" s="35">
        <v>3.8049179674720754E-2</v>
      </c>
      <c r="E9" s="35">
        <v>0.16457549764612356</v>
      </c>
      <c r="F9" s="35">
        <v>0.16948655926118678</v>
      </c>
      <c r="G9" s="35">
        <v>7.9997856515031163E-2</v>
      </c>
      <c r="H9" s="35">
        <v>-0.2653093103042008</v>
      </c>
      <c r="I9" s="35">
        <v>5.9691315329807169E-2</v>
      </c>
      <c r="J9" s="1"/>
      <c r="K9" s="1"/>
      <c r="L9" s="1"/>
      <c r="M9" s="1"/>
      <c r="N9" s="1"/>
      <c r="O9" s="1"/>
      <c r="P9" s="1"/>
      <c r="Q9" s="1"/>
      <c r="R9" s="1"/>
      <c r="S9" s="1"/>
      <c r="T9" s="1"/>
      <c r="U9" s="1"/>
      <c r="V9" s="1"/>
      <c r="W9" s="46">
        <v>43496</v>
      </c>
      <c r="X9" s="8" t="s">
        <v>2585</v>
      </c>
      <c r="Y9" s="8" t="s">
        <v>2585</v>
      </c>
      <c r="Z9" s="8" t="s">
        <v>2585</v>
      </c>
      <c r="AA9" s="8" t="s">
        <v>2585</v>
      </c>
      <c r="AB9" s="47" t="s">
        <v>2585</v>
      </c>
      <c r="AC9" s="8" t="s">
        <v>2585</v>
      </c>
      <c r="AD9" s="8" t="s">
        <v>2585</v>
      </c>
      <c r="AE9" s="8" t="s">
        <v>2585</v>
      </c>
      <c r="AF9" s="8" t="s">
        <v>2585</v>
      </c>
      <c r="AG9" s="8" t="s">
        <v>2585</v>
      </c>
      <c r="AH9" s="45">
        <v>87.5</v>
      </c>
      <c r="AI9" s="8" t="s">
        <v>2585</v>
      </c>
      <c r="AJ9" s="8" t="s">
        <v>2585</v>
      </c>
      <c r="AK9" s="8">
        <v>0.3</v>
      </c>
      <c r="AL9" s="8">
        <v>6000</v>
      </c>
      <c r="AM9" s="8" t="s">
        <v>2585</v>
      </c>
      <c r="AN9" s="47" t="s">
        <v>2585</v>
      </c>
      <c r="AO9" s="8" t="s">
        <v>2585</v>
      </c>
      <c r="AP9" s="8" t="s">
        <v>2585</v>
      </c>
      <c r="AQ9" s="8" t="s">
        <v>2585</v>
      </c>
      <c r="AR9" s="8" t="s">
        <v>2585</v>
      </c>
      <c r="AS9" s="1"/>
      <c r="AT9" s="1"/>
      <c r="AU9" s="1"/>
      <c r="AV9" s="1"/>
      <c r="AW9" s="1"/>
      <c r="AX9" s="1"/>
      <c r="AY9" s="1"/>
      <c r="AZ9" s="1"/>
    </row>
    <row r="10" spans="1:52" x14ac:dyDescent="0.25">
      <c r="A10" s="1"/>
      <c r="B10" s="1"/>
      <c r="C10" s="1"/>
      <c r="D10" s="1"/>
      <c r="E10" s="1"/>
      <c r="F10" s="1"/>
      <c r="G10" s="1"/>
      <c r="H10" s="1"/>
      <c r="I10" s="1"/>
      <c r="J10" s="1"/>
      <c r="K10" s="1"/>
      <c r="L10" s="1"/>
      <c r="M10" s="1"/>
      <c r="N10" s="1"/>
      <c r="O10" s="1"/>
      <c r="P10" s="1"/>
      <c r="Q10" s="1"/>
      <c r="R10" s="1"/>
      <c r="S10" s="1"/>
      <c r="T10" s="1"/>
      <c r="U10" s="1"/>
      <c r="V10" s="1"/>
      <c r="W10" s="46">
        <v>43496</v>
      </c>
      <c r="X10" s="8">
        <v>6000</v>
      </c>
      <c r="Y10" s="8" t="s">
        <v>2585</v>
      </c>
      <c r="Z10" s="8" t="s">
        <v>2585</v>
      </c>
      <c r="AA10" s="8" t="s">
        <v>2585</v>
      </c>
      <c r="AB10" s="47">
        <v>19.25</v>
      </c>
      <c r="AC10" s="8" t="s">
        <v>2585</v>
      </c>
      <c r="AD10" s="8" t="s">
        <v>2585</v>
      </c>
      <c r="AE10" s="8" t="s">
        <v>2585</v>
      </c>
      <c r="AF10" s="8" t="s">
        <v>2585</v>
      </c>
      <c r="AG10" s="8" t="s">
        <v>2585</v>
      </c>
      <c r="AH10" s="45">
        <v>90</v>
      </c>
      <c r="AI10" s="8" t="s">
        <v>2585</v>
      </c>
      <c r="AJ10" s="8" t="s">
        <v>2585</v>
      </c>
      <c r="AK10" s="8">
        <v>0.1</v>
      </c>
      <c r="AL10" s="8">
        <v>18000</v>
      </c>
      <c r="AM10" s="8" t="s">
        <v>2585</v>
      </c>
      <c r="AN10" s="47">
        <v>0.05</v>
      </c>
      <c r="AO10" s="8" t="s">
        <v>2585</v>
      </c>
      <c r="AP10" s="8" t="s">
        <v>2585</v>
      </c>
      <c r="AQ10" s="8" t="s">
        <v>2585</v>
      </c>
      <c r="AR10" s="8">
        <v>42000</v>
      </c>
      <c r="AS10" s="1"/>
      <c r="AT10" s="1"/>
      <c r="AU10" s="1"/>
      <c r="AV10" s="1"/>
      <c r="AW10" s="1"/>
      <c r="AX10" s="1"/>
      <c r="AY10" s="1"/>
      <c r="AZ10" s="1"/>
    </row>
    <row r="11" spans="1:52" x14ac:dyDescent="0.25">
      <c r="A11" s="1"/>
      <c r="B11" s="1"/>
      <c r="C11" s="1"/>
      <c r="D11" s="1"/>
      <c r="E11" s="1"/>
      <c r="F11" s="1"/>
      <c r="G11" s="1"/>
      <c r="H11" s="1"/>
      <c r="I11" s="1"/>
      <c r="J11" s="1"/>
      <c r="K11" s="1"/>
      <c r="L11" s="1"/>
      <c r="M11" s="1"/>
      <c r="N11" s="1"/>
      <c r="O11" s="1"/>
      <c r="P11" s="1"/>
      <c r="Q11" s="1"/>
      <c r="R11" s="1"/>
      <c r="S11" s="1"/>
      <c r="T11" s="1"/>
      <c r="U11" s="1"/>
      <c r="V11" s="1"/>
      <c r="W11" s="46">
        <v>43496</v>
      </c>
      <c r="X11" s="8">
        <v>6000</v>
      </c>
      <c r="Y11" s="8" t="s">
        <v>2585</v>
      </c>
      <c r="Z11" s="8" t="s">
        <v>2585</v>
      </c>
      <c r="AA11" s="8" t="s">
        <v>2585</v>
      </c>
      <c r="AB11" s="47">
        <v>21.9</v>
      </c>
      <c r="AC11" s="8" t="s">
        <v>2585</v>
      </c>
      <c r="AD11" s="8" t="s">
        <v>2585</v>
      </c>
      <c r="AE11" s="8" t="s">
        <v>2585</v>
      </c>
      <c r="AF11" s="8" t="s">
        <v>2585</v>
      </c>
      <c r="AG11" s="8" t="s">
        <v>2585</v>
      </c>
      <c r="AH11" s="45">
        <v>92.5</v>
      </c>
      <c r="AI11" s="8">
        <v>12000</v>
      </c>
      <c r="AJ11" s="8">
        <v>0.05</v>
      </c>
      <c r="AK11" s="8">
        <v>0.1</v>
      </c>
      <c r="AL11" s="8">
        <v>12000</v>
      </c>
      <c r="AM11" s="8" t="s">
        <v>2585</v>
      </c>
      <c r="AN11" s="47">
        <v>0.05</v>
      </c>
      <c r="AO11" s="8" t="s">
        <v>2585</v>
      </c>
      <c r="AP11" s="8" t="s">
        <v>2585</v>
      </c>
      <c r="AQ11" s="8" t="s">
        <v>2585</v>
      </c>
      <c r="AR11" s="8">
        <v>12000</v>
      </c>
      <c r="AS11" s="1"/>
      <c r="AT11" s="1"/>
      <c r="AU11" s="1"/>
      <c r="AV11" s="1"/>
      <c r="AW11" s="1"/>
      <c r="AX11" s="1"/>
      <c r="AY11" s="1"/>
      <c r="AZ11" s="1"/>
    </row>
    <row r="12" spans="1:52" x14ac:dyDescent="0.25">
      <c r="A12" s="1"/>
      <c r="B12" s="1"/>
      <c r="C12" s="1"/>
      <c r="D12" s="1"/>
      <c r="E12" s="1"/>
      <c r="F12" s="1"/>
      <c r="G12" s="1"/>
      <c r="H12" s="1"/>
      <c r="I12" s="1"/>
      <c r="J12" s="1"/>
      <c r="K12" s="1"/>
      <c r="L12" s="1"/>
      <c r="M12" s="1"/>
      <c r="N12" s="1"/>
      <c r="O12" s="1"/>
      <c r="P12" s="1"/>
      <c r="Q12" s="1"/>
      <c r="R12" s="1"/>
      <c r="S12" s="1"/>
      <c r="T12" s="1"/>
      <c r="U12" s="1"/>
      <c r="V12" s="1"/>
      <c r="W12" s="46">
        <v>43496</v>
      </c>
      <c r="X12" s="8" t="s">
        <v>2585</v>
      </c>
      <c r="Y12" s="8" t="s">
        <v>2585</v>
      </c>
      <c r="Z12" s="8" t="s">
        <v>2585</v>
      </c>
      <c r="AA12" s="8" t="s">
        <v>2585</v>
      </c>
      <c r="AB12" s="47" t="s">
        <v>2585</v>
      </c>
      <c r="AC12" s="8" t="s">
        <v>2585</v>
      </c>
      <c r="AD12" s="8" t="s">
        <v>2585</v>
      </c>
      <c r="AE12" s="8" t="s">
        <v>2585</v>
      </c>
      <c r="AF12" s="8" t="s">
        <v>2585</v>
      </c>
      <c r="AG12" s="8" t="s">
        <v>2585</v>
      </c>
      <c r="AH12" s="45">
        <v>95</v>
      </c>
      <c r="AI12" s="8" t="s">
        <v>2585</v>
      </c>
      <c r="AJ12" s="8" t="s">
        <v>2585</v>
      </c>
      <c r="AK12" s="8">
        <v>0.05</v>
      </c>
      <c r="AL12" s="8">
        <v>12000</v>
      </c>
      <c r="AM12" s="8" t="s">
        <v>2585</v>
      </c>
      <c r="AN12" s="47">
        <v>0.15</v>
      </c>
      <c r="AO12" s="8" t="s">
        <v>2585</v>
      </c>
      <c r="AP12" s="8" t="s">
        <v>2585</v>
      </c>
      <c r="AQ12" s="8" t="s">
        <v>2585</v>
      </c>
      <c r="AR12" s="8">
        <v>72000</v>
      </c>
      <c r="AS12" s="1"/>
      <c r="AT12" s="1"/>
      <c r="AU12" s="1"/>
      <c r="AV12" s="1"/>
      <c r="AW12" s="1"/>
      <c r="AX12" s="1"/>
      <c r="AY12" s="1"/>
      <c r="AZ12" s="1"/>
    </row>
    <row r="13" spans="1:52" x14ac:dyDescent="0.25">
      <c r="A13" s="1"/>
      <c r="B13" s="1"/>
      <c r="C13" s="1"/>
      <c r="D13" s="41" t="s">
        <v>2546</v>
      </c>
      <c r="E13" s="41"/>
      <c r="F13" s="41"/>
      <c r="G13" s="41"/>
      <c r="H13" s="41"/>
      <c r="I13" s="41"/>
      <c r="J13" s="1"/>
      <c r="K13" s="1"/>
      <c r="L13" s="1"/>
      <c r="M13" s="1"/>
      <c r="N13" s="1"/>
      <c r="O13" s="1"/>
      <c r="P13" s="1"/>
      <c r="Q13" s="1"/>
      <c r="R13" s="1"/>
      <c r="S13" s="1"/>
      <c r="T13" s="1"/>
      <c r="U13" s="1"/>
      <c r="V13" s="1"/>
      <c r="W13" s="46">
        <v>43496</v>
      </c>
      <c r="X13" s="8" t="s">
        <v>2585</v>
      </c>
      <c r="Y13" s="8" t="s">
        <v>2585</v>
      </c>
      <c r="Z13" s="8" t="s">
        <v>2585</v>
      </c>
      <c r="AA13" s="8" t="s">
        <v>2585</v>
      </c>
      <c r="AB13" s="47" t="s">
        <v>2585</v>
      </c>
      <c r="AC13" s="8" t="s">
        <v>2585</v>
      </c>
      <c r="AD13" s="8" t="s">
        <v>2585</v>
      </c>
      <c r="AE13" s="8" t="s">
        <v>2585</v>
      </c>
      <c r="AF13" s="8" t="s">
        <v>2585</v>
      </c>
      <c r="AG13" s="8" t="s">
        <v>2585</v>
      </c>
      <c r="AH13" s="45">
        <v>97.5</v>
      </c>
      <c r="AI13" s="8" t="s">
        <v>2585</v>
      </c>
      <c r="AJ13" s="8" t="s">
        <v>2585</v>
      </c>
      <c r="AK13" s="8">
        <v>0.1</v>
      </c>
      <c r="AL13" s="8">
        <v>6000</v>
      </c>
      <c r="AM13" s="8" t="s">
        <v>2585</v>
      </c>
      <c r="AN13" s="47">
        <v>0.25</v>
      </c>
      <c r="AO13" s="8" t="s">
        <v>2585</v>
      </c>
      <c r="AP13" s="8" t="s">
        <v>2585</v>
      </c>
      <c r="AQ13" s="8" t="s">
        <v>2585</v>
      </c>
      <c r="AR13" s="8">
        <v>12000</v>
      </c>
      <c r="AS13" s="1"/>
      <c r="AT13" s="1"/>
      <c r="AU13" s="1"/>
      <c r="AV13" s="1"/>
      <c r="AW13" s="1"/>
      <c r="AX13" s="1"/>
      <c r="AY13" s="1"/>
      <c r="AZ13" s="1"/>
    </row>
    <row r="14" spans="1:52" x14ac:dyDescent="0.25">
      <c r="A14" s="1"/>
      <c r="B14" s="1"/>
      <c r="C14" s="1"/>
      <c r="D14" s="40" t="s">
        <v>57</v>
      </c>
      <c r="E14" s="40" t="s">
        <v>2548</v>
      </c>
      <c r="F14" s="40" t="s">
        <v>2552</v>
      </c>
      <c r="G14" s="40" t="s">
        <v>2549</v>
      </c>
      <c r="H14" s="40" t="s">
        <v>2550</v>
      </c>
      <c r="I14" s="40" t="s">
        <v>2551</v>
      </c>
      <c r="J14" s="1"/>
      <c r="K14" s="1"/>
      <c r="L14" s="1"/>
      <c r="M14" s="1"/>
      <c r="N14" s="1"/>
      <c r="O14" s="1"/>
      <c r="P14" s="1"/>
      <c r="Q14" s="1"/>
      <c r="R14" s="1"/>
      <c r="S14" s="1"/>
      <c r="T14" s="1"/>
      <c r="U14" s="1"/>
      <c r="V14" s="1"/>
      <c r="W14" s="46">
        <v>43496</v>
      </c>
      <c r="X14" s="8">
        <v>108000</v>
      </c>
      <c r="Y14" s="8">
        <v>-6000</v>
      </c>
      <c r="Z14" s="8">
        <v>2</v>
      </c>
      <c r="AA14" s="8" t="s">
        <v>2585</v>
      </c>
      <c r="AB14" s="47">
        <v>26</v>
      </c>
      <c r="AC14" s="8">
        <v>1</v>
      </c>
      <c r="AD14" s="8">
        <v>42000</v>
      </c>
      <c r="AE14" s="8">
        <v>25.35</v>
      </c>
      <c r="AF14" s="8">
        <v>26.65</v>
      </c>
      <c r="AG14" s="8">
        <v>42000</v>
      </c>
      <c r="AH14" s="45">
        <v>100</v>
      </c>
      <c r="AI14" s="8">
        <v>210000</v>
      </c>
      <c r="AJ14" s="8">
        <v>0.05</v>
      </c>
      <c r="AK14" s="8">
        <v>0.1</v>
      </c>
      <c r="AL14" s="8">
        <v>18000</v>
      </c>
      <c r="AM14" s="8" t="s">
        <v>2585</v>
      </c>
      <c r="AN14" s="47">
        <v>0.1</v>
      </c>
      <c r="AO14" s="8">
        <v>55.27</v>
      </c>
      <c r="AP14" s="8">
        <v>3</v>
      </c>
      <c r="AQ14" s="8" t="s">
        <v>2585</v>
      </c>
      <c r="AR14" s="8">
        <v>570000</v>
      </c>
      <c r="AS14" s="1"/>
      <c r="AT14" s="1"/>
      <c r="AU14" s="1"/>
      <c r="AV14" s="1"/>
      <c r="AW14" s="1"/>
      <c r="AX14" s="1"/>
      <c r="AY14" s="1"/>
      <c r="AZ14" s="1"/>
    </row>
    <row r="15" spans="1:52" x14ac:dyDescent="0.25">
      <c r="A15" s="1"/>
      <c r="B15" s="1"/>
      <c r="C15" s="1"/>
      <c r="D15" s="10">
        <v>1.3456526627730527</v>
      </c>
      <c r="E15" s="35">
        <v>0.42243735894684203</v>
      </c>
      <c r="F15" s="35">
        <v>4.4083519359598269E-2</v>
      </c>
      <c r="G15" s="10">
        <v>-0.85920662868462183</v>
      </c>
      <c r="H15" s="10">
        <v>-21.493135077315245</v>
      </c>
      <c r="I15" s="10">
        <v>-0.26972857785097382</v>
      </c>
      <c r="J15" s="1"/>
      <c r="K15" s="1"/>
      <c r="L15" s="1"/>
      <c r="M15" s="1"/>
      <c r="N15" s="1"/>
      <c r="O15" s="1"/>
      <c r="P15" s="1"/>
      <c r="Q15" s="1"/>
      <c r="R15" s="1"/>
      <c r="S15" s="1"/>
      <c r="T15" s="1"/>
      <c r="U15" s="1"/>
      <c r="V15" s="1"/>
      <c r="W15" s="46">
        <v>43496</v>
      </c>
      <c r="X15" s="8" t="s">
        <v>2585</v>
      </c>
      <c r="Y15" s="8" t="s">
        <v>2585</v>
      </c>
      <c r="Z15" s="8" t="s">
        <v>2585</v>
      </c>
      <c r="AA15" s="8" t="s">
        <v>2585</v>
      </c>
      <c r="AB15" s="47" t="s">
        <v>2585</v>
      </c>
      <c r="AC15" s="8" t="s">
        <v>2585</v>
      </c>
      <c r="AD15" s="8">
        <v>30000</v>
      </c>
      <c r="AE15" s="8">
        <v>16.399999999999999</v>
      </c>
      <c r="AF15" s="8">
        <v>36.200000000000003</v>
      </c>
      <c r="AG15" s="8">
        <v>6000</v>
      </c>
      <c r="AH15" s="45">
        <v>102.5</v>
      </c>
      <c r="AI15" s="8">
        <v>90000</v>
      </c>
      <c r="AJ15" s="8">
        <v>0.05</v>
      </c>
      <c r="AK15" s="8">
        <v>0.1</v>
      </c>
      <c r="AL15" s="8">
        <v>30000</v>
      </c>
      <c r="AM15" s="8" t="s">
        <v>2585</v>
      </c>
      <c r="AN15" s="47">
        <v>0.15</v>
      </c>
      <c r="AO15" s="8" t="s">
        <v>2585</v>
      </c>
      <c r="AP15" s="8" t="s">
        <v>2585</v>
      </c>
      <c r="AQ15" s="8" t="s">
        <v>2585</v>
      </c>
      <c r="AR15" s="8">
        <v>72000</v>
      </c>
      <c r="AS15" s="1"/>
      <c r="AT15" s="1"/>
      <c r="AU15" s="1"/>
      <c r="AV15" s="1"/>
      <c r="AW15" s="1"/>
      <c r="AX15" s="1"/>
      <c r="AY15" s="1"/>
      <c r="AZ15" s="1"/>
    </row>
    <row r="16" spans="1:52" x14ac:dyDescent="0.25">
      <c r="A16" s="1"/>
      <c r="B16" s="1"/>
      <c r="C16" s="1"/>
      <c r="D16" s="27"/>
      <c r="E16" s="38"/>
      <c r="F16" s="38"/>
      <c r="G16" s="38"/>
      <c r="H16" s="38"/>
      <c r="I16" s="38"/>
      <c r="J16" s="38"/>
      <c r="K16" s="1"/>
      <c r="L16" s="1"/>
      <c r="M16" s="1"/>
      <c r="N16" s="1"/>
      <c r="O16" s="1"/>
      <c r="P16" s="1"/>
      <c r="Q16" s="1"/>
      <c r="R16" s="1"/>
      <c r="S16" s="1"/>
      <c r="T16" s="1"/>
      <c r="U16" s="1"/>
      <c r="V16" s="1"/>
      <c r="W16" s="46">
        <v>43496</v>
      </c>
      <c r="X16" s="8">
        <v>12000</v>
      </c>
      <c r="Y16" s="8" t="s">
        <v>2585</v>
      </c>
      <c r="Z16" s="8" t="s">
        <v>2585</v>
      </c>
      <c r="AA16" s="8" t="s">
        <v>2585</v>
      </c>
      <c r="AB16" s="47">
        <v>18</v>
      </c>
      <c r="AC16" s="8" t="s">
        <v>2585</v>
      </c>
      <c r="AD16" s="8">
        <v>30000</v>
      </c>
      <c r="AE16" s="8">
        <v>17.100000000000001</v>
      </c>
      <c r="AF16" s="8">
        <v>33.549999999999997</v>
      </c>
      <c r="AG16" s="8">
        <v>6000</v>
      </c>
      <c r="AH16" s="45">
        <v>105</v>
      </c>
      <c r="AI16" s="8">
        <v>18000</v>
      </c>
      <c r="AJ16" s="8">
        <v>0.1</v>
      </c>
      <c r="AK16" s="8">
        <v>0.15</v>
      </c>
      <c r="AL16" s="8">
        <v>48000</v>
      </c>
      <c r="AM16" s="8" t="s">
        <v>2585</v>
      </c>
      <c r="AN16" s="47">
        <v>0.15</v>
      </c>
      <c r="AO16" s="8">
        <v>48.46</v>
      </c>
      <c r="AP16" s="8">
        <v>7</v>
      </c>
      <c r="AQ16" s="8">
        <v>-42000</v>
      </c>
      <c r="AR16" s="8">
        <v>294000</v>
      </c>
      <c r="AS16" s="1"/>
      <c r="AT16" s="1"/>
      <c r="AU16" s="1"/>
      <c r="AV16" s="1"/>
      <c r="AW16" s="1"/>
      <c r="AX16" s="1"/>
      <c r="AY16" s="1"/>
      <c r="AZ16" s="1"/>
    </row>
    <row r="17" spans="1:52" x14ac:dyDescent="0.25">
      <c r="A17" s="1"/>
      <c r="B17" s="1"/>
      <c r="C17" s="1"/>
      <c r="D17" s="41" t="s">
        <v>2547</v>
      </c>
      <c r="E17" s="41"/>
      <c r="F17" s="41"/>
      <c r="G17" s="41"/>
      <c r="H17" s="41"/>
      <c r="I17" s="41"/>
      <c r="J17" s="41"/>
      <c r="K17" s="1"/>
      <c r="L17" s="1"/>
      <c r="M17" s="1"/>
      <c r="N17" s="1"/>
      <c r="O17" s="1"/>
      <c r="P17" s="1"/>
      <c r="Q17" s="1"/>
      <c r="R17" s="1"/>
      <c r="S17" s="1"/>
      <c r="T17" s="1"/>
      <c r="U17" s="1"/>
      <c r="V17" s="1"/>
      <c r="W17" s="46">
        <v>43496</v>
      </c>
      <c r="X17" s="8">
        <v>54000</v>
      </c>
      <c r="Y17" s="8" t="s">
        <v>2585</v>
      </c>
      <c r="Z17" s="8" t="s">
        <v>2585</v>
      </c>
      <c r="AA17" s="8" t="s">
        <v>2585</v>
      </c>
      <c r="AB17" s="47">
        <v>6.3</v>
      </c>
      <c r="AC17" s="8" t="s">
        <v>2585</v>
      </c>
      <c r="AD17" s="8">
        <v>24000</v>
      </c>
      <c r="AE17" s="8">
        <v>17.850000000000001</v>
      </c>
      <c r="AF17" s="8">
        <v>19.350000000000001</v>
      </c>
      <c r="AG17" s="8">
        <v>66000</v>
      </c>
      <c r="AH17" s="45">
        <v>107.5</v>
      </c>
      <c r="AI17" s="8">
        <v>6000</v>
      </c>
      <c r="AJ17" s="8">
        <v>0.15</v>
      </c>
      <c r="AK17" s="8">
        <v>0.25</v>
      </c>
      <c r="AL17" s="8">
        <v>36000</v>
      </c>
      <c r="AM17" s="8" t="s">
        <v>2585</v>
      </c>
      <c r="AN17" s="47">
        <v>0.3</v>
      </c>
      <c r="AO17" s="8" t="s">
        <v>2585</v>
      </c>
      <c r="AP17" s="8" t="s">
        <v>2585</v>
      </c>
      <c r="AQ17" s="8" t="s">
        <v>2585</v>
      </c>
      <c r="AR17" s="8">
        <v>78000</v>
      </c>
      <c r="AS17" s="1"/>
      <c r="AT17" s="1"/>
      <c r="AU17" s="1"/>
      <c r="AV17" s="1"/>
      <c r="AW17" s="1"/>
      <c r="AX17" s="1"/>
      <c r="AY17" s="1"/>
      <c r="AZ17" s="1"/>
    </row>
    <row r="18" spans="1:52" x14ac:dyDescent="0.25">
      <c r="A18" s="1"/>
      <c r="B18" s="1"/>
      <c r="C18" s="1"/>
      <c r="D18" s="27"/>
      <c r="E18" s="54"/>
      <c r="F18" s="54"/>
      <c r="G18" s="54"/>
      <c r="H18" s="54"/>
      <c r="I18" s="54"/>
      <c r="J18" s="38"/>
      <c r="K18" s="1"/>
      <c r="L18" s="1"/>
      <c r="M18" s="1"/>
      <c r="N18" s="1"/>
      <c r="O18" s="1"/>
      <c r="P18" s="1"/>
      <c r="Q18" s="1"/>
      <c r="R18" s="1"/>
      <c r="S18" s="1"/>
      <c r="T18" s="1"/>
      <c r="U18" s="1"/>
      <c r="V18" s="1"/>
      <c r="W18" s="46">
        <v>43496</v>
      </c>
      <c r="X18" s="8">
        <v>204000</v>
      </c>
      <c r="Y18" s="8">
        <v>-18000</v>
      </c>
      <c r="Z18" s="8">
        <v>3</v>
      </c>
      <c r="AA18" s="8">
        <v>27.93</v>
      </c>
      <c r="AB18" s="47">
        <v>16.5</v>
      </c>
      <c r="AC18" s="8">
        <v>1.4</v>
      </c>
      <c r="AD18" s="8">
        <v>12000</v>
      </c>
      <c r="AE18" s="8">
        <v>15.85</v>
      </c>
      <c r="AF18" s="8">
        <v>16.649999999999999</v>
      </c>
      <c r="AG18" s="8">
        <v>30000</v>
      </c>
      <c r="AH18" s="45">
        <v>110</v>
      </c>
      <c r="AI18" s="8">
        <v>558000</v>
      </c>
      <c r="AJ18" s="8">
        <v>0.15</v>
      </c>
      <c r="AK18" s="8">
        <v>0.25</v>
      </c>
      <c r="AL18" s="8">
        <v>120000</v>
      </c>
      <c r="AM18" s="8">
        <v>-0.1</v>
      </c>
      <c r="AN18" s="47">
        <v>0.2</v>
      </c>
      <c r="AO18" s="8">
        <v>40.35</v>
      </c>
      <c r="AP18" s="8">
        <v>55</v>
      </c>
      <c r="AQ18" s="8">
        <v>66000</v>
      </c>
      <c r="AR18" s="8">
        <v>846000</v>
      </c>
      <c r="AS18" s="1"/>
      <c r="AT18" s="1"/>
      <c r="AU18" s="1"/>
      <c r="AV18" s="1"/>
      <c r="AW18" s="1"/>
      <c r="AX18" s="1"/>
      <c r="AY18" s="1"/>
      <c r="AZ18" s="1"/>
    </row>
    <row r="19" spans="1:52" x14ac:dyDescent="0.25">
      <c r="A19" s="1"/>
      <c r="B19" s="1"/>
      <c r="C19" s="1"/>
      <c r="D19" s="27"/>
      <c r="E19" s="54">
        <v>43189</v>
      </c>
      <c r="F19" s="54">
        <v>42824</v>
      </c>
      <c r="G19" s="54">
        <v>42459</v>
      </c>
      <c r="H19" s="54">
        <v>42093</v>
      </c>
      <c r="I19" s="54">
        <v>41728</v>
      </c>
      <c r="J19" s="42"/>
      <c r="K19" s="1"/>
      <c r="L19" s="1"/>
      <c r="M19" s="1"/>
      <c r="N19" s="1"/>
      <c r="O19" s="1"/>
      <c r="P19" s="1"/>
      <c r="Q19" s="1"/>
      <c r="R19" s="1"/>
      <c r="S19" s="1"/>
      <c r="T19" s="1"/>
      <c r="U19" s="1"/>
      <c r="V19" s="1"/>
      <c r="W19" s="46">
        <v>43496</v>
      </c>
      <c r="X19" s="8">
        <v>48000</v>
      </c>
      <c r="Y19" s="8">
        <v>6000</v>
      </c>
      <c r="Z19" s="8">
        <v>1</v>
      </c>
      <c r="AA19" s="8" t="s">
        <v>2585</v>
      </c>
      <c r="AB19" s="47">
        <v>13.15</v>
      </c>
      <c r="AC19" s="8">
        <v>2.7</v>
      </c>
      <c r="AD19" s="8">
        <v>30000</v>
      </c>
      <c r="AE19" s="8">
        <v>13.2</v>
      </c>
      <c r="AF19" s="8">
        <v>25.45</v>
      </c>
      <c r="AG19" s="8">
        <v>6000</v>
      </c>
      <c r="AH19" s="45">
        <v>112.5</v>
      </c>
      <c r="AI19" s="8">
        <v>126000</v>
      </c>
      <c r="AJ19" s="8">
        <v>0.2</v>
      </c>
      <c r="AK19" s="8">
        <v>0.3</v>
      </c>
      <c r="AL19" s="8">
        <v>60000</v>
      </c>
      <c r="AM19" s="8">
        <v>-0.25</v>
      </c>
      <c r="AN19" s="47">
        <v>0.3</v>
      </c>
      <c r="AO19" s="8">
        <v>38.299999999999997</v>
      </c>
      <c r="AP19" s="8">
        <v>8</v>
      </c>
      <c r="AQ19" s="8">
        <v>6000</v>
      </c>
      <c r="AR19" s="8">
        <v>168000</v>
      </c>
      <c r="AS19" s="1"/>
      <c r="AT19" s="1"/>
      <c r="AU19" s="1"/>
      <c r="AV19" s="1"/>
      <c r="AW19" s="1"/>
      <c r="AX19" s="1"/>
      <c r="AY19" s="1"/>
      <c r="AZ19" s="1"/>
    </row>
    <row r="20" spans="1:52" x14ac:dyDescent="0.25">
      <c r="A20" s="1"/>
      <c r="B20" s="1"/>
      <c r="C20" s="1"/>
      <c r="D20" s="27" t="s">
        <v>2553</v>
      </c>
      <c r="E20" s="38">
        <v>23.53</v>
      </c>
      <c r="F20" s="38">
        <v>31.63</v>
      </c>
      <c r="G20" s="38">
        <v>56.99</v>
      </c>
      <c r="H20" s="38">
        <v>53.27</v>
      </c>
      <c r="I20" s="38">
        <v>47.43</v>
      </c>
      <c r="J20" s="42"/>
      <c r="K20" s="1"/>
      <c r="L20" s="1"/>
      <c r="M20" s="1"/>
      <c r="N20" s="1"/>
      <c r="O20" s="1"/>
      <c r="P20" s="1"/>
      <c r="Q20" s="1"/>
      <c r="R20" s="1"/>
      <c r="S20" s="1"/>
      <c r="T20" s="1"/>
      <c r="U20" s="1"/>
      <c r="V20" s="1"/>
      <c r="W20" s="46">
        <v>43496</v>
      </c>
      <c r="X20" s="8">
        <v>258000</v>
      </c>
      <c r="Y20" s="8">
        <v>-36000</v>
      </c>
      <c r="Z20" s="8">
        <v>10</v>
      </c>
      <c r="AA20" s="8" t="s">
        <v>2585</v>
      </c>
      <c r="AB20" s="47">
        <v>11.4</v>
      </c>
      <c r="AC20" s="8">
        <v>1.4</v>
      </c>
      <c r="AD20" s="8">
        <v>6000</v>
      </c>
      <c r="AE20" s="8">
        <v>11.05</v>
      </c>
      <c r="AF20" s="8">
        <v>11.7</v>
      </c>
      <c r="AG20" s="8">
        <v>6000</v>
      </c>
      <c r="AH20" s="45">
        <v>115</v>
      </c>
      <c r="AI20" s="8">
        <v>204000</v>
      </c>
      <c r="AJ20" s="8">
        <v>0.35</v>
      </c>
      <c r="AK20" s="8">
        <v>0.45</v>
      </c>
      <c r="AL20" s="8">
        <v>78000</v>
      </c>
      <c r="AM20" s="8">
        <v>-0.3</v>
      </c>
      <c r="AN20" s="47">
        <v>0.4</v>
      </c>
      <c r="AO20" s="8">
        <v>35.11</v>
      </c>
      <c r="AP20" s="8">
        <v>53</v>
      </c>
      <c r="AQ20" s="8">
        <v>6000</v>
      </c>
      <c r="AR20" s="8">
        <v>1068000</v>
      </c>
      <c r="AS20" s="1"/>
      <c r="AT20" s="1"/>
      <c r="AU20" s="1"/>
      <c r="AV20" s="1"/>
      <c r="AW20" s="1"/>
      <c r="AX20" s="1"/>
      <c r="AY20" s="1"/>
      <c r="AZ20" s="1"/>
    </row>
    <row r="21" spans="1:52" x14ac:dyDescent="0.25">
      <c r="A21" s="1"/>
      <c r="B21" s="1"/>
      <c r="C21" s="1"/>
      <c r="D21" s="27" t="s">
        <v>2554</v>
      </c>
      <c r="E21" s="38">
        <v>179.71</v>
      </c>
      <c r="F21" s="38">
        <v>168.74</v>
      </c>
      <c r="G21" s="38">
        <v>289.81</v>
      </c>
      <c r="H21" s="38">
        <v>251.73</v>
      </c>
      <c r="I21" s="38">
        <v>209.32</v>
      </c>
      <c r="J21" s="42"/>
      <c r="K21" s="1"/>
      <c r="L21" s="1"/>
      <c r="M21" s="1"/>
      <c r="N21" s="1"/>
      <c r="O21" s="1"/>
      <c r="P21" s="1"/>
      <c r="Q21" s="1"/>
      <c r="R21" s="1"/>
      <c r="S21" s="1"/>
      <c r="T21" s="1"/>
      <c r="U21" s="1"/>
      <c r="V21" s="1"/>
      <c r="W21" s="46">
        <v>43496</v>
      </c>
      <c r="X21" s="8">
        <v>126000</v>
      </c>
      <c r="Y21" s="8" t="s">
        <v>2585</v>
      </c>
      <c r="Z21" s="8" t="s">
        <v>2585</v>
      </c>
      <c r="AA21" s="8" t="s">
        <v>2585</v>
      </c>
      <c r="AB21" s="47">
        <v>7.5</v>
      </c>
      <c r="AC21" s="8" t="s">
        <v>2585</v>
      </c>
      <c r="AD21" s="8">
        <v>6000</v>
      </c>
      <c r="AE21" s="8">
        <v>8.85</v>
      </c>
      <c r="AF21" s="8">
        <v>9.6</v>
      </c>
      <c r="AG21" s="8">
        <v>30000</v>
      </c>
      <c r="AH21" s="45">
        <v>117.5</v>
      </c>
      <c r="AI21" s="8">
        <v>60000</v>
      </c>
      <c r="AJ21" s="8">
        <v>0.6</v>
      </c>
      <c r="AK21" s="8">
        <v>0.7</v>
      </c>
      <c r="AL21" s="8">
        <v>42000</v>
      </c>
      <c r="AM21" s="8">
        <v>-0.45</v>
      </c>
      <c r="AN21" s="47">
        <v>0.6</v>
      </c>
      <c r="AO21" s="8">
        <v>32.909999999999997</v>
      </c>
      <c r="AP21" s="8">
        <v>33</v>
      </c>
      <c r="AQ21" s="8">
        <v>-54000</v>
      </c>
      <c r="AR21" s="8">
        <v>288000</v>
      </c>
      <c r="AS21" s="1"/>
      <c r="AT21" s="1"/>
      <c r="AU21" s="1"/>
      <c r="AV21" s="1"/>
      <c r="AW21" s="1"/>
      <c r="AX21" s="1"/>
      <c r="AY21" s="1"/>
      <c r="AZ21" s="1"/>
    </row>
    <row r="22" spans="1:52" x14ac:dyDescent="0.25">
      <c r="A22" s="1"/>
      <c r="B22" s="1"/>
      <c r="C22" s="1"/>
      <c r="D22" s="27" t="s">
        <v>2555</v>
      </c>
      <c r="E22" s="38">
        <v>179.71</v>
      </c>
      <c r="F22" s="38">
        <v>168.74</v>
      </c>
      <c r="G22" s="38">
        <v>289.81</v>
      </c>
      <c r="H22" s="38">
        <v>251.73</v>
      </c>
      <c r="I22" s="38">
        <v>209.32</v>
      </c>
      <c r="J22" s="42"/>
      <c r="K22" s="1"/>
      <c r="L22" s="1"/>
      <c r="M22" s="1"/>
      <c r="N22" s="1"/>
      <c r="O22" s="1"/>
      <c r="P22" s="1"/>
      <c r="Q22" s="1"/>
      <c r="R22" s="1"/>
      <c r="S22" s="1"/>
      <c r="T22" s="1"/>
      <c r="U22" s="1"/>
      <c r="V22" s="1"/>
      <c r="W22" s="46">
        <v>43496</v>
      </c>
      <c r="X22" s="8">
        <v>1674000</v>
      </c>
      <c r="Y22" s="8">
        <v>-42000</v>
      </c>
      <c r="Z22" s="8">
        <v>54</v>
      </c>
      <c r="AA22" s="8">
        <v>25.1</v>
      </c>
      <c r="AB22" s="47">
        <v>7.05</v>
      </c>
      <c r="AC22" s="8">
        <v>1.05</v>
      </c>
      <c r="AD22" s="8">
        <v>6000</v>
      </c>
      <c r="AE22" s="8">
        <v>7.05</v>
      </c>
      <c r="AF22" s="8">
        <v>7.3</v>
      </c>
      <c r="AG22" s="8">
        <v>18000</v>
      </c>
      <c r="AH22" s="45">
        <v>120</v>
      </c>
      <c r="AI22" s="8">
        <v>30000</v>
      </c>
      <c r="AJ22" s="8">
        <v>1.05</v>
      </c>
      <c r="AK22" s="8">
        <v>1.1499999999999999</v>
      </c>
      <c r="AL22" s="8">
        <v>78000</v>
      </c>
      <c r="AM22" s="8">
        <v>-0.55000000000000004</v>
      </c>
      <c r="AN22" s="47">
        <v>1.1000000000000001</v>
      </c>
      <c r="AO22" s="8">
        <v>33.340000000000003</v>
      </c>
      <c r="AP22" s="8">
        <v>162</v>
      </c>
      <c r="AQ22" s="8">
        <v>228000</v>
      </c>
      <c r="AR22" s="8">
        <v>1602000</v>
      </c>
      <c r="AS22" s="1"/>
      <c r="AT22" s="1"/>
      <c r="AU22" s="1"/>
      <c r="AV22" s="1"/>
      <c r="AW22" s="1"/>
      <c r="AX22" s="1"/>
      <c r="AY22" s="1"/>
      <c r="AZ22" s="1"/>
    </row>
    <row r="23" spans="1:52" x14ac:dyDescent="0.25">
      <c r="A23" s="1"/>
      <c r="B23" s="1"/>
      <c r="C23" s="1"/>
      <c r="D23" s="27" t="s">
        <v>2556</v>
      </c>
      <c r="E23" s="38">
        <v>0</v>
      </c>
      <c r="F23" s="38">
        <v>77.89</v>
      </c>
      <c r="G23" s="38">
        <v>70.03</v>
      </c>
      <c r="H23" s="38">
        <v>79.94</v>
      </c>
      <c r="I23" s="38">
        <v>79.989999999999995</v>
      </c>
      <c r="J23" s="42"/>
      <c r="K23" s="1"/>
      <c r="L23" s="1"/>
      <c r="M23" s="1"/>
      <c r="N23" s="1"/>
      <c r="O23" s="1"/>
      <c r="P23" s="1"/>
      <c r="Q23" s="1"/>
      <c r="R23" s="1"/>
      <c r="S23" s="1"/>
      <c r="T23" s="1"/>
      <c r="U23" s="1"/>
      <c r="V23" s="1"/>
      <c r="W23" s="46">
        <v>43496</v>
      </c>
      <c r="X23" s="8">
        <v>186000</v>
      </c>
      <c r="Y23" s="8">
        <v>-6000</v>
      </c>
      <c r="Z23" s="8">
        <v>6</v>
      </c>
      <c r="AA23" s="8">
        <v>28.53</v>
      </c>
      <c r="AB23" s="47">
        <v>5.2</v>
      </c>
      <c r="AC23" s="8">
        <v>0.75</v>
      </c>
      <c r="AD23" s="8">
        <v>6000</v>
      </c>
      <c r="AE23" s="8">
        <v>5.0999999999999996</v>
      </c>
      <c r="AF23" s="8">
        <v>5.65</v>
      </c>
      <c r="AG23" s="8">
        <v>54000</v>
      </c>
      <c r="AH23" s="45">
        <v>122.5</v>
      </c>
      <c r="AI23" s="8">
        <v>24000</v>
      </c>
      <c r="AJ23" s="8">
        <v>1.65</v>
      </c>
      <c r="AK23" s="8">
        <v>1.75</v>
      </c>
      <c r="AL23" s="8">
        <v>12000</v>
      </c>
      <c r="AM23" s="8">
        <v>-0.8</v>
      </c>
      <c r="AN23" s="47">
        <v>1.7</v>
      </c>
      <c r="AO23" s="8">
        <v>31.69</v>
      </c>
      <c r="AP23" s="8">
        <v>35</v>
      </c>
      <c r="AQ23" s="8">
        <v>-12000</v>
      </c>
      <c r="AR23" s="8">
        <v>360000</v>
      </c>
      <c r="AS23" s="1"/>
      <c r="AT23" s="1"/>
      <c r="AU23" s="1"/>
      <c r="AV23" s="1"/>
      <c r="AW23" s="1"/>
      <c r="AX23" s="1"/>
      <c r="AY23" s="1"/>
      <c r="AZ23" s="1"/>
    </row>
    <row r="24" spans="1:52" x14ac:dyDescent="0.25">
      <c r="A24" s="1"/>
      <c r="B24" s="1"/>
      <c r="C24" s="1"/>
      <c r="D24" s="27" t="s">
        <v>2557</v>
      </c>
      <c r="E24" s="38">
        <v>23.56</v>
      </c>
      <c r="F24" s="38">
        <v>31.65</v>
      </c>
      <c r="G24" s="38">
        <v>57.05</v>
      </c>
      <c r="H24" s="38">
        <v>53.34</v>
      </c>
      <c r="I24" s="38">
        <v>47.47</v>
      </c>
      <c r="J24" s="42"/>
      <c r="K24" s="1"/>
      <c r="L24" s="1"/>
      <c r="M24" s="1"/>
      <c r="N24" s="1"/>
      <c r="O24" s="1"/>
      <c r="P24" s="1"/>
      <c r="Q24" s="1"/>
      <c r="R24" s="1"/>
      <c r="S24" s="1"/>
      <c r="T24" s="1"/>
      <c r="U24" s="1"/>
      <c r="V24" s="1"/>
      <c r="W24" s="46">
        <v>43496</v>
      </c>
      <c r="X24" s="8">
        <v>1554000</v>
      </c>
      <c r="Y24" s="8">
        <v>-246000</v>
      </c>
      <c r="Z24" s="8">
        <v>313</v>
      </c>
      <c r="AA24" s="8">
        <v>26.86</v>
      </c>
      <c r="AB24" s="47">
        <v>3.7</v>
      </c>
      <c r="AC24" s="8">
        <v>0.55000000000000004</v>
      </c>
      <c r="AD24" s="8">
        <v>18000</v>
      </c>
      <c r="AE24" s="8">
        <v>3.6</v>
      </c>
      <c r="AF24" s="8">
        <v>3.65</v>
      </c>
      <c r="AG24" s="8">
        <v>18000</v>
      </c>
      <c r="AH24" s="45">
        <v>125</v>
      </c>
      <c r="AI24" s="8">
        <v>18000</v>
      </c>
      <c r="AJ24" s="8">
        <v>2.4500000000000002</v>
      </c>
      <c r="AK24" s="8">
        <v>2.6</v>
      </c>
      <c r="AL24" s="8">
        <v>6000</v>
      </c>
      <c r="AM24" s="8">
        <v>-1.1499999999999999</v>
      </c>
      <c r="AN24" s="47">
        <v>2.4500000000000002</v>
      </c>
      <c r="AO24" s="8">
        <v>31.71</v>
      </c>
      <c r="AP24" s="8">
        <v>144</v>
      </c>
      <c r="AQ24" s="8">
        <v>156000</v>
      </c>
      <c r="AR24" s="8">
        <v>534000</v>
      </c>
      <c r="AS24" s="1"/>
      <c r="AT24" s="1"/>
      <c r="AU24" s="1"/>
      <c r="AV24" s="1"/>
      <c r="AW24" s="1"/>
      <c r="AX24" s="1"/>
      <c r="AY24" s="1"/>
      <c r="AZ24" s="1"/>
    </row>
    <row r="25" spans="1:52" x14ac:dyDescent="0.25">
      <c r="A25" s="1"/>
      <c r="B25" s="1"/>
      <c r="C25" s="1"/>
      <c r="D25" s="27" t="s">
        <v>2558</v>
      </c>
      <c r="E25" s="38">
        <v>0.73</v>
      </c>
      <c r="F25" s="38">
        <v>1.17</v>
      </c>
      <c r="G25" s="38">
        <v>1.22</v>
      </c>
      <c r="H25" s="38">
        <v>0.68</v>
      </c>
      <c r="I25" s="38">
        <v>0.71</v>
      </c>
      <c r="J25" s="42"/>
      <c r="K25" s="1"/>
      <c r="L25" s="1"/>
      <c r="M25" s="1"/>
      <c r="N25" s="1"/>
      <c r="O25" s="1"/>
      <c r="P25" s="1"/>
      <c r="Q25" s="1"/>
      <c r="R25" s="1"/>
      <c r="S25" s="1"/>
      <c r="T25" s="1"/>
      <c r="U25" s="1"/>
      <c r="V25" s="1"/>
      <c r="W25" s="46">
        <v>43496</v>
      </c>
      <c r="X25" s="8">
        <v>276000</v>
      </c>
      <c r="Y25" s="8">
        <v>-12000</v>
      </c>
      <c r="Z25" s="8">
        <v>60</v>
      </c>
      <c r="AA25" s="8">
        <v>28.38</v>
      </c>
      <c r="AB25" s="47">
        <v>2.5499999999999998</v>
      </c>
      <c r="AC25" s="8">
        <v>0.4</v>
      </c>
      <c r="AD25" s="8">
        <v>12000</v>
      </c>
      <c r="AE25" s="8">
        <v>2.4500000000000002</v>
      </c>
      <c r="AF25" s="8">
        <v>2.6</v>
      </c>
      <c r="AG25" s="8">
        <v>12000</v>
      </c>
      <c r="AH25" s="45">
        <v>127.5</v>
      </c>
      <c r="AI25" s="8">
        <v>48000</v>
      </c>
      <c r="AJ25" s="8">
        <v>3.6</v>
      </c>
      <c r="AK25" s="8">
        <v>3.95</v>
      </c>
      <c r="AL25" s="8">
        <v>12000</v>
      </c>
      <c r="AM25" s="8">
        <v>-1.7</v>
      </c>
      <c r="AN25" s="47">
        <v>4.05</v>
      </c>
      <c r="AO25" s="8">
        <v>33.700000000000003</v>
      </c>
      <c r="AP25" s="8">
        <v>6</v>
      </c>
      <c r="AQ25" s="8">
        <v>18000</v>
      </c>
      <c r="AR25" s="8">
        <v>36000</v>
      </c>
      <c r="AS25" s="1"/>
      <c r="AT25" s="1"/>
      <c r="AU25" s="1"/>
      <c r="AV25" s="1"/>
      <c r="AW25" s="1"/>
      <c r="AX25" s="1"/>
      <c r="AY25" s="1"/>
      <c r="AZ25" s="1"/>
    </row>
    <row r="26" spans="1:52" x14ac:dyDescent="0.25">
      <c r="A26" s="1"/>
      <c r="B26" s="1"/>
      <c r="C26" s="1"/>
      <c r="D26" s="27" t="s">
        <v>2559</v>
      </c>
      <c r="E26" s="38">
        <v>23.53</v>
      </c>
      <c r="F26" s="38">
        <v>31.63</v>
      </c>
      <c r="G26" s="38">
        <v>56.99</v>
      </c>
      <c r="H26" s="38">
        <v>53.27</v>
      </c>
      <c r="I26" s="38">
        <v>47.43</v>
      </c>
      <c r="J26" s="42"/>
      <c r="K26" s="1"/>
      <c r="L26" s="1"/>
      <c r="M26" s="1"/>
      <c r="N26" s="1"/>
      <c r="O26" s="1"/>
      <c r="P26" s="1"/>
      <c r="Q26" s="1"/>
      <c r="R26" s="1"/>
      <c r="S26" s="1"/>
      <c r="T26" s="1"/>
      <c r="U26" s="1"/>
      <c r="V26" s="1"/>
      <c r="W26" s="46">
        <v>43496</v>
      </c>
      <c r="X26" s="8">
        <v>2022000</v>
      </c>
      <c r="Y26" s="8">
        <v>186000</v>
      </c>
      <c r="Z26" s="8">
        <v>265</v>
      </c>
      <c r="AA26" s="8">
        <v>28.74</v>
      </c>
      <c r="AB26" s="47">
        <v>1.65</v>
      </c>
      <c r="AC26" s="8">
        <v>0.25</v>
      </c>
      <c r="AD26" s="8">
        <v>30000</v>
      </c>
      <c r="AE26" s="8">
        <v>1.6</v>
      </c>
      <c r="AF26" s="8">
        <v>1.7</v>
      </c>
      <c r="AG26" s="8">
        <v>84000</v>
      </c>
      <c r="AH26" s="45">
        <v>130</v>
      </c>
      <c r="AI26" s="8">
        <v>6000</v>
      </c>
      <c r="AJ26" s="8">
        <v>5.2</v>
      </c>
      <c r="AK26" s="8">
        <v>5.65</v>
      </c>
      <c r="AL26" s="8">
        <v>6000</v>
      </c>
      <c r="AM26" s="8">
        <v>-0.9</v>
      </c>
      <c r="AN26" s="47">
        <v>5.65</v>
      </c>
      <c r="AO26" s="8">
        <v>34.53</v>
      </c>
      <c r="AP26" s="8">
        <v>9</v>
      </c>
      <c r="AQ26" s="8">
        <v>24000</v>
      </c>
      <c r="AR26" s="8">
        <v>54000</v>
      </c>
      <c r="AS26" s="1"/>
      <c r="AT26" s="1"/>
      <c r="AU26" s="1"/>
      <c r="AV26" s="1"/>
      <c r="AW26" s="1"/>
      <c r="AX26" s="1"/>
      <c r="AY26" s="1"/>
      <c r="AZ26" s="1"/>
    </row>
    <row r="27" spans="1:52" x14ac:dyDescent="0.25">
      <c r="A27" s="1"/>
      <c r="B27" s="1"/>
      <c r="C27" s="1"/>
      <c r="D27" s="27" t="s">
        <v>2560</v>
      </c>
      <c r="E27" s="38">
        <v>0</v>
      </c>
      <c r="F27" s="38">
        <v>22.13</v>
      </c>
      <c r="G27" s="38">
        <v>30</v>
      </c>
      <c r="H27" s="38">
        <v>20.079999999999998</v>
      </c>
      <c r="I27" s="38">
        <v>20.02</v>
      </c>
      <c r="J27" s="42"/>
      <c r="K27" s="1"/>
      <c r="L27" s="1"/>
      <c r="M27" s="1"/>
      <c r="N27" s="1"/>
      <c r="O27" s="1"/>
      <c r="P27" s="1"/>
      <c r="Q27" s="1"/>
      <c r="R27" s="1"/>
      <c r="S27" s="1"/>
      <c r="T27" s="1"/>
      <c r="U27" s="1"/>
      <c r="V27" s="1"/>
      <c r="W27" s="46">
        <v>43496</v>
      </c>
      <c r="X27" s="8">
        <v>198000</v>
      </c>
      <c r="Y27" s="8">
        <v>36000</v>
      </c>
      <c r="Z27" s="8">
        <v>45</v>
      </c>
      <c r="AA27" s="8">
        <v>28.18</v>
      </c>
      <c r="AB27" s="47">
        <v>0.95</v>
      </c>
      <c r="AC27" s="8">
        <v>0.05</v>
      </c>
      <c r="AD27" s="8">
        <v>48000</v>
      </c>
      <c r="AE27" s="8">
        <v>0.95</v>
      </c>
      <c r="AF27" s="8">
        <v>1.05</v>
      </c>
      <c r="AG27" s="8">
        <v>36000</v>
      </c>
      <c r="AH27" s="45">
        <v>132.5</v>
      </c>
      <c r="AI27" s="8">
        <v>54000</v>
      </c>
      <c r="AJ27" s="8">
        <v>6.8</v>
      </c>
      <c r="AK27" s="8">
        <v>7.85</v>
      </c>
      <c r="AL27" s="8">
        <v>102000</v>
      </c>
      <c r="AM27" s="8" t="s">
        <v>2585</v>
      </c>
      <c r="AN27" s="47">
        <v>15.25</v>
      </c>
      <c r="AO27" s="8" t="s">
        <v>2585</v>
      </c>
      <c r="AP27" s="8" t="s">
        <v>2585</v>
      </c>
      <c r="AQ27" s="8" t="s">
        <v>2585</v>
      </c>
      <c r="AR27" s="8">
        <v>12000</v>
      </c>
      <c r="AS27" s="1"/>
      <c r="AT27" s="1"/>
      <c r="AU27" s="1"/>
      <c r="AV27" s="1"/>
      <c r="AW27" s="1"/>
      <c r="AX27" s="1"/>
      <c r="AY27" s="1"/>
      <c r="AZ27" s="1"/>
    </row>
    <row r="28" spans="1:52" x14ac:dyDescent="0.25">
      <c r="A28" s="1"/>
      <c r="B28" s="1"/>
      <c r="C28" s="1"/>
      <c r="D28" s="27" t="s">
        <v>2561</v>
      </c>
      <c r="E28" s="38">
        <v>0</v>
      </c>
      <c r="F28" s="38">
        <v>22.11</v>
      </c>
      <c r="G28" s="38">
        <v>29.97</v>
      </c>
      <c r="H28" s="38">
        <v>20.059999999999999</v>
      </c>
      <c r="I28" s="38">
        <v>20.010000000000002</v>
      </c>
      <c r="J28" s="42"/>
      <c r="K28" s="1"/>
      <c r="L28" s="1"/>
      <c r="M28" s="1"/>
      <c r="N28" s="1"/>
      <c r="O28" s="1"/>
      <c r="P28" s="1"/>
      <c r="Q28" s="1"/>
      <c r="R28" s="1"/>
      <c r="S28" s="1"/>
      <c r="T28" s="1"/>
      <c r="U28" s="1"/>
      <c r="V28" s="1"/>
      <c r="W28" s="46">
        <v>43496</v>
      </c>
      <c r="X28" s="8">
        <v>900000</v>
      </c>
      <c r="Y28" s="8">
        <v>6000</v>
      </c>
      <c r="Z28" s="8">
        <v>109</v>
      </c>
      <c r="AA28" s="8">
        <v>29.3</v>
      </c>
      <c r="AB28" s="47">
        <v>0.6</v>
      </c>
      <c r="AC28" s="8" t="s">
        <v>2585</v>
      </c>
      <c r="AD28" s="8">
        <v>48000</v>
      </c>
      <c r="AE28" s="8">
        <v>0.6</v>
      </c>
      <c r="AF28" s="8">
        <v>0.65</v>
      </c>
      <c r="AG28" s="8">
        <v>42000</v>
      </c>
      <c r="AH28" s="45">
        <v>135</v>
      </c>
      <c r="AI28" s="8">
        <v>6000</v>
      </c>
      <c r="AJ28" s="8">
        <v>9.1</v>
      </c>
      <c r="AK28" s="8">
        <v>9.65</v>
      </c>
      <c r="AL28" s="8">
        <v>18000</v>
      </c>
      <c r="AM28" s="8">
        <v>-3</v>
      </c>
      <c r="AN28" s="47">
        <v>9.4</v>
      </c>
      <c r="AO28" s="8">
        <v>35.01</v>
      </c>
      <c r="AP28" s="8">
        <v>4</v>
      </c>
      <c r="AQ28" s="8" t="s">
        <v>2585</v>
      </c>
      <c r="AR28" s="8">
        <v>48000</v>
      </c>
      <c r="AS28" s="1"/>
      <c r="AT28" s="1"/>
      <c r="AU28" s="1"/>
      <c r="AV28" s="1"/>
      <c r="AW28" s="1"/>
      <c r="AX28" s="1"/>
      <c r="AY28" s="1"/>
      <c r="AZ28" s="1"/>
    </row>
    <row r="29" spans="1:52" x14ac:dyDescent="0.25">
      <c r="A29" s="1"/>
      <c r="B29" s="1"/>
      <c r="C29" s="1"/>
      <c r="D29" s="27" t="s">
        <v>2562</v>
      </c>
      <c r="E29" s="38">
        <v>9.15</v>
      </c>
      <c r="F29" s="38">
        <v>9.65</v>
      </c>
      <c r="G29" s="38">
        <v>17.100000000000001</v>
      </c>
      <c r="H29" s="38">
        <v>10.7</v>
      </c>
      <c r="I29" s="38">
        <v>9.5</v>
      </c>
      <c r="J29" s="42"/>
      <c r="K29" s="1"/>
      <c r="L29" s="1"/>
      <c r="M29" s="1"/>
      <c r="N29" s="1"/>
      <c r="O29" s="1"/>
      <c r="P29" s="1"/>
      <c r="Q29" s="1"/>
      <c r="R29" s="1"/>
      <c r="S29" s="1"/>
      <c r="T29" s="1"/>
      <c r="U29" s="1"/>
      <c r="V29" s="1"/>
      <c r="W29" s="46">
        <v>43496</v>
      </c>
      <c r="X29" s="8">
        <v>24000</v>
      </c>
      <c r="Y29" s="8" t="s">
        <v>2585</v>
      </c>
      <c r="Z29" s="8">
        <v>1</v>
      </c>
      <c r="AA29" s="8">
        <v>29.8</v>
      </c>
      <c r="AB29" s="47">
        <v>0.35</v>
      </c>
      <c r="AC29" s="8" t="s">
        <v>2585</v>
      </c>
      <c r="AD29" s="8">
        <v>60000</v>
      </c>
      <c r="AE29" s="8">
        <v>0.2</v>
      </c>
      <c r="AF29" s="8">
        <v>0.55000000000000004</v>
      </c>
      <c r="AG29" s="8">
        <v>84000</v>
      </c>
      <c r="AH29" s="45">
        <v>137.5</v>
      </c>
      <c r="AI29" s="8">
        <v>30000</v>
      </c>
      <c r="AJ29" s="8">
        <v>10.85</v>
      </c>
      <c r="AK29" s="8">
        <v>12.2</v>
      </c>
      <c r="AL29" s="8">
        <v>42000</v>
      </c>
      <c r="AM29" s="8" t="s">
        <v>2585</v>
      </c>
      <c r="AN29" s="47" t="s">
        <v>2585</v>
      </c>
      <c r="AO29" s="8" t="s">
        <v>2585</v>
      </c>
      <c r="AP29" s="8" t="s">
        <v>2585</v>
      </c>
      <c r="AQ29" s="8" t="s">
        <v>2585</v>
      </c>
      <c r="AR29" s="8" t="s">
        <v>2585</v>
      </c>
      <c r="AS29" s="1"/>
      <c r="AT29" s="1"/>
      <c r="AU29" s="1"/>
      <c r="AV29" s="1"/>
      <c r="AW29" s="1"/>
      <c r="AX29" s="1"/>
      <c r="AY29" s="1"/>
      <c r="AZ29" s="1"/>
    </row>
    <row r="30" spans="1:52" x14ac:dyDescent="0.25">
      <c r="A30" s="1"/>
      <c r="B30" s="1"/>
      <c r="C30" s="1"/>
      <c r="D30" s="27" t="s">
        <v>2563</v>
      </c>
      <c r="E30" s="38">
        <v>0</v>
      </c>
      <c r="F30" s="38">
        <v>77.87</v>
      </c>
      <c r="G30" s="38">
        <v>70</v>
      </c>
      <c r="H30" s="38">
        <v>79.92</v>
      </c>
      <c r="I30" s="38">
        <v>79.98</v>
      </c>
      <c r="J30" s="42"/>
      <c r="K30" s="1"/>
      <c r="L30" s="1"/>
      <c r="M30" s="1"/>
      <c r="N30" s="1"/>
      <c r="O30" s="1"/>
      <c r="P30" s="1"/>
      <c r="Q30" s="1"/>
      <c r="R30" s="1"/>
      <c r="S30" s="1"/>
      <c r="T30" s="1"/>
      <c r="U30" s="1"/>
      <c r="V30" s="1"/>
      <c r="W30" s="46">
        <v>43496</v>
      </c>
      <c r="X30" s="8">
        <v>564000</v>
      </c>
      <c r="Y30" s="8">
        <v>24000</v>
      </c>
      <c r="Z30" s="8">
        <v>28</v>
      </c>
      <c r="AA30" s="8">
        <v>31.83</v>
      </c>
      <c r="AB30" s="47">
        <v>0.25</v>
      </c>
      <c r="AC30" s="8" t="s">
        <v>2585</v>
      </c>
      <c r="AD30" s="8">
        <v>204000</v>
      </c>
      <c r="AE30" s="8">
        <v>0.15</v>
      </c>
      <c r="AF30" s="8">
        <v>0.25</v>
      </c>
      <c r="AG30" s="8">
        <v>114000</v>
      </c>
      <c r="AH30" s="45">
        <v>140</v>
      </c>
      <c r="AI30" s="8">
        <v>30000</v>
      </c>
      <c r="AJ30" s="8">
        <v>13.15</v>
      </c>
      <c r="AK30" s="8">
        <v>14.6</v>
      </c>
      <c r="AL30" s="8">
        <v>132000</v>
      </c>
      <c r="AM30" s="8" t="s">
        <v>2585</v>
      </c>
      <c r="AN30" s="47">
        <v>18</v>
      </c>
      <c r="AO30" s="8" t="s">
        <v>2585</v>
      </c>
      <c r="AP30" s="8" t="s">
        <v>2585</v>
      </c>
      <c r="AQ30" s="8" t="s">
        <v>2585</v>
      </c>
      <c r="AR30" s="8">
        <v>18000</v>
      </c>
      <c r="AS30" s="1"/>
      <c r="AT30" s="1"/>
      <c r="AU30" s="1"/>
      <c r="AV30" s="1"/>
      <c r="AW30" s="1"/>
      <c r="AX30" s="1"/>
      <c r="AY30" s="1"/>
      <c r="AZ30" s="1"/>
    </row>
    <row r="31" spans="1:52" x14ac:dyDescent="0.25">
      <c r="A31" s="1"/>
      <c r="B31" s="1"/>
      <c r="C31" s="1"/>
      <c r="D31" s="27" t="s">
        <v>2564</v>
      </c>
      <c r="E31" s="38">
        <v>0.19</v>
      </c>
      <c r="F31" s="38">
        <v>0.17</v>
      </c>
      <c r="G31" s="38">
        <v>0.34</v>
      </c>
      <c r="H31" s="38">
        <v>0.16</v>
      </c>
      <c r="I31" s="38">
        <v>0.21</v>
      </c>
      <c r="J31" s="42"/>
      <c r="K31" s="1"/>
      <c r="L31" s="1"/>
      <c r="M31" s="1"/>
      <c r="N31" s="1"/>
      <c r="O31" s="1"/>
      <c r="P31" s="1"/>
      <c r="Q31" s="1"/>
      <c r="R31" s="1"/>
      <c r="S31" s="1"/>
      <c r="T31" s="1"/>
      <c r="U31" s="1"/>
      <c r="V31" s="1"/>
      <c r="W31" s="46">
        <v>43496</v>
      </c>
      <c r="X31" s="8">
        <v>6000</v>
      </c>
      <c r="Y31" s="8" t="s">
        <v>2585</v>
      </c>
      <c r="Z31" s="8" t="s">
        <v>2585</v>
      </c>
      <c r="AA31" s="8" t="s">
        <v>2585</v>
      </c>
      <c r="AB31" s="47">
        <v>0.25</v>
      </c>
      <c r="AC31" s="8" t="s">
        <v>2585</v>
      </c>
      <c r="AD31" s="8">
        <v>18000</v>
      </c>
      <c r="AE31" s="8">
        <v>0.05</v>
      </c>
      <c r="AF31" s="8">
        <v>0.2</v>
      </c>
      <c r="AG31" s="8">
        <v>6000</v>
      </c>
      <c r="AH31" s="45">
        <v>142.5</v>
      </c>
      <c r="AI31" s="8">
        <v>72000</v>
      </c>
      <c r="AJ31" s="8">
        <v>5.2</v>
      </c>
      <c r="AK31" s="8">
        <v>30.7</v>
      </c>
      <c r="AL31" s="8">
        <v>72000</v>
      </c>
      <c r="AM31" s="8" t="s">
        <v>2585</v>
      </c>
      <c r="AN31" s="47" t="s">
        <v>2585</v>
      </c>
      <c r="AO31" s="8" t="s">
        <v>2585</v>
      </c>
      <c r="AP31" s="8" t="s">
        <v>2585</v>
      </c>
      <c r="AQ31" s="8" t="s">
        <v>2585</v>
      </c>
      <c r="AR31" s="8" t="s">
        <v>2585</v>
      </c>
      <c r="AS31" s="1"/>
      <c r="AT31" s="1"/>
      <c r="AU31" s="1"/>
      <c r="AV31" s="1"/>
      <c r="AW31" s="1"/>
      <c r="AX31" s="1"/>
      <c r="AY31" s="1"/>
      <c r="AZ31" s="1"/>
    </row>
    <row r="32" spans="1:52" x14ac:dyDescent="0.25">
      <c r="A32" s="1"/>
      <c r="B32" s="1"/>
      <c r="C32" s="1"/>
      <c r="D32" s="27" t="s">
        <v>2565</v>
      </c>
      <c r="E32" s="38">
        <v>9.16</v>
      </c>
      <c r="F32" s="38">
        <v>7.98</v>
      </c>
      <c r="G32" s="38">
        <v>7.16</v>
      </c>
      <c r="H32" s="38">
        <v>8.52</v>
      </c>
      <c r="I32" s="38">
        <v>8.09</v>
      </c>
      <c r="J32" s="42"/>
      <c r="K32" s="1"/>
      <c r="L32" s="1"/>
      <c r="M32" s="1"/>
      <c r="N32" s="1"/>
      <c r="O32" s="1"/>
      <c r="P32" s="1"/>
      <c r="Q32" s="1"/>
      <c r="R32" s="1"/>
      <c r="S32" s="1"/>
      <c r="T32" s="1"/>
      <c r="U32" s="1"/>
      <c r="V32" s="1"/>
      <c r="W32" s="46">
        <v>43496</v>
      </c>
      <c r="X32" s="8">
        <v>96000</v>
      </c>
      <c r="Y32" s="8" t="s">
        <v>2585</v>
      </c>
      <c r="Z32" s="8">
        <v>4</v>
      </c>
      <c r="AA32" s="8">
        <v>30.4</v>
      </c>
      <c r="AB32" s="47">
        <v>0.05</v>
      </c>
      <c r="AC32" s="8">
        <v>-0.05</v>
      </c>
      <c r="AD32" s="8">
        <v>24000</v>
      </c>
      <c r="AE32" s="8">
        <v>0.05</v>
      </c>
      <c r="AF32" s="8">
        <v>0.1</v>
      </c>
      <c r="AG32" s="8">
        <v>18000</v>
      </c>
      <c r="AH32" s="45">
        <v>145</v>
      </c>
      <c r="AI32" s="8">
        <v>66000</v>
      </c>
      <c r="AJ32" s="8">
        <v>18.149999999999999</v>
      </c>
      <c r="AK32" s="8">
        <v>19.45</v>
      </c>
      <c r="AL32" s="8">
        <v>24000</v>
      </c>
      <c r="AM32" s="8" t="s">
        <v>2585</v>
      </c>
      <c r="AN32" s="47">
        <v>21.2</v>
      </c>
      <c r="AO32" s="8" t="s">
        <v>2585</v>
      </c>
      <c r="AP32" s="8" t="s">
        <v>2585</v>
      </c>
      <c r="AQ32" s="8" t="s">
        <v>2585</v>
      </c>
      <c r="AR32" s="8">
        <v>180000</v>
      </c>
      <c r="AS32" s="1"/>
      <c r="AT32" s="1"/>
      <c r="AU32" s="1"/>
      <c r="AV32" s="1"/>
      <c r="AW32" s="1"/>
      <c r="AX32" s="1"/>
      <c r="AY32" s="1"/>
      <c r="AZ32" s="1"/>
    </row>
    <row r="33" spans="1:52" x14ac:dyDescent="0.25">
      <c r="A33" s="1"/>
      <c r="B33" s="1"/>
      <c r="C33" s="1"/>
      <c r="D33" s="27" t="s">
        <v>2566</v>
      </c>
      <c r="E33" s="38">
        <v>8.4700000000000006</v>
      </c>
      <c r="F33" s="38">
        <v>7.74</v>
      </c>
      <c r="G33" s="38">
        <v>6.76</v>
      </c>
      <c r="H33" s="38">
        <v>8.1199999999999992</v>
      </c>
      <c r="I33" s="38">
        <v>7.88</v>
      </c>
      <c r="J33" s="42"/>
      <c r="K33" s="1"/>
      <c r="L33" s="1"/>
      <c r="M33" s="1"/>
      <c r="N33" s="1"/>
      <c r="O33" s="1"/>
      <c r="P33" s="1"/>
      <c r="Q33" s="1"/>
      <c r="R33" s="1"/>
      <c r="S33" s="1"/>
      <c r="T33" s="1"/>
      <c r="U33" s="1"/>
      <c r="V33" s="1"/>
      <c r="W33" s="46">
        <v>43496</v>
      </c>
      <c r="X33" s="8" t="s">
        <v>2585</v>
      </c>
      <c r="Y33" s="8" t="s">
        <v>2585</v>
      </c>
      <c r="Z33" s="8" t="s">
        <v>2585</v>
      </c>
      <c r="AA33" s="8" t="s">
        <v>2585</v>
      </c>
      <c r="AB33" s="47" t="s">
        <v>2585</v>
      </c>
      <c r="AC33" s="8" t="s">
        <v>2585</v>
      </c>
      <c r="AD33" s="8" t="s">
        <v>2585</v>
      </c>
      <c r="AE33" s="8" t="s">
        <v>2585</v>
      </c>
      <c r="AF33" s="8">
        <v>0.6</v>
      </c>
      <c r="AG33" s="8">
        <v>6000</v>
      </c>
      <c r="AH33" s="45">
        <v>147.5</v>
      </c>
      <c r="AI33" s="8">
        <v>30000</v>
      </c>
      <c r="AJ33" s="8">
        <v>9.3000000000000007</v>
      </c>
      <c r="AK33" s="8">
        <v>36</v>
      </c>
      <c r="AL33" s="8">
        <v>30000</v>
      </c>
      <c r="AM33" s="8" t="s">
        <v>2585</v>
      </c>
      <c r="AN33" s="47" t="s">
        <v>2585</v>
      </c>
      <c r="AO33" s="8" t="s">
        <v>2585</v>
      </c>
      <c r="AP33" s="8" t="s">
        <v>2585</v>
      </c>
      <c r="AQ33" s="8" t="s">
        <v>2585</v>
      </c>
      <c r="AR33" s="8" t="s">
        <v>2585</v>
      </c>
      <c r="AS33" s="1"/>
      <c r="AT33" s="1"/>
      <c r="AU33" s="1"/>
      <c r="AV33" s="1"/>
      <c r="AW33" s="1"/>
      <c r="AX33" s="1"/>
      <c r="AY33" s="1"/>
      <c r="AZ33" s="1"/>
    </row>
    <row r="34" spans="1:52" x14ac:dyDescent="0.25">
      <c r="A34" s="1"/>
      <c r="B34" s="1"/>
      <c r="C34" s="1"/>
      <c r="D34" s="27" t="s">
        <v>2567</v>
      </c>
      <c r="E34" s="38">
        <v>1.1000000000000001</v>
      </c>
      <c r="F34" s="38">
        <v>1.53</v>
      </c>
      <c r="G34" s="38">
        <v>0.69</v>
      </c>
      <c r="H34" s="38">
        <v>1.62</v>
      </c>
      <c r="I34" s="38">
        <v>1.33</v>
      </c>
      <c r="J34" s="38"/>
      <c r="K34" s="1"/>
      <c r="L34" s="1"/>
      <c r="M34" s="1"/>
      <c r="N34" s="1"/>
      <c r="O34" s="1"/>
      <c r="P34" s="1"/>
      <c r="Q34" s="1"/>
      <c r="R34" s="1"/>
      <c r="S34" s="1"/>
      <c r="T34" s="1"/>
      <c r="U34" s="1"/>
      <c r="V34" s="1"/>
      <c r="W34" s="46">
        <v>43496</v>
      </c>
      <c r="X34" s="8">
        <v>78000</v>
      </c>
      <c r="Y34" s="8" t="s">
        <v>2585</v>
      </c>
      <c r="Z34" s="8" t="s">
        <v>2585</v>
      </c>
      <c r="AA34" s="8" t="s">
        <v>2585</v>
      </c>
      <c r="AB34" s="47">
        <v>0.05</v>
      </c>
      <c r="AC34" s="8" t="s">
        <v>2585</v>
      </c>
      <c r="AD34" s="8" t="s">
        <v>2585</v>
      </c>
      <c r="AE34" s="8" t="s">
        <v>2585</v>
      </c>
      <c r="AF34" s="8">
        <v>0.1</v>
      </c>
      <c r="AG34" s="8">
        <v>18000</v>
      </c>
      <c r="AH34" s="45">
        <v>150</v>
      </c>
      <c r="AI34" s="8">
        <v>6000</v>
      </c>
      <c r="AJ34" s="8">
        <v>20</v>
      </c>
      <c r="AK34" s="8" t="s">
        <v>2585</v>
      </c>
      <c r="AL34" s="8" t="s">
        <v>2585</v>
      </c>
      <c r="AM34" s="8" t="s">
        <v>2585</v>
      </c>
      <c r="AN34" s="47">
        <v>32.799999999999997</v>
      </c>
      <c r="AO34" s="8" t="s">
        <v>2585</v>
      </c>
      <c r="AP34" s="8" t="s">
        <v>2585</v>
      </c>
      <c r="AQ34" s="8" t="s">
        <v>2585</v>
      </c>
      <c r="AR34" s="8">
        <v>66000</v>
      </c>
      <c r="AS34" s="1"/>
      <c r="AT34" s="1"/>
      <c r="AU34" s="1"/>
      <c r="AV34" s="1"/>
      <c r="AW34" s="1"/>
      <c r="AX34" s="1"/>
      <c r="AY34" s="1"/>
      <c r="AZ34" s="1"/>
    </row>
    <row r="35" spans="1:52" x14ac:dyDescent="0.25">
      <c r="A35" s="1"/>
      <c r="B35" s="1"/>
      <c r="C35" s="1"/>
      <c r="D35" s="27" t="s">
        <v>2568</v>
      </c>
      <c r="E35" s="38">
        <v>20.78</v>
      </c>
      <c r="F35" s="38">
        <v>26.74</v>
      </c>
      <c r="G35" s="38">
        <v>23.8</v>
      </c>
      <c r="H35" s="38">
        <v>26</v>
      </c>
      <c r="I35" s="38">
        <v>27.52</v>
      </c>
      <c r="J35" s="38"/>
      <c r="K35" s="1"/>
      <c r="L35" s="1"/>
      <c r="M35" s="1"/>
      <c r="N35" s="1"/>
      <c r="O35" s="1"/>
      <c r="P35" s="1"/>
      <c r="Q35" s="1"/>
      <c r="R35" s="1"/>
      <c r="S35" s="1"/>
      <c r="T35" s="1"/>
      <c r="U35" s="1"/>
      <c r="V35" s="1"/>
      <c r="W35" s="46">
        <v>43524</v>
      </c>
      <c r="X35" s="8" t="s">
        <v>2585</v>
      </c>
      <c r="Y35" s="8" t="s">
        <v>2585</v>
      </c>
      <c r="Z35" s="8" t="s">
        <v>2585</v>
      </c>
      <c r="AA35" s="8" t="s">
        <v>2585</v>
      </c>
      <c r="AB35" s="47" t="s">
        <v>2585</v>
      </c>
      <c r="AC35" s="8" t="s">
        <v>2585</v>
      </c>
      <c r="AD35" s="8">
        <v>72000</v>
      </c>
      <c r="AE35" s="8">
        <v>38.200000000000003</v>
      </c>
      <c r="AF35" s="8">
        <v>40.200000000000003</v>
      </c>
      <c r="AG35" s="8">
        <v>72000</v>
      </c>
      <c r="AH35" s="45">
        <v>85</v>
      </c>
      <c r="AI35" s="8" t="s">
        <v>2585</v>
      </c>
      <c r="AJ35" s="8" t="s">
        <v>2585</v>
      </c>
      <c r="AK35" s="8" t="s">
        <v>2585</v>
      </c>
      <c r="AL35" s="8" t="s">
        <v>2585</v>
      </c>
      <c r="AM35" s="8" t="s">
        <v>2585</v>
      </c>
      <c r="AN35" s="47" t="s">
        <v>2585</v>
      </c>
      <c r="AO35" s="8" t="s">
        <v>2585</v>
      </c>
      <c r="AP35" s="8" t="s">
        <v>2585</v>
      </c>
      <c r="AQ35" s="8" t="s">
        <v>2585</v>
      </c>
      <c r="AR35" s="8" t="s">
        <v>2585</v>
      </c>
      <c r="AS35" s="1"/>
      <c r="AT35" s="1"/>
      <c r="AU35" s="1"/>
      <c r="AV35" s="1"/>
      <c r="AW35" s="1"/>
      <c r="AX35" s="1"/>
      <c r="AY35" s="1"/>
      <c r="AZ35" s="1"/>
    </row>
    <row r="36" spans="1:52" x14ac:dyDescent="0.25">
      <c r="A36" s="1"/>
      <c r="B36" s="1"/>
      <c r="C36" s="1"/>
      <c r="D36" s="27" t="s">
        <v>2569</v>
      </c>
      <c r="E36" s="38">
        <v>23.53</v>
      </c>
      <c r="F36" s="38">
        <v>31.63</v>
      </c>
      <c r="G36" s="38">
        <v>56.99</v>
      </c>
      <c r="H36" s="38">
        <v>53.27</v>
      </c>
      <c r="I36" s="38">
        <v>47.43</v>
      </c>
      <c r="J36" s="38"/>
      <c r="K36" s="1"/>
      <c r="L36" s="1"/>
      <c r="M36" s="1"/>
      <c r="N36" s="1"/>
      <c r="O36" s="1"/>
      <c r="P36" s="1"/>
      <c r="Q36" s="1"/>
      <c r="R36" s="1"/>
      <c r="S36" s="1"/>
      <c r="T36" s="1"/>
      <c r="U36" s="1"/>
      <c r="V36" s="1"/>
      <c r="W36" s="46">
        <v>43524</v>
      </c>
      <c r="X36" s="8" t="s">
        <v>2585</v>
      </c>
      <c r="Y36" s="8" t="s">
        <v>2585</v>
      </c>
      <c r="Z36" s="8" t="s">
        <v>2585</v>
      </c>
      <c r="AA36" s="8" t="s">
        <v>2585</v>
      </c>
      <c r="AB36" s="47" t="s">
        <v>2585</v>
      </c>
      <c r="AC36" s="8" t="s">
        <v>2585</v>
      </c>
      <c r="AD36" s="8">
        <v>72000</v>
      </c>
      <c r="AE36" s="8">
        <v>35.75</v>
      </c>
      <c r="AF36" s="8">
        <v>37.75</v>
      </c>
      <c r="AG36" s="8">
        <v>72000</v>
      </c>
      <c r="AH36" s="45">
        <v>87.5</v>
      </c>
      <c r="AI36" s="8" t="s">
        <v>2585</v>
      </c>
      <c r="AJ36" s="8" t="s">
        <v>2585</v>
      </c>
      <c r="AK36" s="8">
        <v>0.8</v>
      </c>
      <c r="AL36" s="8">
        <v>12000</v>
      </c>
      <c r="AM36" s="8" t="s">
        <v>2585</v>
      </c>
      <c r="AN36" s="47" t="s">
        <v>2585</v>
      </c>
      <c r="AO36" s="8" t="s">
        <v>2585</v>
      </c>
      <c r="AP36" s="8" t="s">
        <v>2585</v>
      </c>
      <c r="AQ36" s="8" t="s">
        <v>2585</v>
      </c>
      <c r="AR36" s="8" t="s">
        <v>2585</v>
      </c>
      <c r="AS36" s="1"/>
      <c r="AT36" s="1"/>
      <c r="AU36" s="1"/>
      <c r="AV36" s="1"/>
      <c r="AW36" s="1"/>
      <c r="AX36" s="1"/>
      <c r="AY36" s="1"/>
      <c r="AZ36" s="1"/>
    </row>
    <row r="37" spans="1:52" x14ac:dyDescent="0.25">
      <c r="A37" s="1"/>
      <c r="B37" s="1"/>
      <c r="C37" s="1"/>
      <c r="D37" s="27" t="s">
        <v>2570</v>
      </c>
      <c r="E37" s="38">
        <v>92.52</v>
      </c>
      <c r="F37" s="38">
        <v>96.95</v>
      </c>
      <c r="G37" s="38">
        <v>94.48</v>
      </c>
      <c r="H37" s="38">
        <v>95.29</v>
      </c>
      <c r="I37" s="38">
        <v>97.38</v>
      </c>
      <c r="J37" s="38"/>
      <c r="K37" s="1"/>
      <c r="L37" s="1"/>
      <c r="M37" s="1"/>
      <c r="N37" s="1"/>
      <c r="O37" s="1"/>
      <c r="P37" s="1"/>
      <c r="Q37" s="1"/>
      <c r="R37" s="1"/>
      <c r="S37" s="1"/>
      <c r="T37" s="1"/>
      <c r="U37" s="1"/>
      <c r="V37" s="1"/>
      <c r="W37" s="46">
        <v>43524</v>
      </c>
      <c r="X37" s="8" t="s">
        <v>2585</v>
      </c>
      <c r="Y37" s="8" t="s">
        <v>2585</v>
      </c>
      <c r="Z37" s="8" t="s">
        <v>2585</v>
      </c>
      <c r="AA37" s="8" t="s">
        <v>2585</v>
      </c>
      <c r="AB37" s="47" t="s">
        <v>2585</v>
      </c>
      <c r="AC37" s="8" t="s">
        <v>2585</v>
      </c>
      <c r="AD37" s="8">
        <v>72000</v>
      </c>
      <c r="AE37" s="8">
        <v>33.25</v>
      </c>
      <c r="AF37" s="8">
        <v>35.299999999999997</v>
      </c>
      <c r="AG37" s="8">
        <v>72000</v>
      </c>
      <c r="AH37" s="45">
        <v>90</v>
      </c>
      <c r="AI37" s="8">
        <v>12000</v>
      </c>
      <c r="AJ37" s="8">
        <v>0.1</v>
      </c>
      <c r="AK37" s="8">
        <v>0.8</v>
      </c>
      <c r="AL37" s="8">
        <v>12000</v>
      </c>
      <c r="AM37" s="8" t="s">
        <v>2585</v>
      </c>
      <c r="AN37" s="47" t="s">
        <v>2585</v>
      </c>
      <c r="AO37" s="8" t="s">
        <v>2585</v>
      </c>
      <c r="AP37" s="8" t="s">
        <v>2585</v>
      </c>
      <c r="AQ37" s="8" t="s">
        <v>2585</v>
      </c>
      <c r="AR37" s="8" t="s">
        <v>2585</v>
      </c>
      <c r="AS37" s="1"/>
      <c r="AT37" s="1"/>
      <c r="AU37" s="1"/>
      <c r="AV37" s="1"/>
      <c r="AW37" s="1"/>
      <c r="AX37" s="1"/>
      <c r="AY37" s="1"/>
      <c r="AZ37" s="1"/>
    </row>
    <row r="38" spans="1:52" x14ac:dyDescent="0.25">
      <c r="A38" s="1"/>
      <c r="B38" s="1"/>
      <c r="C38" s="1"/>
      <c r="D38" s="27" t="s">
        <v>2571</v>
      </c>
      <c r="E38" s="38">
        <v>104.75</v>
      </c>
      <c r="F38" s="38">
        <v>114.63</v>
      </c>
      <c r="G38" s="38">
        <v>226.17</v>
      </c>
      <c r="H38" s="38">
        <v>195.23</v>
      </c>
      <c r="I38" s="38">
        <v>167.84</v>
      </c>
      <c r="J38" s="38"/>
      <c r="K38" s="1"/>
      <c r="L38" s="1"/>
      <c r="M38" s="1"/>
      <c r="N38" s="1"/>
      <c r="O38" s="1"/>
      <c r="P38" s="1"/>
      <c r="Q38" s="1"/>
      <c r="R38" s="1"/>
      <c r="S38" s="1"/>
      <c r="T38" s="1"/>
      <c r="U38" s="1"/>
      <c r="V38" s="1"/>
      <c r="W38" s="46">
        <v>43524</v>
      </c>
      <c r="X38" s="8" t="s">
        <v>2585</v>
      </c>
      <c r="Y38" s="8" t="s">
        <v>2585</v>
      </c>
      <c r="Z38" s="8" t="s">
        <v>2585</v>
      </c>
      <c r="AA38" s="8" t="s">
        <v>2585</v>
      </c>
      <c r="AB38" s="47" t="s">
        <v>2585</v>
      </c>
      <c r="AC38" s="8" t="s">
        <v>2585</v>
      </c>
      <c r="AD38" s="8">
        <v>12000</v>
      </c>
      <c r="AE38" s="8">
        <v>30.95</v>
      </c>
      <c r="AF38" s="8">
        <v>32.799999999999997</v>
      </c>
      <c r="AG38" s="8">
        <v>72000</v>
      </c>
      <c r="AH38" s="45">
        <v>92.5</v>
      </c>
      <c r="AI38" s="8" t="s">
        <v>2585</v>
      </c>
      <c r="AJ38" s="8" t="s">
        <v>2585</v>
      </c>
      <c r="AK38" s="8">
        <v>0.85</v>
      </c>
      <c r="AL38" s="8">
        <v>36000</v>
      </c>
      <c r="AM38" s="8" t="s">
        <v>2585</v>
      </c>
      <c r="AN38" s="47" t="s">
        <v>2585</v>
      </c>
      <c r="AO38" s="8" t="s">
        <v>2585</v>
      </c>
      <c r="AP38" s="8" t="s">
        <v>2585</v>
      </c>
      <c r="AQ38" s="8" t="s">
        <v>2585</v>
      </c>
      <c r="AR38" s="8" t="s">
        <v>2585</v>
      </c>
      <c r="AS38" s="1"/>
      <c r="AT38" s="1"/>
      <c r="AU38" s="1"/>
      <c r="AV38" s="1"/>
      <c r="AW38" s="1"/>
      <c r="AX38" s="1"/>
      <c r="AY38" s="1"/>
      <c r="AZ38" s="1"/>
    </row>
    <row r="39" spans="1:52" x14ac:dyDescent="0.25">
      <c r="A39" s="1"/>
      <c r="B39" s="1"/>
      <c r="C39" s="1"/>
      <c r="D39" s="27" t="s">
        <v>2572</v>
      </c>
      <c r="E39" s="38">
        <v>92.49</v>
      </c>
      <c r="F39" s="38">
        <v>96.93</v>
      </c>
      <c r="G39" s="38">
        <v>94.45</v>
      </c>
      <c r="H39" s="38">
        <v>95.26</v>
      </c>
      <c r="I39" s="38">
        <v>97.36</v>
      </c>
      <c r="J39" s="38"/>
      <c r="K39" s="1"/>
      <c r="L39" s="1"/>
      <c r="M39" s="1"/>
      <c r="N39" s="1"/>
      <c r="O39" s="1"/>
      <c r="P39" s="1"/>
      <c r="Q39" s="1"/>
      <c r="R39" s="1"/>
      <c r="S39" s="1"/>
      <c r="T39" s="1"/>
      <c r="U39" s="1"/>
      <c r="V39" s="1"/>
      <c r="W39" s="46">
        <v>43524</v>
      </c>
      <c r="X39" s="8">
        <v>6000</v>
      </c>
      <c r="Y39" s="8" t="s">
        <v>2585</v>
      </c>
      <c r="Z39" s="8" t="s">
        <v>2585</v>
      </c>
      <c r="AA39" s="8" t="s">
        <v>2585</v>
      </c>
      <c r="AB39" s="47" t="s">
        <v>2585</v>
      </c>
      <c r="AC39" s="8" t="s">
        <v>2585</v>
      </c>
      <c r="AD39" s="8">
        <v>36000</v>
      </c>
      <c r="AE39" s="8">
        <v>28.5</v>
      </c>
      <c r="AF39" s="8">
        <v>30.35</v>
      </c>
      <c r="AG39" s="8">
        <v>72000</v>
      </c>
      <c r="AH39" s="45">
        <v>95</v>
      </c>
      <c r="AI39" s="8" t="s">
        <v>2585</v>
      </c>
      <c r="AJ39" s="8" t="s">
        <v>2585</v>
      </c>
      <c r="AK39" s="8">
        <v>0.9</v>
      </c>
      <c r="AL39" s="8">
        <v>36000</v>
      </c>
      <c r="AM39" s="8" t="s">
        <v>2585</v>
      </c>
      <c r="AN39" s="47" t="s">
        <v>2585</v>
      </c>
      <c r="AO39" s="8" t="s">
        <v>2585</v>
      </c>
      <c r="AP39" s="8" t="s">
        <v>2585</v>
      </c>
      <c r="AQ39" s="8" t="s">
        <v>2585</v>
      </c>
      <c r="AR39" s="8" t="s">
        <v>2585</v>
      </c>
      <c r="AS39" s="1"/>
      <c r="AT39" s="1"/>
      <c r="AU39" s="1"/>
      <c r="AV39" s="1"/>
      <c r="AW39" s="1"/>
      <c r="AX39" s="1"/>
      <c r="AY39" s="1"/>
      <c r="AZ39" s="1"/>
    </row>
    <row r="40" spans="1:52" x14ac:dyDescent="0.25">
      <c r="A40" s="1"/>
      <c r="B40" s="1"/>
      <c r="C40" s="1"/>
      <c r="D40" s="27" t="s">
        <v>2573</v>
      </c>
      <c r="E40" s="38">
        <v>104.72</v>
      </c>
      <c r="F40" s="38">
        <v>114.61</v>
      </c>
      <c r="G40" s="38">
        <v>226.12</v>
      </c>
      <c r="H40" s="38">
        <v>195.16</v>
      </c>
      <c r="I40" s="38">
        <v>167.8</v>
      </c>
      <c r="J40" s="38"/>
      <c r="K40" s="1"/>
      <c r="L40" s="1"/>
      <c r="M40" s="1"/>
      <c r="N40" s="1"/>
      <c r="O40" s="1"/>
      <c r="P40" s="1"/>
      <c r="Q40" s="1"/>
      <c r="R40" s="1"/>
      <c r="S40" s="1"/>
      <c r="T40" s="1"/>
      <c r="U40" s="1"/>
      <c r="V40" s="1"/>
      <c r="W40" s="46">
        <v>43524</v>
      </c>
      <c r="X40" s="8" t="s">
        <v>2585</v>
      </c>
      <c r="Y40" s="8" t="s">
        <v>2585</v>
      </c>
      <c r="Z40" s="8" t="s">
        <v>2585</v>
      </c>
      <c r="AA40" s="8" t="s">
        <v>2585</v>
      </c>
      <c r="AB40" s="47" t="s">
        <v>2585</v>
      </c>
      <c r="AC40" s="8" t="s">
        <v>2585</v>
      </c>
      <c r="AD40" s="8">
        <v>24000</v>
      </c>
      <c r="AE40" s="8">
        <v>26.15</v>
      </c>
      <c r="AF40" s="8">
        <v>27.85</v>
      </c>
      <c r="AG40" s="8">
        <v>72000</v>
      </c>
      <c r="AH40" s="45">
        <v>97.5</v>
      </c>
      <c r="AI40" s="8" t="s">
        <v>2585</v>
      </c>
      <c r="AJ40" s="8" t="s">
        <v>2585</v>
      </c>
      <c r="AK40" s="8">
        <v>0.8</v>
      </c>
      <c r="AL40" s="8">
        <v>36000</v>
      </c>
      <c r="AM40" s="8" t="s">
        <v>2585</v>
      </c>
      <c r="AN40" s="47" t="s">
        <v>2585</v>
      </c>
      <c r="AO40" s="8" t="s">
        <v>2585</v>
      </c>
      <c r="AP40" s="8" t="s">
        <v>2585</v>
      </c>
      <c r="AQ40" s="8" t="s">
        <v>2585</v>
      </c>
      <c r="AR40" s="8" t="s">
        <v>2585</v>
      </c>
      <c r="AS40" s="1"/>
      <c r="AT40" s="1"/>
      <c r="AU40" s="1"/>
      <c r="AV40" s="1"/>
      <c r="AW40" s="1"/>
      <c r="AX40" s="1"/>
      <c r="AY40" s="1"/>
      <c r="AZ40" s="1"/>
    </row>
    <row r="41" spans="1:52" x14ac:dyDescent="0.25">
      <c r="A41" s="1"/>
      <c r="B41" s="1"/>
      <c r="C41" s="1"/>
      <c r="D41" s="27" t="s">
        <v>2574</v>
      </c>
      <c r="E41" s="38">
        <v>30.64</v>
      </c>
      <c r="F41" s="38">
        <v>37.93</v>
      </c>
      <c r="G41" s="38">
        <v>34.03</v>
      </c>
      <c r="H41" s="38">
        <v>36.71</v>
      </c>
      <c r="I41" s="38">
        <v>38.369999999999997</v>
      </c>
      <c r="J41" s="38"/>
      <c r="K41" s="1"/>
      <c r="L41" s="1"/>
      <c r="M41" s="1"/>
      <c r="N41" s="1"/>
      <c r="O41" s="1"/>
      <c r="P41" s="1"/>
      <c r="Q41" s="1"/>
      <c r="R41" s="1"/>
      <c r="S41" s="1"/>
      <c r="T41" s="1"/>
      <c r="U41" s="1"/>
      <c r="V41" s="1"/>
      <c r="W41" s="46">
        <v>43524</v>
      </c>
      <c r="X41" s="8" t="s">
        <v>2585</v>
      </c>
      <c r="Y41" s="8" t="s">
        <v>2585</v>
      </c>
      <c r="Z41" s="8" t="s">
        <v>2585</v>
      </c>
      <c r="AA41" s="8" t="s">
        <v>2585</v>
      </c>
      <c r="AB41" s="47" t="s">
        <v>2585</v>
      </c>
      <c r="AC41" s="8" t="s">
        <v>2585</v>
      </c>
      <c r="AD41" s="8">
        <v>66000</v>
      </c>
      <c r="AE41" s="8">
        <v>23.75</v>
      </c>
      <c r="AF41" s="8">
        <v>25.5</v>
      </c>
      <c r="AG41" s="8">
        <v>72000</v>
      </c>
      <c r="AH41" s="45">
        <v>100</v>
      </c>
      <c r="AI41" s="8">
        <v>12000</v>
      </c>
      <c r="AJ41" s="8">
        <v>0.05</v>
      </c>
      <c r="AK41" s="8">
        <v>0.95</v>
      </c>
      <c r="AL41" s="8">
        <v>36000</v>
      </c>
      <c r="AM41" s="8" t="s">
        <v>2585</v>
      </c>
      <c r="AN41" s="47" t="s">
        <v>2585</v>
      </c>
      <c r="AO41" s="8" t="s">
        <v>2585</v>
      </c>
      <c r="AP41" s="8" t="s">
        <v>2585</v>
      </c>
      <c r="AQ41" s="8" t="s">
        <v>2585</v>
      </c>
      <c r="AR41" s="8" t="s">
        <v>2585</v>
      </c>
      <c r="AS41" s="1"/>
      <c r="AT41" s="1"/>
      <c r="AU41" s="1"/>
      <c r="AV41" s="1"/>
      <c r="AW41" s="1"/>
      <c r="AX41" s="1"/>
      <c r="AY41" s="1"/>
      <c r="AZ41" s="1"/>
    </row>
    <row r="42" spans="1:52" x14ac:dyDescent="0.25">
      <c r="A42" s="1"/>
      <c r="B42" s="1"/>
      <c r="C42" s="1"/>
      <c r="D42" s="27" t="s">
        <v>2575</v>
      </c>
      <c r="E42" s="38">
        <v>34.69</v>
      </c>
      <c r="F42" s="38">
        <v>44.86</v>
      </c>
      <c r="G42" s="38">
        <v>81.47</v>
      </c>
      <c r="H42" s="38">
        <v>75.209999999999994</v>
      </c>
      <c r="I42" s="38">
        <v>66.14</v>
      </c>
      <c r="J42" s="38"/>
      <c r="K42" s="1"/>
      <c r="L42" s="1"/>
      <c r="M42" s="1"/>
      <c r="N42" s="1"/>
      <c r="O42" s="1"/>
      <c r="P42" s="1"/>
      <c r="Q42" s="1"/>
      <c r="R42" s="1"/>
      <c r="S42" s="1"/>
      <c r="T42" s="1"/>
      <c r="U42" s="1"/>
      <c r="V42" s="1"/>
      <c r="W42" s="46">
        <v>43524</v>
      </c>
      <c r="X42" s="8" t="s">
        <v>2585</v>
      </c>
      <c r="Y42" s="8" t="s">
        <v>2585</v>
      </c>
      <c r="Z42" s="8" t="s">
        <v>2585</v>
      </c>
      <c r="AA42" s="8" t="s">
        <v>2585</v>
      </c>
      <c r="AB42" s="47" t="s">
        <v>2585</v>
      </c>
      <c r="AC42" s="8" t="s">
        <v>2585</v>
      </c>
      <c r="AD42" s="8">
        <v>60000</v>
      </c>
      <c r="AE42" s="8">
        <v>21.3</v>
      </c>
      <c r="AF42" s="8">
        <v>23.15</v>
      </c>
      <c r="AG42" s="8">
        <v>72000</v>
      </c>
      <c r="AH42" s="45">
        <v>102.5</v>
      </c>
      <c r="AI42" s="8">
        <v>36000</v>
      </c>
      <c r="AJ42" s="8">
        <v>0.1</v>
      </c>
      <c r="AK42" s="8">
        <v>1.1000000000000001</v>
      </c>
      <c r="AL42" s="8">
        <v>48000</v>
      </c>
      <c r="AM42" s="8" t="s">
        <v>2585</v>
      </c>
      <c r="AN42" s="47" t="s">
        <v>2585</v>
      </c>
      <c r="AO42" s="8" t="s">
        <v>2585</v>
      </c>
      <c r="AP42" s="8" t="s">
        <v>2585</v>
      </c>
      <c r="AQ42" s="8" t="s">
        <v>2585</v>
      </c>
      <c r="AR42" s="8" t="s">
        <v>2585</v>
      </c>
      <c r="AS42" s="1"/>
      <c r="AT42" s="1"/>
      <c r="AU42" s="1"/>
      <c r="AV42" s="1"/>
      <c r="AW42" s="1"/>
      <c r="AX42" s="1"/>
      <c r="AY42" s="1"/>
      <c r="AZ42" s="1"/>
    </row>
    <row r="43" spans="1:52" x14ac:dyDescent="0.25">
      <c r="A43" s="1"/>
      <c r="B43" s="1"/>
      <c r="C43" s="1"/>
      <c r="D43" s="27" t="s">
        <v>2576</v>
      </c>
      <c r="E43" s="38">
        <v>0.7</v>
      </c>
      <c r="F43" s="38">
        <v>1.07</v>
      </c>
      <c r="G43" s="38">
        <v>0.56999999999999995</v>
      </c>
      <c r="H43" s="38">
        <v>1.32</v>
      </c>
      <c r="I43" s="38">
        <v>1.0900000000000001</v>
      </c>
      <c r="J43" s="38"/>
      <c r="K43" s="1"/>
      <c r="L43" s="1"/>
      <c r="M43" s="1"/>
      <c r="N43" s="1"/>
      <c r="O43" s="1"/>
      <c r="P43" s="1"/>
      <c r="Q43" s="1"/>
      <c r="R43" s="1"/>
      <c r="S43" s="1"/>
      <c r="T43" s="1"/>
      <c r="U43" s="1"/>
      <c r="V43" s="1"/>
      <c r="W43" s="46">
        <v>43524</v>
      </c>
      <c r="X43" s="8" t="s">
        <v>2585</v>
      </c>
      <c r="Y43" s="8" t="s">
        <v>2585</v>
      </c>
      <c r="Z43" s="8" t="s">
        <v>2585</v>
      </c>
      <c r="AA43" s="8" t="s">
        <v>2585</v>
      </c>
      <c r="AB43" s="47" t="s">
        <v>2585</v>
      </c>
      <c r="AC43" s="8" t="s">
        <v>2585</v>
      </c>
      <c r="AD43" s="8">
        <v>12000</v>
      </c>
      <c r="AE43" s="8">
        <v>19.2</v>
      </c>
      <c r="AF43" s="8">
        <v>20.9</v>
      </c>
      <c r="AG43" s="8">
        <v>72000</v>
      </c>
      <c r="AH43" s="45">
        <v>105</v>
      </c>
      <c r="AI43" s="8">
        <v>54000</v>
      </c>
      <c r="AJ43" s="8">
        <v>0.2</v>
      </c>
      <c r="AK43" s="8">
        <v>1.3</v>
      </c>
      <c r="AL43" s="8">
        <v>60000</v>
      </c>
      <c r="AM43" s="8" t="s">
        <v>2585</v>
      </c>
      <c r="AN43" s="47" t="s">
        <v>2585</v>
      </c>
      <c r="AO43" s="8" t="s">
        <v>2585</v>
      </c>
      <c r="AP43" s="8" t="s">
        <v>2585</v>
      </c>
      <c r="AQ43" s="8" t="s">
        <v>2585</v>
      </c>
      <c r="AR43" s="8" t="s">
        <v>2585</v>
      </c>
      <c r="AS43" s="1"/>
      <c r="AT43" s="1"/>
      <c r="AU43" s="1"/>
      <c r="AV43" s="1"/>
      <c r="AW43" s="1"/>
      <c r="AX43" s="1"/>
      <c r="AY43" s="1"/>
      <c r="AZ43" s="1"/>
    </row>
    <row r="44" spans="1:52" x14ac:dyDescent="0.25">
      <c r="A44" s="1"/>
      <c r="B44" s="1"/>
      <c r="C44" s="1"/>
      <c r="D44" s="27" t="s">
        <v>2577</v>
      </c>
      <c r="E44" s="38">
        <v>1.1000000000000001</v>
      </c>
      <c r="F44" s="38">
        <v>1.53</v>
      </c>
      <c r="G44" s="38">
        <v>0.69</v>
      </c>
      <c r="H44" s="38">
        <v>1.62</v>
      </c>
      <c r="I44" s="38">
        <v>1.33</v>
      </c>
      <c r="J44" s="38"/>
      <c r="K44" s="1"/>
      <c r="L44" s="1"/>
      <c r="M44" s="1"/>
      <c r="N44" s="1"/>
      <c r="O44" s="1"/>
      <c r="P44" s="1"/>
      <c r="Q44" s="1"/>
      <c r="R44" s="1"/>
      <c r="S44" s="1"/>
      <c r="T44" s="1"/>
      <c r="U44" s="1"/>
      <c r="V44" s="1"/>
      <c r="W44" s="46">
        <v>43524</v>
      </c>
      <c r="X44" s="8" t="s">
        <v>2585</v>
      </c>
      <c r="Y44" s="8" t="s">
        <v>2585</v>
      </c>
      <c r="Z44" s="8" t="s">
        <v>2585</v>
      </c>
      <c r="AA44" s="8" t="s">
        <v>2585</v>
      </c>
      <c r="AB44" s="47" t="s">
        <v>2585</v>
      </c>
      <c r="AC44" s="8" t="s">
        <v>2585</v>
      </c>
      <c r="AD44" s="8">
        <v>24000</v>
      </c>
      <c r="AE44" s="8">
        <v>16.95</v>
      </c>
      <c r="AF44" s="8">
        <v>18.600000000000001</v>
      </c>
      <c r="AG44" s="8">
        <v>84000</v>
      </c>
      <c r="AH44" s="45">
        <v>107.5</v>
      </c>
      <c r="AI44" s="8">
        <v>30000</v>
      </c>
      <c r="AJ44" s="8">
        <v>0.5</v>
      </c>
      <c r="AK44" s="8">
        <v>1.5</v>
      </c>
      <c r="AL44" s="8">
        <v>72000</v>
      </c>
      <c r="AM44" s="8" t="s">
        <v>2585</v>
      </c>
      <c r="AN44" s="47" t="s">
        <v>2585</v>
      </c>
      <c r="AO44" s="8" t="s">
        <v>2585</v>
      </c>
      <c r="AP44" s="8" t="s">
        <v>2585</v>
      </c>
      <c r="AQ44" s="8" t="s">
        <v>2585</v>
      </c>
      <c r="AR44" s="8" t="s">
        <v>2585</v>
      </c>
      <c r="AS44" s="1"/>
      <c r="AT44" s="1"/>
      <c r="AU44" s="1"/>
      <c r="AV44" s="1"/>
      <c r="AW44" s="1"/>
      <c r="AX44" s="1"/>
      <c r="AY44" s="1"/>
      <c r="AZ44" s="1"/>
    </row>
    <row r="45" spans="1:52" x14ac:dyDescent="0.25">
      <c r="A45" s="1"/>
      <c r="B45" s="1"/>
      <c r="C45" s="1"/>
      <c r="D45" s="27" t="s">
        <v>2578</v>
      </c>
      <c r="E45" s="38">
        <v>0.73</v>
      </c>
      <c r="F45" s="38">
        <v>1.17</v>
      </c>
      <c r="G45" s="38">
        <v>1.22</v>
      </c>
      <c r="H45" s="38">
        <v>0.68</v>
      </c>
      <c r="I45" s="38">
        <v>0.71</v>
      </c>
      <c r="J45" s="38"/>
      <c r="K45" s="1"/>
      <c r="L45" s="1"/>
      <c r="M45" s="1"/>
      <c r="N45" s="1"/>
      <c r="O45" s="1"/>
      <c r="P45" s="1"/>
      <c r="Q45" s="1"/>
      <c r="R45" s="1"/>
      <c r="S45" s="1"/>
      <c r="T45" s="1"/>
      <c r="U45" s="1"/>
      <c r="V45" s="1"/>
      <c r="W45" s="46">
        <v>43524</v>
      </c>
      <c r="X45" s="8" t="s">
        <v>2585</v>
      </c>
      <c r="Y45" s="8" t="s">
        <v>2585</v>
      </c>
      <c r="Z45" s="8" t="s">
        <v>2585</v>
      </c>
      <c r="AA45" s="8" t="s">
        <v>2585</v>
      </c>
      <c r="AB45" s="47" t="s">
        <v>2585</v>
      </c>
      <c r="AC45" s="8" t="s">
        <v>2585</v>
      </c>
      <c r="AD45" s="8">
        <v>78000</v>
      </c>
      <c r="AE45" s="8">
        <v>14.65</v>
      </c>
      <c r="AF45" s="8">
        <v>16.399999999999999</v>
      </c>
      <c r="AG45" s="8">
        <v>72000</v>
      </c>
      <c r="AH45" s="45">
        <v>110</v>
      </c>
      <c r="AI45" s="8">
        <v>42000</v>
      </c>
      <c r="AJ45" s="8">
        <v>0.8</v>
      </c>
      <c r="AK45" s="8">
        <v>1.7</v>
      </c>
      <c r="AL45" s="8">
        <v>60000</v>
      </c>
      <c r="AM45" s="8" t="s">
        <v>2585</v>
      </c>
      <c r="AN45" s="47" t="s">
        <v>2585</v>
      </c>
      <c r="AO45" s="8" t="s">
        <v>2585</v>
      </c>
      <c r="AP45" s="8" t="s">
        <v>2585</v>
      </c>
      <c r="AQ45" s="8" t="s">
        <v>2585</v>
      </c>
      <c r="AR45" s="8">
        <v>60000</v>
      </c>
      <c r="AS45" s="1"/>
      <c r="AT45" s="1"/>
      <c r="AU45" s="1"/>
      <c r="AV45" s="1"/>
      <c r="AW45" s="1"/>
      <c r="AX45" s="1"/>
      <c r="AY45" s="1"/>
      <c r="AZ45" s="1"/>
    </row>
    <row r="46" spans="1:52" x14ac:dyDescent="0.25">
      <c r="A46" s="1"/>
      <c r="B46" s="1"/>
      <c r="C46" s="1"/>
      <c r="D46" s="27" t="s">
        <v>2579</v>
      </c>
      <c r="E46" s="38">
        <v>0</v>
      </c>
      <c r="F46" s="38">
        <v>77.86</v>
      </c>
      <c r="G46" s="38">
        <v>69.989999999999995</v>
      </c>
      <c r="H46" s="38">
        <v>79.91</v>
      </c>
      <c r="I46" s="38">
        <v>79.97</v>
      </c>
      <c r="J46" s="38"/>
      <c r="K46" s="1"/>
      <c r="L46" s="1"/>
      <c r="M46" s="1"/>
      <c r="N46" s="1"/>
      <c r="O46" s="1"/>
      <c r="P46" s="1"/>
      <c r="Q46" s="1"/>
      <c r="R46" s="1"/>
      <c r="S46" s="1"/>
      <c r="T46" s="1"/>
      <c r="U46" s="1"/>
      <c r="V46" s="1"/>
      <c r="W46" s="46">
        <v>43524</v>
      </c>
      <c r="X46" s="8" t="s">
        <v>2585</v>
      </c>
      <c r="Y46" s="8" t="s">
        <v>2585</v>
      </c>
      <c r="Z46" s="8" t="s">
        <v>2585</v>
      </c>
      <c r="AA46" s="8" t="s">
        <v>2585</v>
      </c>
      <c r="AB46" s="47" t="s">
        <v>2585</v>
      </c>
      <c r="AC46" s="8" t="s">
        <v>2585</v>
      </c>
      <c r="AD46" s="8">
        <v>66000</v>
      </c>
      <c r="AE46" s="8">
        <v>12.65</v>
      </c>
      <c r="AF46" s="8">
        <v>14.35</v>
      </c>
      <c r="AG46" s="8">
        <v>84000</v>
      </c>
      <c r="AH46" s="45">
        <v>112.5</v>
      </c>
      <c r="AI46" s="8">
        <v>36000</v>
      </c>
      <c r="AJ46" s="8">
        <v>1.1499999999999999</v>
      </c>
      <c r="AK46" s="8">
        <v>2.1</v>
      </c>
      <c r="AL46" s="8">
        <v>48000</v>
      </c>
      <c r="AM46" s="8" t="s">
        <v>2585</v>
      </c>
      <c r="AN46" s="47" t="s">
        <v>2585</v>
      </c>
      <c r="AO46" s="8" t="s">
        <v>2585</v>
      </c>
      <c r="AP46" s="8" t="s">
        <v>2585</v>
      </c>
      <c r="AQ46" s="8" t="s">
        <v>2585</v>
      </c>
      <c r="AR46" s="8" t="s">
        <v>2585</v>
      </c>
      <c r="AS46" s="1"/>
      <c r="AT46" s="1"/>
      <c r="AU46" s="1"/>
      <c r="AV46" s="1"/>
      <c r="AW46" s="1"/>
      <c r="AX46" s="1"/>
      <c r="AY46" s="1"/>
      <c r="AZ46" s="1"/>
    </row>
    <row r="47" spans="1:52" x14ac:dyDescent="0.25">
      <c r="A47" s="1"/>
      <c r="B47" s="1"/>
      <c r="C47" s="1"/>
      <c r="D47" s="27" t="s">
        <v>2580</v>
      </c>
      <c r="E47" s="38">
        <v>1.88</v>
      </c>
      <c r="F47" s="38">
        <v>2.98</v>
      </c>
      <c r="G47" s="38">
        <v>2.72</v>
      </c>
      <c r="H47" s="38">
        <v>2.87</v>
      </c>
      <c r="I47" s="38">
        <v>3.06</v>
      </c>
      <c r="J47" s="38"/>
      <c r="K47" s="1"/>
      <c r="L47" s="1"/>
      <c r="M47" s="1"/>
      <c r="N47" s="1"/>
      <c r="O47" s="1"/>
      <c r="P47" s="1"/>
      <c r="Q47" s="1"/>
      <c r="R47" s="1"/>
      <c r="S47" s="1"/>
      <c r="T47" s="1"/>
      <c r="U47" s="1"/>
      <c r="V47" s="1"/>
      <c r="W47" s="46">
        <v>43524</v>
      </c>
      <c r="X47" s="8">
        <v>12000</v>
      </c>
      <c r="Y47" s="8" t="s">
        <v>2585</v>
      </c>
      <c r="Z47" s="8" t="s">
        <v>2585</v>
      </c>
      <c r="AA47" s="8" t="s">
        <v>2585</v>
      </c>
      <c r="AB47" s="47" t="s">
        <v>2585</v>
      </c>
      <c r="AC47" s="8" t="s">
        <v>2585</v>
      </c>
      <c r="AD47" s="8">
        <v>12000</v>
      </c>
      <c r="AE47" s="8">
        <v>11.15</v>
      </c>
      <c r="AF47" s="8">
        <v>12.4</v>
      </c>
      <c r="AG47" s="8">
        <v>84000</v>
      </c>
      <c r="AH47" s="45">
        <v>115</v>
      </c>
      <c r="AI47" s="8">
        <v>6000</v>
      </c>
      <c r="AJ47" s="8">
        <v>1.85</v>
      </c>
      <c r="AK47" s="8">
        <v>2.65</v>
      </c>
      <c r="AL47" s="8">
        <v>48000</v>
      </c>
      <c r="AM47" s="8">
        <v>-0.4</v>
      </c>
      <c r="AN47" s="47">
        <v>2.6</v>
      </c>
      <c r="AO47" s="8">
        <v>43.24</v>
      </c>
      <c r="AP47" s="8">
        <v>8</v>
      </c>
      <c r="AQ47" s="8">
        <v>42000</v>
      </c>
      <c r="AR47" s="8">
        <v>66000</v>
      </c>
      <c r="AS47" s="1"/>
      <c r="AT47" s="1"/>
      <c r="AU47" s="1"/>
      <c r="AV47" s="1"/>
      <c r="AW47" s="1"/>
      <c r="AX47" s="1"/>
      <c r="AY47" s="1"/>
      <c r="AZ47" s="1"/>
    </row>
    <row r="48" spans="1:52" x14ac:dyDescent="0.25">
      <c r="A48" s="1"/>
      <c r="B48" s="1"/>
      <c r="C48" s="1"/>
      <c r="D48" s="27" t="s">
        <v>2581</v>
      </c>
      <c r="E48" s="38">
        <v>2.2999999999999998</v>
      </c>
      <c r="F48" s="38">
        <v>3.38</v>
      </c>
      <c r="G48" s="38">
        <v>3.33</v>
      </c>
      <c r="H48" s="38">
        <v>3.34</v>
      </c>
      <c r="I48" s="38">
        <v>3.56</v>
      </c>
      <c r="J48" s="38"/>
      <c r="K48" s="1"/>
      <c r="L48" s="1"/>
      <c r="M48" s="1"/>
      <c r="N48" s="1"/>
      <c r="O48" s="1"/>
      <c r="P48" s="1"/>
      <c r="Q48" s="1"/>
      <c r="R48" s="1"/>
      <c r="S48" s="1"/>
      <c r="T48" s="1"/>
      <c r="U48" s="1"/>
      <c r="V48" s="1"/>
      <c r="W48" s="46">
        <v>43524</v>
      </c>
      <c r="X48" s="8" t="s">
        <v>2585</v>
      </c>
      <c r="Y48" s="8" t="s">
        <v>2585</v>
      </c>
      <c r="Z48" s="8" t="s">
        <v>2585</v>
      </c>
      <c r="AA48" s="8" t="s">
        <v>2585</v>
      </c>
      <c r="AB48" s="47" t="s">
        <v>2585</v>
      </c>
      <c r="AC48" s="8" t="s">
        <v>2585</v>
      </c>
      <c r="AD48" s="8">
        <v>36000</v>
      </c>
      <c r="AE48" s="8">
        <v>9</v>
      </c>
      <c r="AF48" s="8">
        <v>10.55</v>
      </c>
      <c r="AG48" s="8">
        <v>84000</v>
      </c>
      <c r="AH48" s="45">
        <v>117.5</v>
      </c>
      <c r="AI48" s="8">
        <v>84000</v>
      </c>
      <c r="AJ48" s="8">
        <v>2.25</v>
      </c>
      <c r="AK48" s="8">
        <v>3.3</v>
      </c>
      <c r="AL48" s="8">
        <v>36000</v>
      </c>
      <c r="AM48" s="8" t="s">
        <v>2585</v>
      </c>
      <c r="AN48" s="47" t="s">
        <v>2585</v>
      </c>
      <c r="AO48" s="8" t="s">
        <v>2585</v>
      </c>
      <c r="AP48" s="8" t="s">
        <v>2585</v>
      </c>
      <c r="AQ48" s="8" t="s">
        <v>2585</v>
      </c>
      <c r="AR48" s="8" t="s">
        <v>2585</v>
      </c>
      <c r="AS48" s="1"/>
      <c r="AT48" s="1"/>
      <c r="AU48" s="1"/>
      <c r="AV48" s="1"/>
      <c r="AW48" s="1"/>
      <c r="AX48" s="1"/>
      <c r="AY48" s="1"/>
      <c r="AZ48" s="1"/>
    </row>
    <row r="49" spans="1:52" x14ac:dyDescent="0.25">
      <c r="A49" s="1"/>
      <c r="B49" s="1"/>
      <c r="C49" s="1"/>
      <c r="D49" s="27" t="s">
        <v>2582</v>
      </c>
      <c r="E49" s="38">
        <v>13.09</v>
      </c>
      <c r="F49" s="38">
        <v>18.739999999999998</v>
      </c>
      <c r="G49" s="38">
        <v>19.66</v>
      </c>
      <c r="H49" s="38">
        <v>21.16</v>
      </c>
      <c r="I49" s="38">
        <v>22.66</v>
      </c>
      <c r="J49" s="38"/>
      <c r="K49" s="1"/>
      <c r="L49" s="1"/>
      <c r="M49" s="1"/>
      <c r="N49" s="1"/>
      <c r="O49" s="1"/>
      <c r="P49" s="1"/>
      <c r="Q49" s="1"/>
      <c r="R49" s="1"/>
      <c r="S49" s="1"/>
      <c r="T49" s="1"/>
      <c r="U49" s="1"/>
      <c r="V49" s="1"/>
      <c r="W49" s="46">
        <v>43524</v>
      </c>
      <c r="X49" s="8">
        <v>42000</v>
      </c>
      <c r="Y49" s="8" t="s">
        <v>2585</v>
      </c>
      <c r="Z49" s="8" t="s">
        <v>2585</v>
      </c>
      <c r="AA49" s="8" t="s">
        <v>2585</v>
      </c>
      <c r="AB49" s="47" t="s">
        <v>2585</v>
      </c>
      <c r="AC49" s="8" t="s">
        <v>2585</v>
      </c>
      <c r="AD49" s="8">
        <v>36000</v>
      </c>
      <c r="AE49" s="8">
        <v>7.55</v>
      </c>
      <c r="AF49" s="8">
        <v>8.9</v>
      </c>
      <c r="AG49" s="8">
        <v>84000</v>
      </c>
      <c r="AH49" s="45">
        <v>120</v>
      </c>
      <c r="AI49" s="8">
        <v>6000</v>
      </c>
      <c r="AJ49" s="8">
        <v>3.5</v>
      </c>
      <c r="AK49" s="8">
        <v>4.1500000000000004</v>
      </c>
      <c r="AL49" s="8">
        <v>24000</v>
      </c>
      <c r="AM49" s="8" t="s">
        <v>2585</v>
      </c>
      <c r="AN49" s="47" t="s">
        <v>2585</v>
      </c>
      <c r="AO49" s="8" t="s">
        <v>2585</v>
      </c>
      <c r="AP49" s="8" t="s">
        <v>2585</v>
      </c>
      <c r="AQ49" s="8" t="s">
        <v>2585</v>
      </c>
      <c r="AR49" s="8">
        <v>48000</v>
      </c>
      <c r="AS49" s="1"/>
      <c r="AT49" s="1"/>
      <c r="AU49" s="1"/>
      <c r="AV49" s="1"/>
      <c r="AW49" s="1"/>
      <c r="AX49" s="1"/>
      <c r="AY49" s="1"/>
      <c r="AZ49" s="1"/>
    </row>
    <row r="50" spans="1:52" x14ac:dyDescent="0.25">
      <c r="A50" s="1"/>
      <c r="B50" s="1"/>
      <c r="C50" s="1"/>
      <c r="D50" s="27" t="s">
        <v>2583</v>
      </c>
      <c r="E50" s="38">
        <v>113.21</v>
      </c>
      <c r="F50" s="38">
        <v>118.24</v>
      </c>
      <c r="G50" s="38">
        <v>239.39</v>
      </c>
      <c r="H50" s="38">
        <v>204.86</v>
      </c>
      <c r="I50" s="38">
        <v>172.34</v>
      </c>
      <c r="J50" s="38"/>
      <c r="K50" s="1"/>
      <c r="L50" s="1"/>
      <c r="M50" s="1"/>
      <c r="N50" s="1"/>
      <c r="O50" s="1"/>
      <c r="P50" s="1"/>
      <c r="Q50" s="1"/>
      <c r="R50" s="1"/>
      <c r="S50" s="1"/>
      <c r="T50" s="1"/>
      <c r="U50" s="1"/>
      <c r="V50" s="1"/>
      <c r="W50" s="46">
        <v>43524</v>
      </c>
      <c r="X50" s="8" t="s">
        <v>2585</v>
      </c>
      <c r="Y50" s="8" t="s">
        <v>2585</v>
      </c>
      <c r="Z50" s="8" t="s">
        <v>2585</v>
      </c>
      <c r="AA50" s="8" t="s">
        <v>2585</v>
      </c>
      <c r="AB50" s="47" t="s">
        <v>2585</v>
      </c>
      <c r="AC50" s="8" t="s">
        <v>2585</v>
      </c>
      <c r="AD50" s="8">
        <v>60000</v>
      </c>
      <c r="AE50" s="8">
        <v>6.1</v>
      </c>
      <c r="AF50" s="8">
        <v>7.45</v>
      </c>
      <c r="AG50" s="8">
        <v>84000</v>
      </c>
      <c r="AH50" s="45">
        <v>122.5</v>
      </c>
      <c r="AI50" s="8">
        <v>72000</v>
      </c>
      <c r="AJ50" s="8">
        <v>4.1500000000000004</v>
      </c>
      <c r="AK50" s="8">
        <v>5.4</v>
      </c>
      <c r="AL50" s="8">
        <v>84000</v>
      </c>
      <c r="AM50" s="8" t="s">
        <v>2585</v>
      </c>
      <c r="AN50" s="47" t="s">
        <v>2585</v>
      </c>
      <c r="AO50" s="8" t="s">
        <v>2585</v>
      </c>
      <c r="AP50" s="8" t="s">
        <v>2585</v>
      </c>
      <c r="AQ50" s="8" t="s">
        <v>2585</v>
      </c>
      <c r="AR50" s="8" t="s">
        <v>2585</v>
      </c>
      <c r="AS50" s="1"/>
      <c r="AT50" s="1"/>
      <c r="AU50" s="1"/>
      <c r="AV50" s="1"/>
      <c r="AW50" s="1"/>
      <c r="AX50" s="1"/>
      <c r="AY50" s="1"/>
      <c r="AZ50" s="1"/>
    </row>
    <row r="51" spans="1:52" x14ac:dyDescent="0.25">
      <c r="A51" s="1"/>
      <c r="B51" s="1"/>
      <c r="C51" s="1"/>
      <c r="D51" s="27" t="s">
        <v>2584</v>
      </c>
      <c r="E51" s="38">
        <v>4.6900000000000004</v>
      </c>
      <c r="F51" s="38">
        <v>4.49</v>
      </c>
      <c r="G51" s="38">
        <v>5.07</v>
      </c>
      <c r="H51" s="38">
        <v>5.31</v>
      </c>
      <c r="I51" s="38">
        <v>5.45</v>
      </c>
      <c r="J51" s="38"/>
      <c r="K51" s="1"/>
      <c r="L51" s="1"/>
      <c r="M51" s="1"/>
      <c r="N51" s="1"/>
      <c r="O51" s="1"/>
      <c r="P51" s="1"/>
      <c r="Q51" s="1"/>
      <c r="R51" s="1"/>
      <c r="S51" s="1"/>
      <c r="T51" s="1"/>
      <c r="U51" s="1"/>
      <c r="V51" s="1"/>
      <c r="W51" s="46">
        <v>43524</v>
      </c>
      <c r="X51" s="8">
        <v>6000</v>
      </c>
      <c r="Y51" s="8" t="s">
        <v>2585</v>
      </c>
      <c r="Z51" s="8" t="s">
        <v>2585</v>
      </c>
      <c r="AA51" s="8" t="s">
        <v>2585</v>
      </c>
      <c r="AB51" s="47" t="s">
        <v>2585</v>
      </c>
      <c r="AC51" s="8" t="s">
        <v>2585</v>
      </c>
      <c r="AD51" s="8">
        <v>84000</v>
      </c>
      <c r="AE51" s="8">
        <v>4.8</v>
      </c>
      <c r="AF51" s="8">
        <v>6.2</v>
      </c>
      <c r="AG51" s="8">
        <v>84000</v>
      </c>
      <c r="AH51" s="45">
        <v>125</v>
      </c>
      <c r="AI51" s="8">
        <v>12000</v>
      </c>
      <c r="AJ51" s="8">
        <v>5.55</v>
      </c>
      <c r="AK51" s="8">
        <v>6.55</v>
      </c>
      <c r="AL51" s="8">
        <v>36000</v>
      </c>
      <c r="AM51" s="8" t="s">
        <v>2585</v>
      </c>
      <c r="AN51" s="47" t="s">
        <v>2585</v>
      </c>
      <c r="AO51" s="8" t="s">
        <v>2585</v>
      </c>
      <c r="AP51" s="8" t="s">
        <v>2585</v>
      </c>
      <c r="AQ51" s="8" t="s">
        <v>2585</v>
      </c>
      <c r="AR51" s="8">
        <v>36000</v>
      </c>
      <c r="AS51" s="1"/>
      <c r="AT51" s="1"/>
      <c r="AU51" s="1"/>
      <c r="AV51" s="1"/>
      <c r="AW51" s="1"/>
      <c r="AX51" s="1"/>
      <c r="AY51" s="1"/>
      <c r="AZ51" s="1"/>
    </row>
    <row r="52" spans="1:52" x14ac:dyDescent="0.25">
      <c r="A52" s="1"/>
      <c r="B52" s="1"/>
      <c r="C52" s="1"/>
      <c r="D52" s="27"/>
      <c r="E52" s="38"/>
      <c r="F52" s="38"/>
      <c r="G52" s="38"/>
      <c r="H52" s="38"/>
      <c r="I52" s="38"/>
      <c r="J52" s="38"/>
      <c r="K52" s="1"/>
      <c r="L52" s="1"/>
      <c r="M52" s="1"/>
      <c r="N52" s="1"/>
      <c r="O52" s="1"/>
      <c r="P52" s="1"/>
      <c r="Q52" s="1"/>
      <c r="R52" s="1"/>
      <c r="S52" s="1"/>
      <c r="T52" s="1"/>
      <c r="U52" s="1"/>
      <c r="V52" s="1"/>
      <c r="W52" s="46">
        <v>43524</v>
      </c>
      <c r="X52" s="8" t="s">
        <v>2585</v>
      </c>
      <c r="Y52" s="8" t="s">
        <v>2585</v>
      </c>
      <c r="Z52" s="8" t="s">
        <v>2585</v>
      </c>
      <c r="AA52" s="8" t="s">
        <v>2585</v>
      </c>
      <c r="AB52" s="47" t="s">
        <v>2585</v>
      </c>
      <c r="AC52" s="8" t="s">
        <v>2585</v>
      </c>
      <c r="AD52" s="8">
        <v>24000</v>
      </c>
      <c r="AE52" s="8">
        <v>3.9</v>
      </c>
      <c r="AF52" s="8">
        <v>5.0999999999999996</v>
      </c>
      <c r="AG52" s="8">
        <v>84000</v>
      </c>
      <c r="AH52" s="45">
        <v>127.5</v>
      </c>
      <c r="AI52" s="8">
        <v>84000</v>
      </c>
      <c r="AJ52" s="8">
        <v>6.65</v>
      </c>
      <c r="AK52" s="8">
        <v>7.95</v>
      </c>
      <c r="AL52" s="8">
        <v>12000</v>
      </c>
      <c r="AM52" s="8" t="s">
        <v>2585</v>
      </c>
      <c r="AN52" s="47" t="s">
        <v>2585</v>
      </c>
      <c r="AO52" s="8" t="s">
        <v>2585</v>
      </c>
      <c r="AP52" s="8" t="s">
        <v>2585</v>
      </c>
      <c r="AQ52" s="8" t="s">
        <v>2585</v>
      </c>
      <c r="AR52" s="8" t="s">
        <v>2585</v>
      </c>
      <c r="AS52" s="1"/>
      <c r="AT52" s="1"/>
      <c r="AU52" s="1"/>
      <c r="AV52" s="1"/>
      <c r="AW52" s="1"/>
      <c r="AX52" s="1"/>
      <c r="AY52" s="1"/>
      <c r="AZ52" s="1"/>
    </row>
    <row r="53" spans="1:52" x14ac:dyDescent="0.25">
      <c r="A53" s="1"/>
      <c r="B53" s="1"/>
      <c r="C53" s="1"/>
      <c r="D53" s="27"/>
      <c r="E53" s="38"/>
      <c r="F53" s="38"/>
      <c r="G53" s="38"/>
      <c r="H53" s="38"/>
      <c r="I53" s="38"/>
      <c r="J53" s="38"/>
      <c r="K53" s="1"/>
      <c r="L53" s="1"/>
      <c r="M53" s="1"/>
      <c r="N53" s="1"/>
      <c r="O53" s="1"/>
      <c r="P53" s="1"/>
      <c r="Q53" s="1"/>
      <c r="R53" s="1"/>
      <c r="S53" s="1"/>
      <c r="T53" s="1"/>
      <c r="U53" s="1"/>
      <c r="V53" s="1"/>
      <c r="W53" s="46">
        <v>43524</v>
      </c>
      <c r="X53" s="8">
        <v>48000</v>
      </c>
      <c r="Y53" s="8" t="s">
        <v>2585</v>
      </c>
      <c r="Z53" s="8">
        <v>1</v>
      </c>
      <c r="AA53" s="8">
        <v>26.09</v>
      </c>
      <c r="AB53" s="47">
        <v>3.5</v>
      </c>
      <c r="AC53" s="8">
        <v>-0.4</v>
      </c>
      <c r="AD53" s="8">
        <v>36000</v>
      </c>
      <c r="AE53" s="8">
        <v>3.05</v>
      </c>
      <c r="AF53" s="8">
        <v>4</v>
      </c>
      <c r="AG53" s="8">
        <v>30000</v>
      </c>
      <c r="AH53" s="45">
        <v>130</v>
      </c>
      <c r="AI53" s="8">
        <v>84000</v>
      </c>
      <c r="AJ53" s="8">
        <v>8.25</v>
      </c>
      <c r="AK53" s="8">
        <v>9.6999999999999993</v>
      </c>
      <c r="AL53" s="8">
        <v>72000</v>
      </c>
      <c r="AM53" s="8" t="s">
        <v>2585</v>
      </c>
      <c r="AN53" s="47" t="s">
        <v>2585</v>
      </c>
      <c r="AO53" s="8" t="s">
        <v>2585</v>
      </c>
      <c r="AP53" s="8" t="s">
        <v>2585</v>
      </c>
      <c r="AQ53" s="8" t="s">
        <v>2585</v>
      </c>
      <c r="AR53" s="8">
        <v>18000</v>
      </c>
      <c r="AS53" s="1"/>
      <c r="AT53" s="1"/>
      <c r="AU53" s="1"/>
      <c r="AV53" s="1"/>
      <c r="AW53" s="1"/>
      <c r="AX53" s="1"/>
      <c r="AY53" s="1"/>
      <c r="AZ53" s="1"/>
    </row>
    <row r="54" spans="1:52" x14ac:dyDescent="0.25">
      <c r="A54" s="1"/>
      <c r="B54" s="1"/>
      <c r="C54" s="1"/>
      <c r="D54" s="27"/>
      <c r="E54" s="38"/>
      <c r="F54" s="38"/>
      <c r="G54" s="38"/>
      <c r="H54" s="38"/>
      <c r="I54" s="38"/>
      <c r="J54" s="38"/>
      <c r="K54" s="1"/>
      <c r="L54" s="1"/>
      <c r="M54" s="1"/>
      <c r="N54" s="1"/>
      <c r="O54" s="1"/>
      <c r="P54" s="1"/>
      <c r="Q54" s="1"/>
      <c r="R54" s="1"/>
      <c r="S54" s="1"/>
      <c r="T54" s="1"/>
      <c r="U54" s="1"/>
      <c r="V54" s="1"/>
      <c r="W54" s="46">
        <v>43524</v>
      </c>
      <c r="X54" s="8" t="s">
        <v>2585</v>
      </c>
      <c r="Y54" s="8" t="s">
        <v>2585</v>
      </c>
      <c r="Z54" s="8" t="s">
        <v>2585</v>
      </c>
      <c r="AA54" s="8" t="s">
        <v>2585</v>
      </c>
      <c r="AB54" s="47" t="s">
        <v>2585</v>
      </c>
      <c r="AC54" s="8" t="s">
        <v>2585</v>
      </c>
      <c r="AD54" s="8">
        <v>60000</v>
      </c>
      <c r="AE54" s="8">
        <v>2.2999999999999998</v>
      </c>
      <c r="AF54" s="8">
        <v>3.55</v>
      </c>
      <c r="AG54" s="8">
        <v>84000</v>
      </c>
      <c r="AH54" s="45">
        <v>132.5</v>
      </c>
      <c r="AI54" s="8">
        <v>60000</v>
      </c>
      <c r="AJ54" s="8">
        <v>10</v>
      </c>
      <c r="AK54" s="8">
        <v>11.45</v>
      </c>
      <c r="AL54" s="8">
        <v>72000</v>
      </c>
      <c r="AM54" s="8" t="s">
        <v>2585</v>
      </c>
      <c r="AN54" s="47" t="s">
        <v>2585</v>
      </c>
      <c r="AO54" s="8" t="s">
        <v>2585</v>
      </c>
      <c r="AP54" s="8" t="s">
        <v>2585</v>
      </c>
      <c r="AQ54" s="8" t="s">
        <v>2585</v>
      </c>
      <c r="AR54" s="8" t="s">
        <v>2585</v>
      </c>
      <c r="AS54" s="1"/>
      <c r="AT54" s="1"/>
      <c r="AU54" s="1"/>
      <c r="AV54" s="1"/>
      <c r="AW54" s="1"/>
      <c r="AX54" s="1"/>
      <c r="AY54" s="1"/>
      <c r="AZ54" s="1"/>
    </row>
    <row r="55" spans="1:52" x14ac:dyDescent="0.25">
      <c r="A55" s="1"/>
      <c r="B55" s="1"/>
      <c r="C55" s="1"/>
      <c r="D55" s="27"/>
      <c r="E55" s="38"/>
      <c r="F55" s="38"/>
      <c r="G55" s="38"/>
      <c r="H55" s="38"/>
      <c r="I55" s="38"/>
      <c r="J55" s="38"/>
      <c r="K55" s="1"/>
      <c r="L55" s="1"/>
      <c r="M55" s="1"/>
      <c r="N55" s="1"/>
      <c r="O55" s="1"/>
      <c r="P55" s="1"/>
      <c r="Q55" s="1"/>
      <c r="R55" s="1"/>
      <c r="S55" s="1"/>
      <c r="T55" s="1"/>
      <c r="U55" s="1"/>
      <c r="V55" s="1"/>
      <c r="W55" s="46">
        <v>43524</v>
      </c>
      <c r="X55" s="8">
        <v>12000</v>
      </c>
      <c r="Y55" s="8" t="s">
        <v>2585</v>
      </c>
      <c r="Z55" s="8">
        <v>1</v>
      </c>
      <c r="AA55" s="8">
        <v>29.38</v>
      </c>
      <c r="AB55" s="47">
        <v>2.4</v>
      </c>
      <c r="AC55" s="8">
        <v>0.9</v>
      </c>
      <c r="AD55" s="8">
        <v>48000</v>
      </c>
      <c r="AE55" s="8">
        <v>1.75</v>
      </c>
      <c r="AF55" s="8">
        <v>2.4</v>
      </c>
      <c r="AG55" s="8">
        <v>6000</v>
      </c>
      <c r="AH55" s="45">
        <v>135</v>
      </c>
      <c r="AI55" s="8">
        <v>114000</v>
      </c>
      <c r="AJ55" s="8">
        <v>11.75</v>
      </c>
      <c r="AK55" s="8">
        <v>13.2</v>
      </c>
      <c r="AL55" s="8">
        <v>12000</v>
      </c>
      <c r="AM55" s="8">
        <v>-6.15</v>
      </c>
      <c r="AN55" s="47">
        <v>12.65</v>
      </c>
      <c r="AO55" s="8">
        <v>47.29</v>
      </c>
      <c r="AP55" s="8">
        <v>2</v>
      </c>
      <c r="AQ55" s="8">
        <v>12000</v>
      </c>
      <c r="AR55" s="8">
        <v>30000</v>
      </c>
      <c r="AS55" s="1"/>
      <c r="AT55" s="1"/>
      <c r="AU55" s="1"/>
      <c r="AV55" s="1"/>
      <c r="AW55" s="1"/>
      <c r="AX55" s="1"/>
      <c r="AY55" s="1"/>
      <c r="AZ55" s="1"/>
    </row>
    <row r="56" spans="1:52" x14ac:dyDescent="0.25">
      <c r="A56" s="1"/>
      <c r="B56" s="1"/>
      <c r="C56" s="1"/>
      <c r="D56" s="27"/>
      <c r="E56" s="38"/>
      <c r="F56" s="38"/>
      <c r="G56" s="38"/>
      <c r="H56" s="38"/>
      <c r="I56" s="38"/>
      <c r="J56" s="38"/>
      <c r="K56" s="1"/>
      <c r="L56" s="1"/>
      <c r="M56" s="1"/>
      <c r="N56" s="1"/>
      <c r="O56" s="1"/>
      <c r="P56" s="1"/>
      <c r="Q56" s="1"/>
      <c r="R56" s="1"/>
      <c r="S56" s="1"/>
      <c r="T56" s="1"/>
      <c r="U56" s="1"/>
      <c r="V56" s="1"/>
      <c r="W56" s="46">
        <v>43524</v>
      </c>
      <c r="X56" s="8" t="s">
        <v>2585</v>
      </c>
      <c r="Y56" s="8" t="s">
        <v>2585</v>
      </c>
      <c r="Z56" s="8" t="s">
        <v>2585</v>
      </c>
      <c r="AA56" s="8" t="s">
        <v>2585</v>
      </c>
      <c r="AB56" s="47" t="s">
        <v>2585</v>
      </c>
      <c r="AC56" s="8" t="s">
        <v>2585</v>
      </c>
      <c r="AD56" s="8">
        <v>72000</v>
      </c>
      <c r="AE56" s="8">
        <v>1.2</v>
      </c>
      <c r="AF56" s="8">
        <v>2.4</v>
      </c>
      <c r="AG56" s="8">
        <v>84000</v>
      </c>
      <c r="AH56" s="45">
        <v>137.5</v>
      </c>
      <c r="AI56" s="8">
        <v>60000</v>
      </c>
      <c r="AJ56" s="8">
        <v>13.8</v>
      </c>
      <c r="AK56" s="8">
        <v>15.35</v>
      </c>
      <c r="AL56" s="8">
        <v>48000</v>
      </c>
      <c r="AM56" s="8" t="s">
        <v>2585</v>
      </c>
      <c r="AN56" s="47" t="s">
        <v>2585</v>
      </c>
      <c r="AO56" s="8" t="s">
        <v>2585</v>
      </c>
      <c r="AP56" s="8" t="s">
        <v>2585</v>
      </c>
      <c r="AQ56" s="8" t="s">
        <v>2585</v>
      </c>
      <c r="AR56" s="8" t="s">
        <v>2585</v>
      </c>
      <c r="AS56" s="1"/>
      <c r="AT56" s="1"/>
      <c r="AU56" s="1"/>
      <c r="AV56" s="1"/>
      <c r="AW56" s="1"/>
      <c r="AX56" s="1"/>
      <c r="AY56" s="1"/>
      <c r="AZ56" s="1"/>
    </row>
    <row r="57" spans="1:52" x14ac:dyDescent="0.25">
      <c r="A57" s="1"/>
      <c r="B57" s="1"/>
      <c r="C57" s="1"/>
      <c r="D57" s="27"/>
      <c r="E57" s="38"/>
      <c r="F57" s="38"/>
      <c r="G57" s="38"/>
      <c r="H57" s="38"/>
      <c r="I57" s="38"/>
      <c r="J57" s="38"/>
      <c r="K57" s="1"/>
      <c r="L57" s="1"/>
      <c r="M57" s="1"/>
      <c r="N57" s="1"/>
      <c r="O57" s="1"/>
      <c r="P57" s="1"/>
      <c r="Q57" s="1"/>
      <c r="R57" s="1"/>
      <c r="S57" s="1"/>
      <c r="T57" s="1"/>
      <c r="U57" s="1"/>
      <c r="V57" s="1"/>
      <c r="W57" s="46">
        <v>43524</v>
      </c>
      <c r="X57" s="8">
        <v>6000</v>
      </c>
      <c r="Y57" s="8" t="s">
        <v>2585</v>
      </c>
      <c r="Z57" s="8">
        <v>1</v>
      </c>
      <c r="AA57" s="8">
        <v>31.59</v>
      </c>
      <c r="AB57" s="47">
        <v>1.6</v>
      </c>
      <c r="AC57" s="8">
        <v>0.2</v>
      </c>
      <c r="AD57" s="8">
        <v>6000</v>
      </c>
      <c r="AE57" s="8">
        <v>1.1000000000000001</v>
      </c>
      <c r="AF57" s="8">
        <v>1.4</v>
      </c>
      <c r="AG57" s="8">
        <v>12000</v>
      </c>
      <c r="AH57" s="45">
        <v>140</v>
      </c>
      <c r="AI57" s="8">
        <v>84000</v>
      </c>
      <c r="AJ57" s="8">
        <v>15.75</v>
      </c>
      <c r="AK57" s="8">
        <v>17.55</v>
      </c>
      <c r="AL57" s="8">
        <v>84000</v>
      </c>
      <c r="AM57" s="8" t="s">
        <v>2585</v>
      </c>
      <c r="AN57" s="47" t="s">
        <v>2585</v>
      </c>
      <c r="AO57" s="8" t="s">
        <v>2585</v>
      </c>
      <c r="AP57" s="8" t="s">
        <v>2585</v>
      </c>
      <c r="AQ57" s="8" t="s">
        <v>2585</v>
      </c>
      <c r="AR57" s="8">
        <v>12000</v>
      </c>
      <c r="AS57" s="1"/>
      <c r="AT57" s="1"/>
      <c r="AU57" s="1"/>
      <c r="AV57" s="1"/>
      <c r="AW57" s="1"/>
      <c r="AX57" s="1"/>
      <c r="AY57" s="1"/>
      <c r="AZ57" s="1"/>
    </row>
    <row r="58" spans="1:52" x14ac:dyDescent="0.25">
      <c r="A58" s="1"/>
      <c r="B58" s="1"/>
      <c r="C58" s="1"/>
      <c r="D58" s="27"/>
      <c r="E58" s="38"/>
      <c r="F58" s="38"/>
      <c r="G58" s="38"/>
      <c r="H58" s="38"/>
      <c r="I58" s="38"/>
      <c r="J58" s="38"/>
      <c r="K58" s="1"/>
      <c r="L58" s="1"/>
      <c r="M58" s="1"/>
      <c r="N58" s="1"/>
      <c r="O58" s="1"/>
      <c r="P58" s="1"/>
      <c r="Q58" s="1"/>
      <c r="R58" s="1"/>
      <c r="S58" s="1"/>
      <c r="T58" s="1"/>
      <c r="U58" s="1"/>
      <c r="V58" s="1"/>
      <c r="W58" s="46">
        <v>43524</v>
      </c>
      <c r="X58" s="8" t="s">
        <v>2585</v>
      </c>
      <c r="Y58" s="8" t="s">
        <v>2585</v>
      </c>
      <c r="Z58" s="8" t="s">
        <v>2585</v>
      </c>
      <c r="AA58" s="8" t="s">
        <v>2585</v>
      </c>
      <c r="AB58" s="47" t="s">
        <v>2585</v>
      </c>
      <c r="AC58" s="8" t="s">
        <v>2585</v>
      </c>
      <c r="AD58" s="8">
        <v>60000</v>
      </c>
      <c r="AE58" s="8">
        <v>0.65</v>
      </c>
      <c r="AF58" s="8">
        <v>1.65</v>
      </c>
      <c r="AG58" s="8">
        <v>60000</v>
      </c>
      <c r="AH58" s="45">
        <v>142.5</v>
      </c>
      <c r="AI58" s="8">
        <v>48000</v>
      </c>
      <c r="AJ58" s="8">
        <v>18.149999999999999</v>
      </c>
      <c r="AK58" s="8">
        <v>19.649999999999999</v>
      </c>
      <c r="AL58" s="8">
        <v>12000</v>
      </c>
      <c r="AM58" s="8" t="s">
        <v>2585</v>
      </c>
      <c r="AN58" s="47" t="s">
        <v>2585</v>
      </c>
      <c r="AO58" s="8" t="s">
        <v>2585</v>
      </c>
      <c r="AP58" s="8" t="s">
        <v>2585</v>
      </c>
      <c r="AQ58" s="8" t="s">
        <v>2585</v>
      </c>
      <c r="AR58" s="8" t="s">
        <v>2585</v>
      </c>
      <c r="AS58" s="1"/>
      <c r="AT58" s="1"/>
      <c r="AU58" s="1"/>
      <c r="AV58" s="1"/>
      <c r="AW58" s="1"/>
      <c r="AX58" s="1"/>
      <c r="AY58" s="1"/>
      <c r="AZ58" s="1"/>
    </row>
    <row r="59" spans="1:52" x14ac:dyDescent="0.25">
      <c r="A59" s="1"/>
      <c r="B59" s="1"/>
      <c r="C59" s="1"/>
      <c r="D59" s="27"/>
      <c r="E59" s="38"/>
      <c r="F59" s="38"/>
      <c r="G59" s="38"/>
      <c r="H59" s="38"/>
      <c r="I59" s="38"/>
      <c r="J59" s="38"/>
      <c r="K59" s="1"/>
      <c r="L59" s="1"/>
      <c r="M59" s="1"/>
      <c r="N59" s="1"/>
      <c r="O59" s="1"/>
      <c r="P59" s="1"/>
      <c r="Q59" s="1"/>
      <c r="R59" s="1"/>
      <c r="S59" s="1"/>
      <c r="T59" s="1"/>
      <c r="U59" s="1"/>
      <c r="V59" s="1"/>
      <c r="W59" s="46">
        <v>43524</v>
      </c>
      <c r="X59" s="8" t="s">
        <v>2585</v>
      </c>
      <c r="Y59" s="8" t="s">
        <v>2585</v>
      </c>
      <c r="Z59" s="8" t="s">
        <v>2585</v>
      </c>
      <c r="AA59" s="8" t="s">
        <v>2585</v>
      </c>
      <c r="AB59" s="47" t="s">
        <v>2585</v>
      </c>
      <c r="AC59" s="8" t="s">
        <v>2585</v>
      </c>
      <c r="AD59" s="8">
        <v>60000</v>
      </c>
      <c r="AE59" s="8">
        <v>0.45</v>
      </c>
      <c r="AF59" s="8">
        <v>1.4</v>
      </c>
      <c r="AG59" s="8">
        <v>60000</v>
      </c>
      <c r="AH59" s="45">
        <v>145</v>
      </c>
      <c r="AI59" s="8">
        <v>90000</v>
      </c>
      <c r="AJ59" s="8">
        <v>20.3</v>
      </c>
      <c r="AK59" s="8">
        <v>21.95</v>
      </c>
      <c r="AL59" s="8">
        <v>36000</v>
      </c>
      <c r="AM59" s="8" t="s">
        <v>2585</v>
      </c>
      <c r="AN59" s="47" t="s">
        <v>2585</v>
      </c>
      <c r="AO59" s="8" t="s">
        <v>2585</v>
      </c>
      <c r="AP59" s="8" t="s">
        <v>2585</v>
      </c>
      <c r="AQ59" s="8" t="s">
        <v>2585</v>
      </c>
      <c r="AR59" s="8" t="s">
        <v>2585</v>
      </c>
      <c r="AS59" s="1"/>
      <c r="AT59" s="1"/>
      <c r="AU59" s="1"/>
      <c r="AV59" s="1"/>
      <c r="AW59" s="1"/>
      <c r="AX59" s="1"/>
      <c r="AY59" s="1"/>
      <c r="AZ59" s="1"/>
    </row>
    <row r="60" spans="1:52" x14ac:dyDescent="0.25">
      <c r="A60" s="1"/>
      <c r="B60" s="1"/>
      <c r="C60" s="1"/>
      <c r="D60" s="27"/>
      <c r="E60" s="38"/>
      <c r="F60" s="38"/>
      <c r="G60" s="38"/>
      <c r="H60" s="38"/>
      <c r="I60" s="38"/>
      <c r="J60" s="38"/>
      <c r="K60" s="1"/>
      <c r="L60" s="1"/>
      <c r="M60" s="1"/>
      <c r="N60" s="1"/>
      <c r="O60" s="1"/>
      <c r="P60" s="1"/>
      <c r="Q60" s="1"/>
      <c r="R60" s="1"/>
      <c r="S60" s="1"/>
      <c r="T60" s="1"/>
      <c r="U60" s="1"/>
      <c r="V60" s="1"/>
      <c r="W60" s="46">
        <v>43524</v>
      </c>
      <c r="X60" s="8" t="s">
        <v>2585</v>
      </c>
      <c r="Y60" s="8" t="s">
        <v>2585</v>
      </c>
      <c r="Z60" s="8" t="s">
        <v>2585</v>
      </c>
      <c r="AA60" s="8" t="s">
        <v>2585</v>
      </c>
      <c r="AB60" s="47" t="s">
        <v>2585</v>
      </c>
      <c r="AC60" s="8" t="s">
        <v>2585</v>
      </c>
      <c r="AD60" s="8">
        <v>60000</v>
      </c>
      <c r="AE60" s="8">
        <v>0.1</v>
      </c>
      <c r="AF60" s="8">
        <v>1.4</v>
      </c>
      <c r="AG60" s="8">
        <v>60000</v>
      </c>
      <c r="AH60" s="45">
        <v>147.5</v>
      </c>
      <c r="AI60" s="8">
        <v>60000</v>
      </c>
      <c r="AJ60" s="8">
        <v>22.6</v>
      </c>
      <c r="AK60" s="8">
        <v>24.3</v>
      </c>
      <c r="AL60" s="8">
        <v>48000</v>
      </c>
      <c r="AM60" s="8" t="s">
        <v>2585</v>
      </c>
      <c r="AN60" s="47" t="s">
        <v>2585</v>
      </c>
      <c r="AO60" s="8" t="s">
        <v>2585</v>
      </c>
      <c r="AP60" s="8" t="s">
        <v>2585</v>
      </c>
      <c r="AQ60" s="8" t="s">
        <v>2585</v>
      </c>
      <c r="AR60" s="8" t="s">
        <v>2585</v>
      </c>
      <c r="AS60" s="1"/>
      <c r="AT60" s="1"/>
      <c r="AU60" s="1"/>
      <c r="AV60" s="1"/>
      <c r="AW60" s="1"/>
      <c r="AX60" s="1"/>
      <c r="AY60" s="1"/>
      <c r="AZ60" s="1"/>
    </row>
    <row r="61" spans="1:52" x14ac:dyDescent="0.25">
      <c r="A61" s="1"/>
      <c r="B61" s="1"/>
      <c r="C61" s="1"/>
      <c r="D61" s="27"/>
      <c r="E61" s="38"/>
      <c r="F61" s="38"/>
      <c r="G61" s="38"/>
      <c r="H61" s="38"/>
      <c r="I61" s="38"/>
      <c r="J61" s="38"/>
      <c r="K61" s="1"/>
      <c r="L61" s="1"/>
      <c r="M61" s="1"/>
      <c r="N61" s="1"/>
      <c r="O61" s="1"/>
      <c r="P61" s="1"/>
      <c r="Q61" s="1"/>
      <c r="R61" s="1"/>
      <c r="S61" s="1"/>
      <c r="T61" s="1"/>
      <c r="U61" s="1"/>
      <c r="V61" s="1"/>
      <c r="W61" s="46">
        <v>43524</v>
      </c>
      <c r="X61" s="8" t="s">
        <v>2585</v>
      </c>
      <c r="Y61" s="8" t="s">
        <v>2585</v>
      </c>
      <c r="Z61" s="8" t="s">
        <v>2585</v>
      </c>
      <c r="AA61" s="8" t="s">
        <v>2585</v>
      </c>
      <c r="AB61" s="47" t="s">
        <v>2585</v>
      </c>
      <c r="AC61" s="8" t="s">
        <v>2585</v>
      </c>
      <c r="AD61" s="8">
        <v>60000</v>
      </c>
      <c r="AE61" s="8">
        <v>0.1</v>
      </c>
      <c r="AF61" s="8">
        <v>0.8</v>
      </c>
      <c r="AG61" s="8">
        <v>6000</v>
      </c>
      <c r="AH61" s="45">
        <v>150</v>
      </c>
      <c r="AI61" s="8">
        <v>72000</v>
      </c>
      <c r="AJ61" s="8">
        <v>24.75</v>
      </c>
      <c r="AK61" s="8">
        <v>26.55</v>
      </c>
      <c r="AL61" s="8">
        <v>18000</v>
      </c>
      <c r="AM61" s="8" t="s">
        <v>2585</v>
      </c>
      <c r="AN61" s="47" t="s">
        <v>2585</v>
      </c>
      <c r="AO61" s="8" t="s">
        <v>2585</v>
      </c>
      <c r="AP61" s="8" t="s">
        <v>2585</v>
      </c>
      <c r="AQ61" s="8" t="s">
        <v>2585</v>
      </c>
      <c r="AR61" s="8" t="s">
        <v>2585</v>
      </c>
      <c r="AS61" s="1"/>
      <c r="AT61" s="1"/>
      <c r="AU61" s="1"/>
      <c r="AV61" s="1"/>
      <c r="AW61" s="1"/>
      <c r="AX61" s="1"/>
      <c r="AY61" s="1"/>
      <c r="AZ61" s="1"/>
    </row>
    <row r="62" spans="1:52" x14ac:dyDescent="0.25">
      <c r="A62" s="1"/>
      <c r="B62" s="1"/>
      <c r="C62" s="1"/>
      <c r="D62" s="27"/>
      <c r="E62" s="38"/>
      <c r="F62" s="38"/>
      <c r="G62" s="38"/>
      <c r="H62" s="38"/>
      <c r="I62" s="38"/>
      <c r="J62" s="38"/>
      <c r="K62" s="1"/>
      <c r="L62" s="1"/>
      <c r="M62" s="1"/>
      <c r="N62" s="1"/>
      <c r="O62" s="1"/>
      <c r="P62" s="1"/>
      <c r="Q62" s="1"/>
      <c r="R62" s="1"/>
      <c r="S62" s="1"/>
      <c r="T62" s="1"/>
      <c r="U62" s="1"/>
      <c r="V62" s="1"/>
      <c r="W62" s="46">
        <v>43552</v>
      </c>
      <c r="X62" s="8" t="s">
        <v>2585</v>
      </c>
      <c r="Y62" s="8" t="s">
        <v>2585</v>
      </c>
      <c r="Z62" s="8" t="s">
        <v>2585</v>
      </c>
      <c r="AA62" s="8" t="s">
        <v>2585</v>
      </c>
      <c r="AB62" s="47" t="s">
        <v>2585</v>
      </c>
      <c r="AC62" s="8" t="s">
        <v>2585</v>
      </c>
      <c r="AD62" s="8" t="s">
        <v>2585</v>
      </c>
      <c r="AE62" s="8" t="s">
        <v>2585</v>
      </c>
      <c r="AF62" s="8" t="s">
        <v>2585</v>
      </c>
      <c r="AG62" s="8" t="s">
        <v>2585</v>
      </c>
      <c r="AH62" s="45">
        <v>120</v>
      </c>
      <c r="AI62" s="8" t="s">
        <v>2585</v>
      </c>
      <c r="AJ62" s="8" t="s">
        <v>2585</v>
      </c>
      <c r="AK62" s="8" t="s">
        <v>2585</v>
      </c>
      <c r="AL62" s="8" t="s">
        <v>2585</v>
      </c>
      <c r="AM62" s="8" t="s">
        <v>2585</v>
      </c>
      <c r="AN62" s="47" t="s">
        <v>2585</v>
      </c>
      <c r="AO62" s="8" t="s">
        <v>2585</v>
      </c>
      <c r="AP62" s="8" t="s">
        <v>2585</v>
      </c>
      <c r="AQ62" s="8" t="s">
        <v>2585</v>
      </c>
      <c r="AR62" s="8" t="s">
        <v>2585</v>
      </c>
      <c r="AS62" s="1"/>
      <c r="AT62" s="1"/>
      <c r="AU62" s="1"/>
      <c r="AV62" s="1"/>
      <c r="AW62" s="1"/>
      <c r="AX62" s="1"/>
      <c r="AY62" s="1"/>
      <c r="AZ62" s="1"/>
    </row>
    <row r="63" spans="1:52" x14ac:dyDescent="0.25">
      <c r="A63" s="1"/>
      <c r="B63" s="1"/>
      <c r="C63" s="1"/>
      <c r="D63" s="27"/>
      <c r="E63" s="38"/>
      <c r="F63" s="38"/>
      <c r="G63" s="38"/>
      <c r="H63" s="38"/>
      <c r="I63" s="38"/>
      <c r="J63" s="38"/>
      <c r="K63" s="1"/>
      <c r="L63" s="1"/>
      <c r="M63" s="1"/>
      <c r="N63" s="1"/>
      <c r="O63" s="1"/>
      <c r="P63" s="1"/>
      <c r="Q63" s="1"/>
      <c r="R63" s="1"/>
      <c r="S63" s="1"/>
      <c r="T63" s="1"/>
      <c r="U63" s="1"/>
      <c r="V63" s="1"/>
      <c r="W63" s="46">
        <v>43552</v>
      </c>
      <c r="X63" s="8" t="s">
        <v>2585</v>
      </c>
      <c r="Y63" s="8" t="s">
        <v>2585</v>
      </c>
      <c r="Z63" s="8" t="s">
        <v>2585</v>
      </c>
      <c r="AA63" s="8" t="s">
        <v>2585</v>
      </c>
      <c r="AB63" s="47" t="s">
        <v>2585</v>
      </c>
      <c r="AC63" s="8" t="s">
        <v>2585</v>
      </c>
      <c r="AD63" s="8" t="s">
        <v>2585</v>
      </c>
      <c r="AE63" s="8" t="s">
        <v>2585</v>
      </c>
      <c r="AF63" s="8" t="s">
        <v>2585</v>
      </c>
      <c r="AG63" s="8" t="s">
        <v>2585</v>
      </c>
      <c r="AH63" s="45">
        <v>125</v>
      </c>
      <c r="AI63" s="8" t="s">
        <v>2585</v>
      </c>
      <c r="AJ63" s="8" t="s">
        <v>2585</v>
      </c>
      <c r="AK63" s="8" t="s">
        <v>2585</v>
      </c>
      <c r="AL63" s="8" t="s">
        <v>2585</v>
      </c>
      <c r="AM63" s="8" t="s">
        <v>2585</v>
      </c>
      <c r="AN63" s="47" t="s">
        <v>2585</v>
      </c>
      <c r="AO63" s="8" t="s">
        <v>2585</v>
      </c>
      <c r="AP63" s="8" t="s">
        <v>2585</v>
      </c>
      <c r="AQ63" s="8" t="s">
        <v>2585</v>
      </c>
      <c r="AR63" s="8" t="s">
        <v>2585</v>
      </c>
      <c r="AS63" s="1"/>
      <c r="AT63" s="1"/>
      <c r="AU63" s="1"/>
      <c r="AV63" s="1"/>
      <c r="AW63" s="1"/>
      <c r="AX63" s="1"/>
      <c r="AY63" s="1"/>
      <c r="AZ63" s="1"/>
    </row>
    <row r="64" spans="1:52" x14ac:dyDescent="0.25">
      <c r="A64" s="1"/>
      <c r="B64" s="1"/>
      <c r="C64" s="1"/>
      <c r="D64" s="27"/>
      <c r="E64" s="38"/>
      <c r="F64" s="38"/>
      <c r="G64" s="38"/>
      <c r="H64" s="38"/>
      <c r="I64" s="38"/>
      <c r="J64" s="38"/>
      <c r="K64" s="1"/>
      <c r="L64" s="1"/>
      <c r="M64" s="1"/>
      <c r="N64" s="1"/>
      <c r="O64" s="1"/>
      <c r="P64" s="1"/>
      <c r="Q64" s="1"/>
      <c r="R64" s="1"/>
      <c r="S64" s="1"/>
      <c r="T64" s="1"/>
      <c r="U64" s="1"/>
      <c r="V64" s="1"/>
      <c r="W64" s="46">
        <v>43552</v>
      </c>
      <c r="X64" s="8" t="s">
        <v>2585</v>
      </c>
      <c r="Y64" s="8" t="s">
        <v>2585</v>
      </c>
      <c r="Z64" s="8" t="s">
        <v>2585</v>
      </c>
      <c r="AA64" s="8" t="s">
        <v>2585</v>
      </c>
      <c r="AB64" s="47" t="s">
        <v>2585</v>
      </c>
      <c r="AC64" s="8" t="s">
        <v>2585</v>
      </c>
      <c r="AD64" s="8" t="s">
        <v>2585</v>
      </c>
      <c r="AE64" s="8" t="s">
        <v>2585</v>
      </c>
      <c r="AF64" s="8" t="s">
        <v>2585</v>
      </c>
      <c r="AG64" s="8" t="s">
        <v>2585</v>
      </c>
      <c r="AH64" s="45">
        <v>130</v>
      </c>
      <c r="AI64" s="8" t="s">
        <v>2585</v>
      </c>
      <c r="AJ64" s="8" t="s">
        <v>2585</v>
      </c>
      <c r="AK64" s="8" t="s">
        <v>2585</v>
      </c>
      <c r="AL64" s="8" t="s">
        <v>2585</v>
      </c>
      <c r="AM64" s="8" t="s">
        <v>2585</v>
      </c>
      <c r="AN64" s="47" t="s">
        <v>2585</v>
      </c>
      <c r="AO64" s="8" t="s">
        <v>2585</v>
      </c>
      <c r="AP64" s="8" t="s">
        <v>2585</v>
      </c>
      <c r="AQ64" s="8" t="s">
        <v>2585</v>
      </c>
      <c r="AR64" s="8" t="s">
        <v>2585</v>
      </c>
      <c r="AS64" s="1"/>
      <c r="AT64" s="1"/>
      <c r="AU64" s="1"/>
      <c r="AV64" s="1"/>
      <c r="AW64" s="1"/>
      <c r="AX64" s="1"/>
      <c r="AY64" s="1"/>
      <c r="AZ64" s="1"/>
    </row>
    <row r="65" spans="1:52" x14ac:dyDescent="0.25">
      <c r="A65" s="1"/>
      <c r="B65" s="1"/>
      <c r="C65" s="1"/>
      <c r="D65" s="27"/>
      <c r="E65" s="38"/>
      <c r="F65" s="38"/>
      <c r="G65" s="38"/>
      <c r="H65" s="38"/>
      <c r="I65" s="38"/>
      <c r="J65" s="38"/>
      <c r="K65" s="1"/>
      <c r="L65" s="1"/>
      <c r="M65" s="1"/>
      <c r="N65" s="1"/>
      <c r="O65" s="1"/>
      <c r="P65" s="1"/>
      <c r="Q65" s="1"/>
      <c r="R65" s="1"/>
      <c r="S65" s="1"/>
      <c r="T65" s="1"/>
      <c r="U65" s="1"/>
      <c r="V65" s="1"/>
      <c r="W65" s="46"/>
      <c r="X65" s="8"/>
      <c r="Y65" s="8"/>
      <c r="Z65" s="8"/>
      <c r="AA65" s="8"/>
      <c r="AB65" s="47"/>
      <c r="AC65" s="8"/>
      <c r="AD65" s="8"/>
      <c r="AE65" s="8"/>
      <c r="AF65" s="8"/>
      <c r="AG65" s="8"/>
      <c r="AH65" s="45"/>
      <c r="AI65" s="8"/>
      <c r="AJ65" s="8"/>
      <c r="AK65" s="8"/>
      <c r="AL65" s="8"/>
      <c r="AM65" s="8"/>
      <c r="AN65" s="47"/>
      <c r="AO65" s="8"/>
      <c r="AP65" s="8"/>
      <c r="AQ65" s="8"/>
      <c r="AR65" s="8"/>
      <c r="AS65" s="1"/>
      <c r="AT65" s="1"/>
      <c r="AU65" s="1"/>
      <c r="AV65" s="1"/>
      <c r="AW65" s="1"/>
      <c r="AX65" s="1"/>
      <c r="AY65" s="1"/>
      <c r="AZ65" s="1"/>
    </row>
    <row r="66" spans="1:52" x14ac:dyDescent="0.25">
      <c r="A66" s="1"/>
      <c r="B66" s="1"/>
      <c r="C66" s="1"/>
      <c r="D66" s="27"/>
      <c r="E66" s="38"/>
      <c r="F66" s="38"/>
      <c r="G66" s="38"/>
      <c r="H66" s="38"/>
      <c r="I66" s="38"/>
      <c r="J66" s="38"/>
      <c r="K66" s="1"/>
      <c r="L66" s="1"/>
      <c r="M66" s="1"/>
      <c r="N66" s="1"/>
      <c r="O66" s="1"/>
      <c r="P66" s="1"/>
      <c r="Q66" s="1"/>
      <c r="R66" s="1"/>
      <c r="S66" s="1"/>
      <c r="T66" s="1"/>
      <c r="U66" s="1"/>
      <c r="V66" s="1"/>
      <c r="W66" s="46"/>
      <c r="X66" s="8"/>
      <c r="Y66" s="8"/>
      <c r="Z66" s="8"/>
      <c r="AA66" s="8"/>
      <c r="AB66" s="47"/>
      <c r="AC66" s="8"/>
      <c r="AD66" s="8"/>
      <c r="AE66" s="8"/>
      <c r="AF66" s="8"/>
      <c r="AG66" s="8"/>
      <c r="AH66" s="45"/>
      <c r="AI66" s="8"/>
      <c r="AJ66" s="8"/>
      <c r="AK66" s="8"/>
      <c r="AL66" s="8"/>
      <c r="AM66" s="8"/>
      <c r="AN66" s="47"/>
      <c r="AO66" s="8"/>
      <c r="AP66" s="8"/>
      <c r="AQ66" s="8"/>
      <c r="AR66" s="8"/>
      <c r="AS66" s="1"/>
      <c r="AT66" s="1"/>
      <c r="AU66" s="1"/>
      <c r="AV66" s="1"/>
      <c r="AW66" s="1"/>
      <c r="AX66" s="1"/>
      <c r="AY66" s="1"/>
      <c r="AZ66" s="1"/>
    </row>
    <row r="67" spans="1:52" x14ac:dyDescent="0.25">
      <c r="A67" s="1"/>
      <c r="B67" s="1"/>
      <c r="C67" s="1"/>
      <c r="D67" s="27"/>
      <c r="E67" s="38"/>
      <c r="F67" s="38"/>
      <c r="G67" s="38"/>
      <c r="H67" s="38"/>
      <c r="I67" s="38"/>
      <c r="J67" s="38"/>
      <c r="K67" s="1"/>
      <c r="L67" s="1"/>
      <c r="M67" s="1"/>
      <c r="N67" s="1"/>
      <c r="O67" s="1"/>
      <c r="P67" s="1"/>
      <c r="Q67" s="1"/>
      <c r="R67" s="1"/>
      <c r="S67" s="1"/>
      <c r="T67" s="1"/>
      <c r="U67" s="1"/>
      <c r="V67" s="1"/>
      <c r="W67" s="46"/>
      <c r="X67" s="8"/>
      <c r="Y67" s="8"/>
      <c r="Z67" s="8"/>
      <c r="AA67" s="8"/>
      <c r="AB67" s="47"/>
      <c r="AC67" s="8"/>
      <c r="AD67" s="8"/>
      <c r="AE67" s="8"/>
      <c r="AF67" s="8"/>
      <c r="AG67" s="8"/>
      <c r="AH67" s="45"/>
      <c r="AI67" s="8"/>
      <c r="AJ67" s="8"/>
      <c r="AK67" s="8"/>
      <c r="AL67" s="8"/>
      <c r="AM67" s="8"/>
      <c r="AN67" s="47"/>
      <c r="AO67" s="8"/>
      <c r="AP67" s="8"/>
      <c r="AQ67" s="8"/>
      <c r="AR67" s="8"/>
      <c r="AS67" s="1"/>
      <c r="AT67" s="1"/>
      <c r="AU67" s="1"/>
      <c r="AV67" s="1"/>
      <c r="AW67" s="1"/>
      <c r="AX67" s="1"/>
      <c r="AY67" s="1"/>
      <c r="AZ67" s="1"/>
    </row>
    <row r="68" spans="1:52" x14ac:dyDescent="0.25">
      <c r="A68" s="1"/>
      <c r="B68" s="1"/>
      <c r="C68" s="1"/>
      <c r="D68" s="27"/>
      <c r="E68" s="38"/>
      <c r="F68" s="38"/>
      <c r="G68" s="38"/>
      <c r="H68" s="38"/>
      <c r="I68" s="38"/>
      <c r="J68" s="38"/>
      <c r="K68" s="1"/>
      <c r="L68" s="1"/>
      <c r="M68" s="1"/>
      <c r="N68" s="1"/>
      <c r="O68" s="1"/>
      <c r="P68" s="1"/>
      <c r="Q68" s="1"/>
      <c r="R68" s="1"/>
      <c r="S68" s="1"/>
      <c r="T68" s="1"/>
      <c r="U68" s="1"/>
      <c r="V68" s="1"/>
      <c r="W68" s="46"/>
      <c r="X68" s="8"/>
      <c r="Y68" s="8"/>
      <c r="Z68" s="8"/>
      <c r="AA68" s="8"/>
      <c r="AB68" s="47"/>
      <c r="AC68" s="8"/>
      <c r="AD68" s="8"/>
      <c r="AE68" s="8"/>
      <c r="AF68" s="8"/>
      <c r="AG68" s="8"/>
      <c r="AH68" s="45"/>
      <c r="AI68" s="8"/>
      <c r="AJ68" s="8"/>
      <c r="AK68" s="8"/>
      <c r="AL68" s="8"/>
      <c r="AM68" s="8"/>
      <c r="AN68" s="47"/>
      <c r="AO68" s="8"/>
      <c r="AP68" s="8"/>
      <c r="AQ68" s="8"/>
      <c r="AR68" s="8"/>
      <c r="AS68" s="1"/>
      <c r="AT68" s="1"/>
      <c r="AU68" s="1"/>
      <c r="AV68" s="1"/>
      <c r="AW68" s="1"/>
      <c r="AX68" s="1"/>
      <c r="AY68" s="1"/>
      <c r="AZ68" s="1"/>
    </row>
    <row r="69" spans="1:52" x14ac:dyDescent="0.25">
      <c r="A69" s="1"/>
      <c r="B69" s="1"/>
      <c r="C69" s="1"/>
      <c r="D69" s="27"/>
      <c r="E69" s="38"/>
      <c r="F69" s="38"/>
      <c r="G69" s="38"/>
      <c r="H69" s="38"/>
      <c r="I69" s="38"/>
      <c r="J69" s="38"/>
      <c r="K69" s="1"/>
      <c r="L69" s="1"/>
      <c r="M69" s="1"/>
      <c r="N69" s="1"/>
      <c r="O69" s="1"/>
      <c r="P69" s="1"/>
      <c r="Q69" s="1"/>
      <c r="R69" s="1"/>
      <c r="S69" s="1"/>
      <c r="T69" s="1"/>
      <c r="U69" s="1"/>
      <c r="V69" s="1"/>
      <c r="W69" s="46"/>
      <c r="X69" s="8"/>
      <c r="Y69" s="8"/>
      <c r="Z69" s="8"/>
      <c r="AA69" s="8"/>
      <c r="AB69" s="47"/>
      <c r="AC69" s="8"/>
      <c r="AD69" s="8"/>
      <c r="AE69" s="8"/>
      <c r="AF69" s="8"/>
      <c r="AG69" s="8"/>
      <c r="AH69" s="45"/>
      <c r="AI69" s="8"/>
      <c r="AJ69" s="8"/>
      <c r="AK69" s="8"/>
      <c r="AL69" s="8"/>
      <c r="AM69" s="8"/>
      <c r="AN69" s="47"/>
      <c r="AO69" s="8"/>
      <c r="AP69" s="8"/>
      <c r="AQ69" s="8"/>
      <c r="AR69" s="8"/>
      <c r="AS69" s="1"/>
      <c r="AT69" s="1"/>
      <c r="AU69" s="1"/>
      <c r="AV69" s="1"/>
      <c r="AW69" s="1"/>
      <c r="AX69" s="1"/>
      <c r="AY69" s="1"/>
      <c r="AZ69" s="1"/>
    </row>
    <row r="70" spans="1:52" x14ac:dyDescent="0.25">
      <c r="A70" s="1"/>
      <c r="B70" s="1"/>
      <c r="C70" s="1"/>
      <c r="D70" s="27"/>
      <c r="E70" s="38"/>
      <c r="F70" s="38"/>
      <c r="G70" s="38"/>
      <c r="H70" s="38"/>
      <c r="I70" s="38"/>
      <c r="J70" s="38"/>
      <c r="K70" s="1"/>
      <c r="L70" s="1"/>
      <c r="M70" s="1"/>
      <c r="N70" s="1"/>
      <c r="O70" s="1"/>
      <c r="P70" s="1"/>
      <c r="Q70" s="1"/>
      <c r="R70" s="1"/>
      <c r="S70" s="1"/>
      <c r="T70" s="1"/>
      <c r="U70" s="1"/>
      <c r="V70" s="1"/>
      <c r="W70" s="46"/>
      <c r="X70" s="8"/>
      <c r="Y70" s="8"/>
      <c r="Z70" s="8"/>
      <c r="AA70" s="8"/>
      <c r="AB70" s="47"/>
      <c r="AC70" s="8"/>
      <c r="AD70" s="8"/>
      <c r="AE70" s="8"/>
      <c r="AF70" s="8"/>
      <c r="AG70" s="8"/>
      <c r="AH70" s="45"/>
      <c r="AI70" s="8"/>
      <c r="AJ70" s="8"/>
      <c r="AK70" s="8"/>
      <c r="AL70" s="8"/>
      <c r="AM70" s="8"/>
      <c r="AN70" s="47"/>
      <c r="AO70" s="8"/>
      <c r="AP70" s="8"/>
      <c r="AQ70" s="8"/>
      <c r="AR70" s="8"/>
      <c r="AS70" s="1"/>
      <c r="AT70" s="1"/>
      <c r="AU70" s="1"/>
      <c r="AV70" s="1"/>
      <c r="AW70" s="1"/>
      <c r="AX70" s="1"/>
      <c r="AY70" s="1"/>
      <c r="AZ70" s="1"/>
    </row>
    <row r="71" spans="1:52" x14ac:dyDescent="0.25">
      <c r="A71" s="1"/>
      <c r="B71" s="1"/>
      <c r="C71" s="1"/>
      <c r="D71" s="27"/>
      <c r="E71" s="38"/>
      <c r="F71" s="38"/>
      <c r="G71" s="38"/>
      <c r="H71" s="38"/>
      <c r="I71" s="38"/>
      <c r="J71" s="38"/>
      <c r="K71" s="1"/>
      <c r="L71" s="1"/>
      <c r="M71" s="1"/>
      <c r="N71" s="1"/>
      <c r="O71" s="1"/>
      <c r="P71" s="1"/>
      <c r="Q71" s="1"/>
      <c r="R71" s="1"/>
      <c r="S71" s="1"/>
      <c r="T71" s="1"/>
      <c r="U71" s="1"/>
      <c r="V71" s="1"/>
      <c r="W71" s="46"/>
      <c r="X71" s="8"/>
      <c r="Y71" s="8"/>
      <c r="Z71" s="8"/>
      <c r="AA71" s="8"/>
      <c r="AB71" s="47"/>
      <c r="AC71" s="8"/>
      <c r="AD71" s="8"/>
      <c r="AE71" s="8"/>
      <c r="AF71" s="8"/>
      <c r="AG71" s="8"/>
      <c r="AH71" s="45"/>
      <c r="AI71" s="8"/>
      <c r="AJ71" s="8"/>
      <c r="AK71" s="8"/>
      <c r="AL71" s="8"/>
      <c r="AM71" s="8"/>
      <c r="AN71" s="47"/>
      <c r="AO71" s="8"/>
      <c r="AP71" s="8"/>
      <c r="AQ71" s="8"/>
      <c r="AR71" s="8"/>
      <c r="AS71" s="1"/>
      <c r="AT71" s="1"/>
      <c r="AU71" s="1"/>
      <c r="AV71" s="1"/>
      <c r="AW71" s="1"/>
      <c r="AX71" s="1"/>
      <c r="AY71" s="1"/>
      <c r="AZ71" s="1"/>
    </row>
    <row r="72" spans="1:52" x14ac:dyDescent="0.25">
      <c r="A72" s="1"/>
      <c r="B72" s="1"/>
      <c r="C72" s="1"/>
      <c r="D72" s="27"/>
      <c r="E72" s="38"/>
      <c r="F72" s="38"/>
      <c r="G72" s="38"/>
      <c r="H72" s="38"/>
      <c r="I72" s="38"/>
      <c r="J72" s="38"/>
      <c r="K72" s="1"/>
      <c r="L72" s="1"/>
      <c r="M72" s="1"/>
      <c r="N72" s="1"/>
      <c r="O72" s="1"/>
      <c r="P72" s="1"/>
      <c r="Q72" s="1"/>
      <c r="R72" s="1"/>
      <c r="S72" s="1"/>
      <c r="T72" s="1"/>
      <c r="U72" s="1"/>
      <c r="V72" s="1"/>
      <c r="W72" s="46"/>
      <c r="X72" s="8"/>
      <c r="Y72" s="8"/>
      <c r="Z72" s="8"/>
      <c r="AA72" s="8"/>
      <c r="AB72" s="47"/>
      <c r="AC72" s="8"/>
      <c r="AD72" s="8"/>
      <c r="AE72" s="8"/>
      <c r="AF72" s="8"/>
      <c r="AG72" s="8"/>
      <c r="AH72" s="45"/>
      <c r="AI72" s="8"/>
      <c r="AJ72" s="8"/>
      <c r="AK72" s="8"/>
      <c r="AL72" s="8"/>
      <c r="AM72" s="8"/>
      <c r="AN72" s="47"/>
      <c r="AO72" s="8"/>
      <c r="AP72" s="8"/>
      <c r="AQ72" s="8"/>
      <c r="AR72" s="8"/>
      <c r="AS72" s="1"/>
      <c r="AT72" s="1"/>
      <c r="AU72" s="1"/>
      <c r="AV72" s="1"/>
      <c r="AW72" s="1"/>
      <c r="AX72" s="1"/>
      <c r="AY72" s="1"/>
      <c r="AZ72" s="1"/>
    </row>
    <row r="73" spans="1:52" x14ac:dyDescent="0.25">
      <c r="A73" s="1"/>
      <c r="B73" s="1"/>
      <c r="C73" s="1"/>
      <c r="D73" s="27"/>
      <c r="E73" s="38"/>
      <c r="F73" s="38"/>
      <c r="G73" s="38"/>
      <c r="H73" s="38"/>
      <c r="I73" s="38"/>
      <c r="J73" s="38"/>
      <c r="K73" s="1"/>
      <c r="L73" s="1"/>
      <c r="M73" s="1"/>
      <c r="N73" s="1"/>
      <c r="O73" s="1"/>
      <c r="P73" s="1"/>
      <c r="Q73" s="1"/>
      <c r="R73" s="1"/>
      <c r="S73" s="1"/>
      <c r="T73" s="1"/>
      <c r="U73" s="1"/>
      <c r="V73" s="1"/>
      <c r="W73" s="46"/>
      <c r="X73" s="8"/>
      <c r="Y73" s="8"/>
      <c r="Z73" s="8"/>
      <c r="AA73" s="8"/>
      <c r="AB73" s="47"/>
      <c r="AC73" s="8"/>
      <c r="AD73" s="8"/>
      <c r="AE73" s="8"/>
      <c r="AF73" s="8"/>
      <c r="AG73" s="8"/>
      <c r="AH73" s="45"/>
      <c r="AI73" s="8"/>
      <c r="AJ73" s="8"/>
      <c r="AK73" s="8"/>
      <c r="AL73" s="8"/>
      <c r="AM73" s="8"/>
      <c r="AN73" s="47"/>
      <c r="AO73" s="8"/>
      <c r="AP73" s="8"/>
      <c r="AQ73" s="8"/>
      <c r="AR73" s="8"/>
      <c r="AS73" s="1"/>
      <c r="AT73" s="1"/>
      <c r="AU73" s="1"/>
      <c r="AV73" s="1"/>
      <c r="AW73" s="1"/>
      <c r="AX73" s="1"/>
      <c r="AY73" s="1"/>
      <c r="AZ73" s="1"/>
    </row>
    <row r="74" spans="1:52" x14ac:dyDescent="0.25">
      <c r="A74" s="1"/>
      <c r="B74" s="1"/>
      <c r="C74" s="1"/>
      <c r="D74" s="27"/>
      <c r="E74" s="38"/>
      <c r="F74" s="38"/>
      <c r="G74" s="38"/>
      <c r="H74" s="38"/>
      <c r="I74" s="38"/>
      <c r="J74" s="38"/>
      <c r="K74" s="1"/>
      <c r="L74" s="1"/>
      <c r="M74" s="1"/>
      <c r="N74" s="1"/>
      <c r="O74" s="1"/>
      <c r="P74" s="1"/>
      <c r="Q74" s="1"/>
      <c r="R74" s="1"/>
      <c r="S74" s="1"/>
      <c r="T74" s="1"/>
      <c r="U74" s="1"/>
      <c r="V74" s="1"/>
      <c r="W74" s="46"/>
      <c r="X74" s="8"/>
      <c r="Y74" s="8"/>
      <c r="Z74" s="8"/>
      <c r="AA74" s="8"/>
      <c r="AB74" s="47"/>
      <c r="AC74" s="8"/>
      <c r="AD74" s="8"/>
      <c r="AE74" s="8"/>
      <c r="AF74" s="8"/>
      <c r="AG74" s="8"/>
      <c r="AH74" s="45"/>
      <c r="AI74" s="8"/>
      <c r="AJ74" s="8"/>
      <c r="AK74" s="8"/>
      <c r="AL74" s="8"/>
      <c r="AM74" s="8"/>
      <c r="AN74" s="47"/>
      <c r="AO74" s="8"/>
      <c r="AP74" s="8"/>
      <c r="AQ74" s="8"/>
      <c r="AR74" s="8"/>
      <c r="AS74" s="1"/>
      <c r="AT74" s="1"/>
      <c r="AU74" s="1"/>
      <c r="AV74" s="1"/>
      <c r="AW74" s="1"/>
      <c r="AX74" s="1"/>
      <c r="AY74" s="1"/>
      <c r="AZ74" s="1"/>
    </row>
    <row r="75" spans="1:52" x14ac:dyDescent="0.25">
      <c r="A75" s="1"/>
      <c r="B75" s="1"/>
      <c r="C75" s="1"/>
      <c r="D75" s="27"/>
      <c r="E75" s="38"/>
      <c r="F75" s="38"/>
      <c r="G75" s="38"/>
      <c r="H75" s="38"/>
      <c r="I75" s="38"/>
      <c r="J75" s="38"/>
      <c r="K75" s="1"/>
      <c r="L75" s="1"/>
      <c r="M75" s="1"/>
      <c r="N75" s="1"/>
      <c r="O75" s="1"/>
      <c r="P75" s="1"/>
      <c r="Q75" s="1"/>
      <c r="R75" s="1"/>
      <c r="S75" s="1"/>
      <c r="T75" s="1"/>
      <c r="U75" s="1"/>
      <c r="V75" s="1"/>
      <c r="W75" s="46"/>
      <c r="X75" s="8"/>
      <c r="Y75" s="8"/>
      <c r="Z75" s="8"/>
      <c r="AA75" s="8"/>
      <c r="AB75" s="47"/>
      <c r="AC75" s="8"/>
      <c r="AD75" s="8"/>
      <c r="AE75" s="8"/>
      <c r="AF75" s="8"/>
      <c r="AG75" s="8"/>
      <c r="AH75" s="45"/>
      <c r="AI75" s="8"/>
      <c r="AJ75" s="8"/>
      <c r="AK75" s="8"/>
      <c r="AL75" s="8"/>
      <c r="AM75" s="8"/>
      <c r="AN75" s="47"/>
      <c r="AO75" s="8"/>
      <c r="AP75" s="8"/>
      <c r="AQ75" s="8"/>
      <c r="AR75" s="8"/>
      <c r="AS75" s="1"/>
      <c r="AT75" s="1"/>
      <c r="AU75" s="1"/>
      <c r="AV75" s="1"/>
      <c r="AW75" s="1"/>
      <c r="AX75" s="1"/>
      <c r="AY75" s="1"/>
      <c r="AZ75" s="1"/>
    </row>
    <row r="76" spans="1:52" x14ac:dyDescent="0.25">
      <c r="A76" s="1"/>
      <c r="B76" s="1"/>
      <c r="C76" s="1"/>
      <c r="D76" s="27"/>
      <c r="E76" s="38"/>
      <c r="F76" s="38"/>
      <c r="G76" s="38"/>
      <c r="H76" s="38"/>
      <c r="I76" s="38"/>
      <c r="J76" s="38"/>
      <c r="K76" s="1"/>
      <c r="L76" s="1"/>
      <c r="M76" s="1"/>
      <c r="N76" s="1"/>
      <c r="O76" s="1"/>
      <c r="P76" s="1"/>
      <c r="Q76" s="1"/>
      <c r="R76" s="1"/>
      <c r="S76" s="1"/>
      <c r="T76" s="1"/>
      <c r="U76" s="1"/>
      <c r="V76" s="1"/>
      <c r="W76" s="46"/>
      <c r="X76" s="8"/>
      <c r="Y76" s="8"/>
      <c r="Z76" s="8"/>
      <c r="AA76" s="8"/>
      <c r="AB76" s="47"/>
      <c r="AC76" s="8"/>
      <c r="AD76" s="8"/>
      <c r="AE76" s="8"/>
      <c r="AF76" s="8"/>
      <c r="AG76" s="8"/>
      <c r="AH76" s="45"/>
      <c r="AI76" s="8"/>
      <c r="AJ76" s="8"/>
      <c r="AK76" s="8"/>
      <c r="AL76" s="8"/>
      <c r="AM76" s="8"/>
      <c r="AN76" s="47"/>
      <c r="AO76" s="8"/>
      <c r="AP76" s="8"/>
      <c r="AQ76" s="8"/>
      <c r="AR76" s="8"/>
      <c r="AS76" s="1"/>
      <c r="AT76" s="1"/>
      <c r="AU76" s="1"/>
      <c r="AV76" s="1"/>
      <c r="AW76" s="1"/>
      <c r="AX76" s="1"/>
      <c r="AY76" s="1"/>
      <c r="AZ76" s="1"/>
    </row>
    <row r="77" spans="1:52" x14ac:dyDescent="0.25">
      <c r="A77" s="1"/>
      <c r="B77" s="1"/>
      <c r="C77" s="1"/>
      <c r="D77" s="27"/>
      <c r="E77" s="38"/>
      <c r="F77" s="38"/>
      <c r="G77" s="38"/>
      <c r="H77" s="38"/>
      <c r="I77" s="38"/>
      <c r="J77" s="38"/>
      <c r="K77" s="1"/>
      <c r="L77" s="1"/>
      <c r="M77" s="1"/>
      <c r="N77" s="1"/>
      <c r="O77" s="1"/>
      <c r="P77" s="1"/>
      <c r="Q77" s="1"/>
      <c r="R77" s="1"/>
      <c r="S77" s="1"/>
      <c r="T77" s="1"/>
      <c r="U77" s="1"/>
      <c r="V77" s="1"/>
      <c r="W77" s="46"/>
      <c r="X77" s="8"/>
      <c r="Y77" s="8"/>
      <c r="Z77" s="8"/>
      <c r="AA77" s="8"/>
      <c r="AB77" s="47"/>
      <c r="AC77" s="8"/>
      <c r="AD77" s="8"/>
      <c r="AE77" s="8"/>
      <c r="AF77" s="8"/>
      <c r="AG77" s="8"/>
      <c r="AH77" s="45"/>
      <c r="AI77" s="8"/>
      <c r="AJ77" s="8"/>
      <c r="AK77" s="8"/>
      <c r="AL77" s="8"/>
      <c r="AM77" s="8"/>
      <c r="AN77" s="47"/>
      <c r="AO77" s="8"/>
      <c r="AP77" s="8"/>
      <c r="AQ77" s="8"/>
      <c r="AR77" s="8"/>
      <c r="AS77" s="1"/>
      <c r="AT77" s="1"/>
      <c r="AU77" s="1"/>
      <c r="AV77" s="1"/>
      <c r="AW77" s="1"/>
      <c r="AX77" s="1"/>
      <c r="AY77" s="1"/>
      <c r="AZ77" s="1"/>
    </row>
    <row r="78" spans="1:52" x14ac:dyDescent="0.25">
      <c r="A78" s="1"/>
      <c r="B78" s="1"/>
      <c r="C78" s="1"/>
      <c r="D78" s="27"/>
      <c r="E78" s="38"/>
      <c r="F78" s="38"/>
      <c r="G78" s="38"/>
      <c r="H78" s="38"/>
      <c r="I78" s="38"/>
      <c r="J78" s="38"/>
      <c r="K78" s="1"/>
      <c r="L78" s="1"/>
      <c r="M78" s="1"/>
      <c r="N78" s="1"/>
      <c r="O78" s="1"/>
      <c r="P78" s="1"/>
      <c r="Q78" s="1"/>
      <c r="R78" s="1"/>
      <c r="S78" s="1"/>
      <c r="T78" s="1"/>
      <c r="U78" s="1"/>
      <c r="V78" s="1"/>
      <c r="W78" s="46"/>
      <c r="X78" s="8"/>
      <c r="Y78" s="8"/>
      <c r="Z78" s="8"/>
      <c r="AA78" s="8"/>
      <c r="AB78" s="47"/>
      <c r="AC78" s="8"/>
      <c r="AD78" s="8"/>
      <c r="AE78" s="8"/>
      <c r="AF78" s="8"/>
      <c r="AG78" s="8"/>
      <c r="AH78" s="45"/>
      <c r="AI78" s="8"/>
      <c r="AJ78" s="8"/>
      <c r="AK78" s="8"/>
      <c r="AL78" s="8"/>
      <c r="AM78" s="8"/>
      <c r="AN78" s="47"/>
      <c r="AO78" s="8"/>
      <c r="AP78" s="8"/>
      <c r="AQ78" s="8"/>
      <c r="AR78" s="8"/>
      <c r="AS78" s="1"/>
      <c r="AT78" s="1"/>
      <c r="AU78" s="1"/>
      <c r="AV78" s="1"/>
      <c r="AW78" s="1"/>
      <c r="AX78" s="1"/>
      <c r="AY78" s="1"/>
      <c r="AZ78" s="1"/>
    </row>
    <row r="79" spans="1:52" x14ac:dyDescent="0.25">
      <c r="A79" s="1"/>
      <c r="B79" s="1"/>
      <c r="C79" s="1"/>
      <c r="D79" s="27"/>
      <c r="E79" s="38"/>
      <c r="F79" s="38"/>
      <c r="G79" s="38"/>
      <c r="H79" s="38"/>
      <c r="I79" s="38"/>
      <c r="J79" s="38"/>
      <c r="K79" s="1"/>
      <c r="L79" s="1"/>
      <c r="M79" s="1"/>
      <c r="N79" s="1"/>
      <c r="O79" s="1"/>
      <c r="P79" s="1"/>
      <c r="Q79" s="1"/>
      <c r="R79" s="1"/>
      <c r="S79" s="1"/>
      <c r="T79" s="1"/>
      <c r="U79" s="1"/>
      <c r="V79" s="1"/>
      <c r="W79" s="46"/>
      <c r="X79" s="8"/>
      <c r="Y79" s="8"/>
      <c r="Z79" s="8"/>
      <c r="AA79" s="8"/>
      <c r="AB79" s="47"/>
      <c r="AC79" s="8"/>
      <c r="AD79" s="8"/>
      <c r="AE79" s="8"/>
      <c r="AF79" s="8"/>
      <c r="AG79" s="8"/>
      <c r="AH79" s="45"/>
      <c r="AI79" s="8"/>
      <c r="AJ79" s="8"/>
      <c r="AK79" s="8"/>
      <c r="AL79" s="8"/>
      <c r="AM79" s="8"/>
      <c r="AN79" s="47"/>
      <c r="AO79" s="8"/>
      <c r="AP79" s="8"/>
      <c r="AQ79" s="8"/>
      <c r="AR79" s="8"/>
      <c r="AS79" s="1"/>
      <c r="AT79" s="1"/>
      <c r="AU79" s="1"/>
      <c r="AV79" s="1"/>
      <c r="AW79" s="1"/>
      <c r="AX79" s="1"/>
      <c r="AY79" s="1"/>
      <c r="AZ79" s="1"/>
    </row>
    <row r="80" spans="1:52" x14ac:dyDescent="0.25">
      <c r="A80" s="1"/>
      <c r="B80" s="1"/>
      <c r="C80" s="1"/>
      <c r="D80" s="27"/>
      <c r="E80" s="38"/>
      <c r="F80" s="38"/>
      <c r="G80" s="38"/>
      <c r="H80" s="38"/>
      <c r="I80" s="38"/>
      <c r="J80" s="38"/>
      <c r="K80" s="1"/>
      <c r="L80" s="1"/>
      <c r="M80" s="1"/>
      <c r="N80" s="1"/>
      <c r="O80" s="1"/>
      <c r="P80" s="1"/>
      <c r="Q80" s="1"/>
      <c r="R80" s="1"/>
      <c r="S80" s="1"/>
      <c r="T80" s="1"/>
      <c r="U80" s="1"/>
      <c r="V80" s="1"/>
      <c r="W80" s="46"/>
      <c r="X80" s="8"/>
      <c r="Y80" s="8"/>
      <c r="Z80" s="8"/>
      <c r="AA80" s="8"/>
      <c r="AB80" s="47"/>
      <c r="AC80" s="8"/>
      <c r="AD80" s="8"/>
      <c r="AE80" s="8"/>
      <c r="AF80" s="8"/>
      <c r="AG80" s="8"/>
      <c r="AH80" s="45"/>
      <c r="AI80" s="8"/>
      <c r="AJ80" s="8"/>
      <c r="AK80" s="8"/>
      <c r="AL80" s="8"/>
      <c r="AM80" s="8"/>
      <c r="AN80" s="47"/>
      <c r="AO80" s="8"/>
      <c r="AP80" s="8"/>
      <c r="AQ80" s="8"/>
      <c r="AR80" s="8"/>
      <c r="AS80" s="1"/>
      <c r="AT80" s="1"/>
      <c r="AU80" s="1"/>
      <c r="AV80" s="1"/>
      <c r="AW80" s="1"/>
      <c r="AX80" s="1"/>
      <c r="AY80" s="1"/>
      <c r="AZ80" s="1"/>
    </row>
    <row r="81" spans="1:52" x14ac:dyDescent="0.25">
      <c r="A81" s="1"/>
      <c r="B81" s="1"/>
      <c r="C81" s="1"/>
      <c r="D81" s="27"/>
      <c r="E81" s="38"/>
      <c r="F81" s="38"/>
      <c r="G81" s="38"/>
      <c r="H81" s="38"/>
      <c r="I81" s="38"/>
      <c r="J81" s="38"/>
      <c r="K81" s="1"/>
      <c r="L81" s="1"/>
      <c r="M81" s="1"/>
      <c r="N81" s="1"/>
      <c r="O81" s="1"/>
      <c r="P81" s="1"/>
      <c r="Q81" s="1"/>
      <c r="R81" s="1"/>
      <c r="S81" s="1"/>
      <c r="T81" s="1"/>
      <c r="U81" s="1"/>
      <c r="V81" s="1"/>
      <c r="W81" s="46"/>
      <c r="X81" s="8"/>
      <c r="Y81" s="8"/>
      <c r="Z81" s="8"/>
      <c r="AA81" s="8"/>
      <c r="AB81" s="47"/>
      <c r="AC81" s="8"/>
      <c r="AD81" s="8"/>
      <c r="AE81" s="8"/>
      <c r="AF81" s="8"/>
      <c r="AG81" s="8"/>
      <c r="AH81" s="45"/>
      <c r="AI81" s="8"/>
      <c r="AJ81" s="8"/>
      <c r="AK81" s="8"/>
      <c r="AL81" s="8"/>
      <c r="AM81" s="8"/>
      <c r="AN81" s="47"/>
      <c r="AO81" s="8"/>
      <c r="AP81" s="8"/>
      <c r="AQ81" s="8"/>
      <c r="AR81" s="8"/>
      <c r="AS81" s="1"/>
      <c r="AT81" s="1"/>
      <c r="AU81" s="1"/>
      <c r="AV81" s="1"/>
      <c r="AW81" s="1"/>
      <c r="AX81" s="1"/>
      <c r="AY81" s="1"/>
      <c r="AZ81" s="1"/>
    </row>
    <row r="82" spans="1:52" x14ac:dyDescent="0.25">
      <c r="A82" s="1"/>
      <c r="B82" s="1"/>
      <c r="C82" s="1"/>
      <c r="D82" s="27"/>
      <c r="E82" s="38"/>
      <c r="F82" s="38"/>
      <c r="G82" s="38"/>
      <c r="H82" s="38"/>
      <c r="I82" s="38"/>
      <c r="J82" s="38"/>
      <c r="K82" s="1"/>
      <c r="L82" s="1"/>
      <c r="M82" s="1"/>
      <c r="N82" s="1"/>
      <c r="O82" s="1"/>
      <c r="P82" s="1"/>
      <c r="Q82" s="1"/>
      <c r="R82" s="1"/>
      <c r="S82" s="1"/>
      <c r="T82" s="1"/>
      <c r="U82" s="1"/>
      <c r="V82" s="1"/>
      <c r="W82" s="46"/>
      <c r="X82" s="8"/>
      <c r="Y82" s="8"/>
      <c r="Z82" s="8"/>
      <c r="AA82" s="8"/>
      <c r="AB82" s="47"/>
      <c r="AC82" s="8"/>
      <c r="AD82" s="8"/>
      <c r="AE82" s="8"/>
      <c r="AF82" s="8"/>
      <c r="AG82" s="8"/>
      <c r="AH82" s="45"/>
      <c r="AI82" s="8"/>
      <c r="AJ82" s="8"/>
      <c r="AK82" s="8"/>
      <c r="AL82" s="8"/>
      <c r="AM82" s="8"/>
      <c r="AN82" s="47"/>
      <c r="AO82" s="8"/>
      <c r="AP82" s="8"/>
      <c r="AQ82" s="8"/>
      <c r="AR82" s="8"/>
      <c r="AS82" s="1"/>
      <c r="AT82" s="1"/>
      <c r="AU82" s="1"/>
      <c r="AV82" s="1"/>
      <c r="AW82" s="1"/>
      <c r="AX82" s="1"/>
      <c r="AY82" s="1"/>
      <c r="AZ82" s="1"/>
    </row>
    <row r="83" spans="1:52" x14ac:dyDescent="0.25">
      <c r="A83" s="1"/>
      <c r="B83" s="1"/>
      <c r="C83" s="1"/>
      <c r="D83" s="27"/>
      <c r="E83" s="38"/>
      <c r="F83" s="38"/>
      <c r="G83" s="38"/>
      <c r="H83" s="38"/>
      <c r="I83" s="38"/>
      <c r="J83" s="38"/>
      <c r="K83" s="1"/>
      <c r="L83" s="1"/>
      <c r="M83" s="1"/>
      <c r="N83" s="1"/>
      <c r="O83" s="1"/>
      <c r="P83" s="1"/>
      <c r="Q83" s="1"/>
      <c r="R83" s="1"/>
      <c r="S83" s="1"/>
      <c r="T83" s="1"/>
      <c r="U83" s="1"/>
      <c r="V83" s="1"/>
      <c r="W83" s="46"/>
      <c r="X83" s="8"/>
      <c r="Y83" s="8"/>
      <c r="Z83" s="8"/>
      <c r="AA83" s="8"/>
      <c r="AB83" s="47"/>
      <c r="AC83" s="8"/>
      <c r="AD83" s="8"/>
      <c r="AE83" s="8"/>
      <c r="AF83" s="8"/>
      <c r="AG83" s="8"/>
      <c r="AH83" s="45"/>
      <c r="AI83" s="8"/>
      <c r="AJ83" s="8"/>
      <c r="AK83" s="8"/>
      <c r="AL83" s="8"/>
      <c r="AM83" s="8"/>
      <c r="AN83" s="47"/>
      <c r="AO83" s="8"/>
      <c r="AP83" s="8"/>
      <c r="AQ83" s="8"/>
      <c r="AR83" s="8"/>
      <c r="AS83" s="1"/>
      <c r="AT83" s="1"/>
      <c r="AU83" s="1"/>
      <c r="AV83" s="1"/>
      <c r="AW83" s="1"/>
      <c r="AX83" s="1"/>
      <c r="AY83" s="1"/>
      <c r="AZ83" s="1"/>
    </row>
    <row r="84" spans="1:52" x14ac:dyDescent="0.25">
      <c r="A84" s="1"/>
      <c r="B84" s="1"/>
      <c r="C84" s="1"/>
      <c r="D84" s="27"/>
      <c r="E84" s="38"/>
      <c r="F84" s="38"/>
      <c r="G84" s="38"/>
      <c r="H84" s="38"/>
      <c r="I84" s="38"/>
      <c r="J84" s="38"/>
      <c r="K84" s="1"/>
      <c r="L84" s="1"/>
      <c r="M84" s="1"/>
      <c r="N84" s="1"/>
      <c r="O84" s="1"/>
      <c r="P84" s="1"/>
      <c r="Q84" s="1"/>
      <c r="R84" s="1"/>
      <c r="S84" s="1"/>
      <c r="T84" s="1"/>
      <c r="U84" s="1"/>
      <c r="V84" s="1"/>
      <c r="W84" s="46"/>
      <c r="X84" s="8"/>
      <c r="Y84" s="8"/>
      <c r="Z84" s="8"/>
      <c r="AA84" s="8"/>
      <c r="AB84" s="47"/>
      <c r="AC84" s="8"/>
      <c r="AD84" s="8"/>
      <c r="AE84" s="8"/>
      <c r="AF84" s="8"/>
      <c r="AG84" s="8"/>
      <c r="AH84" s="45"/>
      <c r="AI84" s="8"/>
      <c r="AJ84" s="8"/>
      <c r="AK84" s="8"/>
      <c r="AL84" s="8"/>
      <c r="AM84" s="8"/>
      <c r="AN84" s="47"/>
      <c r="AO84" s="8"/>
      <c r="AP84" s="8"/>
      <c r="AQ84" s="8"/>
      <c r="AR84" s="8"/>
      <c r="AS84" s="1"/>
      <c r="AT84" s="1"/>
      <c r="AU84" s="1"/>
      <c r="AV84" s="1"/>
      <c r="AW84" s="1"/>
      <c r="AX84" s="1"/>
      <c r="AY84" s="1"/>
      <c r="AZ84" s="1"/>
    </row>
    <row r="85" spans="1:52" x14ac:dyDescent="0.25">
      <c r="A85" s="1"/>
      <c r="B85" s="1"/>
      <c r="C85" s="1"/>
      <c r="D85" s="27"/>
      <c r="E85" s="38"/>
      <c r="F85" s="38"/>
      <c r="G85" s="38"/>
      <c r="H85" s="38"/>
      <c r="I85" s="38"/>
      <c r="J85" s="38"/>
      <c r="K85" s="1"/>
      <c r="L85" s="1"/>
      <c r="M85" s="1"/>
      <c r="N85" s="1"/>
      <c r="O85" s="1"/>
      <c r="P85" s="1"/>
      <c r="Q85" s="1"/>
      <c r="R85" s="1"/>
      <c r="S85" s="1"/>
      <c r="T85" s="1"/>
      <c r="U85" s="1"/>
      <c r="V85" s="1"/>
      <c r="W85" s="46"/>
      <c r="X85" s="8"/>
      <c r="Y85" s="8"/>
      <c r="Z85" s="8"/>
      <c r="AA85" s="8"/>
      <c r="AB85" s="47"/>
      <c r="AC85" s="8"/>
      <c r="AD85" s="8"/>
      <c r="AE85" s="8"/>
      <c r="AF85" s="8"/>
      <c r="AG85" s="8"/>
      <c r="AH85" s="45"/>
      <c r="AI85" s="8"/>
      <c r="AJ85" s="8"/>
      <c r="AK85" s="8"/>
      <c r="AL85" s="8"/>
      <c r="AM85" s="8"/>
      <c r="AN85" s="47"/>
      <c r="AO85" s="8"/>
      <c r="AP85" s="8"/>
      <c r="AQ85" s="8"/>
      <c r="AR85" s="8"/>
      <c r="AS85" s="1"/>
      <c r="AT85" s="1"/>
      <c r="AU85" s="1"/>
      <c r="AV85" s="1"/>
      <c r="AW85" s="1"/>
      <c r="AX85" s="1"/>
      <c r="AY85" s="1"/>
      <c r="AZ85" s="1"/>
    </row>
    <row r="86" spans="1:52" x14ac:dyDescent="0.25">
      <c r="A86" s="1"/>
      <c r="B86" s="1"/>
      <c r="C86" s="1"/>
      <c r="D86" s="27"/>
      <c r="E86" s="38"/>
      <c r="F86" s="38"/>
      <c r="G86" s="38"/>
      <c r="H86" s="38"/>
      <c r="I86" s="38"/>
      <c r="J86" s="38"/>
      <c r="K86" s="1"/>
      <c r="L86" s="1"/>
      <c r="M86" s="1"/>
      <c r="N86" s="1"/>
      <c r="O86" s="1"/>
      <c r="P86" s="1"/>
      <c r="Q86" s="1"/>
      <c r="R86" s="1"/>
      <c r="S86" s="1"/>
      <c r="T86" s="1"/>
      <c r="U86" s="1"/>
      <c r="V86" s="1"/>
      <c r="W86" s="46"/>
      <c r="X86" s="8"/>
      <c r="Y86" s="8"/>
      <c r="Z86" s="8"/>
      <c r="AA86" s="8"/>
      <c r="AB86" s="47"/>
      <c r="AC86" s="8"/>
      <c r="AD86" s="8"/>
      <c r="AE86" s="8"/>
      <c r="AF86" s="8"/>
      <c r="AG86" s="8"/>
      <c r="AH86" s="45"/>
      <c r="AI86" s="8"/>
      <c r="AJ86" s="8"/>
      <c r="AK86" s="8"/>
      <c r="AL86" s="8"/>
      <c r="AM86" s="8"/>
      <c r="AN86" s="47"/>
      <c r="AO86" s="8"/>
      <c r="AP86" s="8"/>
      <c r="AQ86" s="8"/>
      <c r="AR86" s="8"/>
      <c r="AS86" s="1"/>
      <c r="AT86" s="1"/>
      <c r="AU86" s="1"/>
      <c r="AV86" s="1"/>
      <c r="AW86" s="1"/>
      <c r="AX86" s="1"/>
      <c r="AY86" s="1"/>
      <c r="AZ86" s="1"/>
    </row>
    <row r="87" spans="1:52" x14ac:dyDescent="0.25">
      <c r="A87" s="1"/>
      <c r="B87" s="1"/>
      <c r="C87" s="1"/>
      <c r="D87" s="27"/>
      <c r="E87" s="38"/>
      <c r="F87" s="38"/>
      <c r="G87" s="38"/>
      <c r="H87" s="38"/>
      <c r="I87" s="38"/>
      <c r="J87" s="38"/>
      <c r="K87" s="1"/>
      <c r="L87" s="1"/>
      <c r="M87" s="1"/>
      <c r="N87" s="1"/>
      <c r="O87" s="1"/>
      <c r="P87" s="1"/>
      <c r="Q87" s="1"/>
      <c r="R87" s="1"/>
      <c r="S87" s="1"/>
      <c r="T87" s="1"/>
      <c r="U87" s="1"/>
      <c r="V87" s="1"/>
      <c r="W87" s="46"/>
      <c r="X87" s="8"/>
      <c r="Y87" s="8"/>
      <c r="Z87" s="8"/>
      <c r="AA87" s="8"/>
      <c r="AB87" s="47"/>
      <c r="AC87" s="8"/>
      <c r="AD87" s="8"/>
      <c r="AE87" s="8"/>
      <c r="AF87" s="8"/>
      <c r="AG87" s="8"/>
      <c r="AH87" s="45"/>
      <c r="AI87" s="8"/>
      <c r="AJ87" s="8"/>
      <c r="AK87" s="8"/>
      <c r="AL87" s="8"/>
      <c r="AM87" s="8"/>
      <c r="AN87" s="47"/>
      <c r="AO87" s="8"/>
      <c r="AP87" s="8"/>
      <c r="AQ87" s="8"/>
      <c r="AR87" s="8"/>
      <c r="AS87" s="1"/>
      <c r="AT87" s="1"/>
      <c r="AU87" s="1"/>
      <c r="AV87" s="1"/>
      <c r="AW87" s="1"/>
      <c r="AX87" s="1"/>
      <c r="AY87" s="1"/>
      <c r="AZ87" s="1"/>
    </row>
    <row r="88" spans="1:52" x14ac:dyDescent="0.25">
      <c r="A88" s="1"/>
      <c r="B88" s="1"/>
      <c r="C88" s="1"/>
      <c r="D88" s="27"/>
      <c r="E88" s="38"/>
      <c r="F88" s="38"/>
      <c r="G88" s="38"/>
      <c r="H88" s="38"/>
      <c r="I88" s="38"/>
      <c r="J88" s="38"/>
      <c r="K88" s="1"/>
      <c r="L88" s="1"/>
      <c r="M88" s="1"/>
      <c r="N88" s="1"/>
      <c r="O88" s="1"/>
      <c r="P88" s="1"/>
      <c r="Q88" s="1"/>
      <c r="R88" s="1"/>
      <c r="S88" s="1"/>
      <c r="T88" s="1"/>
      <c r="U88" s="1"/>
      <c r="V88" s="1"/>
      <c r="W88" s="46"/>
      <c r="X88" s="8"/>
      <c r="Y88" s="8"/>
      <c r="Z88" s="8"/>
      <c r="AA88" s="8"/>
      <c r="AB88" s="47"/>
      <c r="AC88" s="8"/>
      <c r="AD88" s="8"/>
      <c r="AE88" s="8"/>
      <c r="AF88" s="8"/>
      <c r="AG88" s="8"/>
      <c r="AH88" s="45"/>
      <c r="AI88" s="8"/>
      <c r="AJ88" s="8"/>
      <c r="AK88" s="8"/>
      <c r="AL88" s="8"/>
      <c r="AM88" s="8"/>
      <c r="AN88" s="47"/>
      <c r="AO88" s="8"/>
      <c r="AP88" s="8"/>
      <c r="AQ88" s="8"/>
      <c r="AR88" s="8"/>
      <c r="AS88" s="1"/>
      <c r="AT88" s="1"/>
      <c r="AU88" s="1"/>
      <c r="AV88" s="1"/>
      <c r="AW88" s="1"/>
      <c r="AX88" s="1"/>
      <c r="AY88" s="1"/>
      <c r="AZ88" s="1"/>
    </row>
    <row r="89" spans="1:52" x14ac:dyDescent="0.25">
      <c r="A89" s="1"/>
      <c r="B89" s="1"/>
      <c r="C89" s="1"/>
      <c r="D89" s="27"/>
      <c r="E89" s="38"/>
      <c r="F89" s="38"/>
      <c r="G89" s="38"/>
      <c r="H89" s="38"/>
      <c r="I89" s="38"/>
      <c r="J89" s="38"/>
      <c r="K89" s="1"/>
      <c r="L89" s="1"/>
      <c r="M89" s="1"/>
      <c r="N89" s="1"/>
      <c r="O89" s="1"/>
      <c r="P89" s="1"/>
      <c r="Q89" s="1"/>
      <c r="R89" s="1"/>
      <c r="S89" s="1"/>
      <c r="T89" s="1"/>
      <c r="U89" s="1"/>
      <c r="V89" s="1"/>
      <c r="W89" s="46"/>
      <c r="X89" s="8"/>
      <c r="Y89" s="8"/>
      <c r="Z89" s="8"/>
      <c r="AA89" s="8"/>
      <c r="AB89" s="47"/>
      <c r="AC89" s="8"/>
      <c r="AD89" s="8"/>
      <c r="AE89" s="8"/>
      <c r="AF89" s="8"/>
      <c r="AG89" s="8"/>
      <c r="AH89" s="45"/>
      <c r="AI89" s="8"/>
      <c r="AJ89" s="8"/>
      <c r="AK89" s="8"/>
      <c r="AL89" s="8"/>
      <c r="AM89" s="8"/>
      <c r="AN89" s="47"/>
      <c r="AO89" s="8"/>
      <c r="AP89" s="8"/>
      <c r="AQ89" s="8"/>
      <c r="AR89" s="8"/>
      <c r="AS89" s="1"/>
      <c r="AT89" s="1"/>
      <c r="AU89" s="1"/>
      <c r="AV89" s="1"/>
      <c r="AW89" s="1"/>
      <c r="AX89" s="1"/>
      <c r="AY89" s="1"/>
      <c r="AZ89" s="1"/>
    </row>
    <row r="90" spans="1:52" x14ac:dyDescent="0.25">
      <c r="A90" s="1"/>
      <c r="B90" s="1"/>
      <c r="C90" s="1"/>
      <c r="D90" s="27"/>
      <c r="E90" s="38"/>
      <c r="F90" s="38"/>
      <c r="G90" s="38"/>
      <c r="H90" s="38"/>
      <c r="I90" s="38"/>
      <c r="J90" s="38"/>
      <c r="K90" s="1"/>
      <c r="L90" s="1"/>
      <c r="M90" s="1"/>
      <c r="N90" s="1"/>
      <c r="O90" s="1"/>
      <c r="P90" s="1"/>
      <c r="Q90" s="1"/>
      <c r="R90" s="1"/>
      <c r="S90" s="1"/>
      <c r="T90" s="1"/>
      <c r="U90" s="1"/>
      <c r="V90" s="1"/>
      <c r="W90" s="46"/>
      <c r="X90" s="8"/>
      <c r="Y90" s="8"/>
      <c r="Z90" s="8"/>
      <c r="AA90" s="8"/>
      <c r="AB90" s="47"/>
      <c r="AC90" s="8"/>
      <c r="AD90" s="8"/>
      <c r="AE90" s="8"/>
      <c r="AF90" s="8"/>
      <c r="AG90" s="8"/>
      <c r="AH90" s="45"/>
      <c r="AI90" s="8"/>
      <c r="AJ90" s="8"/>
      <c r="AK90" s="8"/>
      <c r="AL90" s="8"/>
      <c r="AM90" s="8"/>
      <c r="AN90" s="47"/>
      <c r="AO90" s="8"/>
      <c r="AP90" s="8"/>
      <c r="AQ90" s="8"/>
      <c r="AR90" s="8"/>
      <c r="AS90" s="1"/>
      <c r="AT90" s="1"/>
      <c r="AU90" s="1"/>
      <c r="AV90" s="1"/>
      <c r="AW90" s="1"/>
      <c r="AX90" s="1"/>
      <c r="AY90" s="1"/>
      <c r="AZ90" s="1"/>
    </row>
    <row r="91" spans="1:52" x14ac:dyDescent="0.25">
      <c r="A91" s="1"/>
      <c r="B91" s="1"/>
      <c r="C91" s="1"/>
      <c r="D91" s="27"/>
      <c r="E91" s="38"/>
      <c r="F91" s="38"/>
      <c r="G91" s="38"/>
      <c r="H91" s="38"/>
      <c r="I91" s="38"/>
      <c r="J91" s="38"/>
      <c r="K91" s="1"/>
      <c r="L91" s="1"/>
      <c r="M91" s="1"/>
      <c r="N91" s="1"/>
      <c r="O91" s="1"/>
      <c r="P91" s="1"/>
      <c r="Q91" s="1"/>
      <c r="R91" s="1"/>
      <c r="S91" s="1"/>
      <c r="T91" s="1"/>
      <c r="U91" s="1"/>
      <c r="V91" s="1"/>
      <c r="W91" s="46"/>
      <c r="X91" s="8"/>
      <c r="Y91" s="8"/>
      <c r="Z91" s="8"/>
      <c r="AA91" s="8"/>
      <c r="AB91" s="47"/>
      <c r="AC91" s="8"/>
      <c r="AD91" s="8"/>
      <c r="AE91" s="8"/>
      <c r="AF91" s="8"/>
      <c r="AG91" s="8"/>
      <c r="AH91" s="45"/>
      <c r="AI91" s="8"/>
      <c r="AJ91" s="8"/>
      <c r="AK91" s="8"/>
      <c r="AL91" s="8"/>
      <c r="AM91" s="8"/>
      <c r="AN91" s="47"/>
      <c r="AO91" s="8"/>
      <c r="AP91" s="8"/>
      <c r="AQ91" s="8"/>
      <c r="AR91" s="8"/>
      <c r="AS91" s="1"/>
      <c r="AT91" s="1"/>
      <c r="AU91" s="1"/>
      <c r="AV91" s="1"/>
      <c r="AW91" s="1"/>
      <c r="AX91" s="1"/>
      <c r="AY91" s="1"/>
      <c r="AZ91" s="1"/>
    </row>
    <row r="92" spans="1:52" x14ac:dyDescent="0.25">
      <c r="A92" s="1"/>
      <c r="B92" s="1"/>
      <c r="C92" s="1"/>
      <c r="D92" s="27"/>
      <c r="E92" s="38"/>
      <c r="F92" s="38"/>
      <c r="G92" s="38"/>
      <c r="H92" s="38"/>
      <c r="I92" s="38"/>
      <c r="J92" s="38"/>
      <c r="K92" s="1"/>
      <c r="L92" s="1"/>
      <c r="M92" s="1"/>
      <c r="N92" s="1"/>
      <c r="O92" s="1"/>
      <c r="P92" s="1"/>
      <c r="Q92" s="1"/>
      <c r="R92" s="1"/>
      <c r="S92" s="1"/>
      <c r="T92" s="1"/>
      <c r="U92" s="1"/>
      <c r="V92" s="1"/>
      <c r="W92" s="46"/>
      <c r="X92" s="8"/>
      <c r="Y92" s="8"/>
      <c r="Z92" s="8"/>
      <c r="AA92" s="8"/>
      <c r="AB92" s="47"/>
      <c r="AC92" s="8"/>
      <c r="AD92" s="8"/>
      <c r="AE92" s="8"/>
      <c r="AF92" s="8"/>
      <c r="AG92" s="8"/>
      <c r="AH92" s="45"/>
      <c r="AI92" s="8"/>
      <c r="AJ92" s="8"/>
      <c r="AK92" s="8"/>
      <c r="AL92" s="8"/>
      <c r="AM92" s="8"/>
      <c r="AN92" s="47"/>
      <c r="AO92" s="8"/>
      <c r="AP92" s="8"/>
      <c r="AQ92" s="8"/>
      <c r="AR92" s="8"/>
      <c r="AS92" s="1"/>
      <c r="AT92" s="1"/>
      <c r="AU92" s="1"/>
      <c r="AV92" s="1"/>
      <c r="AW92" s="1"/>
      <c r="AX92" s="1"/>
      <c r="AY92" s="1"/>
      <c r="AZ92" s="1"/>
    </row>
    <row r="93" spans="1:52" x14ac:dyDescent="0.25">
      <c r="A93" s="1"/>
      <c r="B93" s="1"/>
      <c r="C93" s="1"/>
      <c r="D93" s="27"/>
      <c r="E93" s="38"/>
      <c r="F93" s="38"/>
      <c r="G93" s="38"/>
      <c r="H93" s="38"/>
      <c r="I93" s="38"/>
      <c r="J93" s="38"/>
      <c r="K93" s="1"/>
      <c r="L93" s="1"/>
      <c r="M93" s="1"/>
      <c r="N93" s="1"/>
      <c r="O93" s="1"/>
      <c r="P93" s="1"/>
      <c r="Q93" s="1"/>
      <c r="R93" s="1"/>
      <c r="S93" s="1"/>
      <c r="T93" s="1"/>
      <c r="U93" s="1"/>
      <c r="V93" s="1"/>
      <c r="W93" s="46"/>
      <c r="X93" s="8"/>
      <c r="Y93" s="8"/>
      <c r="Z93" s="8"/>
      <c r="AA93" s="8"/>
      <c r="AB93" s="47"/>
      <c r="AC93" s="8"/>
      <c r="AD93" s="8"/>
      <c r="AE93" s="8"/>
      <c r="AF93" s="8"/>
      <c r="AG93" s="8"/>
      <c r="AH93" s="45"/>
      <c r="AI93" s="8"/>
      <c r="AJ93" s="8"/>
      <c r="AK93" s="8"/>
      <c r="AL93" s="8"/>
      <c r="AM93" s="8"/>
      <c r="AN93" s="47"/>
      <c r="AO93" s="8"/>
      <c r="AP93" s="8"/>
      <c r="AQ93" s="8"/>
      <c r="AR93" s="8"/>
      <c r="AS93" s="1"/>
      <c r="AT93" s="1"/>
      <c r="AU93" s="1"/>
      <c r="AV93" s="1"/>
      <c r="AW93" s="1"/>
      <c r="AX93" s="1"/>
      <c r="AY93" s="1"/>
      <c r="AZ93" s="1"/>
    </row>
    <row r="94" spans="1:52" x14ac:dyDescent="0.25">
      <c r="A94" s="1"/>
      <c r="B94" s="1"/>
      <c r="C94" s="1"/>
      <c r="D94" s="27"/>
      <c r="E94" s="38"/>
      <c r="F94" s="38"/>
      <c r="G94" s="38"/>
      <c r="H94" s="38"/>
      <c r="I94" s="38"/>
      <c r="J94" s="38"/>
      <c r="K94" s="1"/>
      <c r="L94" s="1"/>
      <c r="M94" s="1"/>
      <c r="N94" s="1"/>
      <c r="O94" s="1"/>
      <c r="P94" s="1"/>
      <c r="Q94" s="1"/>
      <c r="R94" s="1"/>
      <c r="S94" s="1"/>
      <c r="T94" s="1"/>
      <c r="U94" s="1"/>
      <c r="V94" s="1"/>
      <c r="W94" s="46"/>
      <c r="X94" s="8"/>
      <c r="Y94" s="8"/>
      <c r="Z94" s="8"/>
      <c r="AA94" s="8"/>
      <c r="AB94" s="47"/>
      <c r="AC94" s="8"/>
      <c r="AD94" s="8"/>
      <c r="AE94" s="8"/>
      <c r="AF94" s="8"/>
      <c r="AG94" s="8"/>
      <c r="AH94" s="45"/>
      <c r="AI94" s="8"/>
      <c r="AJ94" s="8"/>
      <c r="AK94" s="8"/>
      <c r="AL94" s="8"/>
      <c r="AM94" s="8"/>
      <c r="AN94" s="47"/>
      <c r="AO94" s="8"/>
      <c r="AP94" s="8"/>
      <c r="AQ94" s="8"/>
      <c r="AR94" s="8"/>
      <c r="AS94" s="1"/>
      <c r="AT94" s="1"/>
      <c r="AU94" s="1"/>
      <c r="AV94" s="1"/>
      <c r="AW94" s="1"/>
      <c r="AX94" s="1"/>
      <c r="AY94" s="1"/>
      <c r="AZ94" s="1"/>
    </row>
    <row r="95" spans="1:52" x14ac:dyDescent="0.25">
      <c r="A95" s="1"/>
      <c r="B95" s="1"/>
      <c r="C95" s="1"/>
      <c r="D95" s="27"/>
      <c r="E95" s="38"/>
      <c r="F95" s="38"/>
      <c r="G95" s="38"/>
      <c r="H95" s="38"/>
      <c r="I95" s="38"/>
      <c r="J95" s="38"/>
      <c r="K95" s="1"/>
      <c r="L95" s="1"/>
      <c r="M95" s="1"/>
      <c r="N95" s="1"/>
      <c r="O95" s="1"/>
      <c r="P95" s="1"/>
      <c r="Q95" s="1"/>
      <c r="R95" s="1"/>
      <c r="S95" s="1"/>
      <c r="T95" s="1"/>
      <c r="U95" s="1"/>
      <c r="V95" s="1"/>
      <c r="W95" s="46"/>
      <c r="X95" s="8"/>
      <c r="Y95" s="8"/>
      <c r="Z95" s="8"/>
      <c r="AA95" s="8"/>
      <c r="AB95" s="8"/>
      <c r="AC95" s="8"/>
      <c r="AD95" s="8"/>
      <c r="AE95" s="8"/>
      <c r="AF95" s="8"/>
      <c r="AG95" s="8"/>
      <c r="AH95" s="45"/>
      <c r="AI95" s="8"/>
      <c r="AJ95" s="8"/>
      <c r="AK95" s="8"/>
      <c r="AL95" s="8"/>
      <c r="AM95" s="8"/>
      <c r="AN95" s="8"/>
      <c r="AO95" s="8"/>
      <c r="AP95" s="8"/>
      <c r="AQ95" s="8"/>
      <c r="AR95" s="8"/>
      <c r="AS95" s="1"/>
      <c r="AT95" s="1"/>
      <c r="AU95" s="1"/>
      <c r="AV95" s="1"/>
      <c r="AW95" s="1"/>
      <c r="AX95" s="1"/>
      <c r="AY95" s="1"/>
      <c r="AZ95" s="1"/>
    </row>
    <row r="96" spans="1:52" x14ac:dyDescent="0.25">
      <c r="A96" s="1"/>
      <c r="B96" s="1"/>
      <c r="C96" s="1"/>
      <c r="D96" s="27"/>
      <c r="E96" s="38"/>
      <c r="F96" s="38"/>
      <c r="G96" s="38"/>
      <c r="H96" s="38"/>
      <c r="I96" s="38"/>
      <c r="J96" s="38"/>
      <c r="K96" s="1"/>
      <c r="L96" s="1"/>
      <c r="M96" s="1"/>
      <c r="N96" s="1"/>
      <c r="O96" s="1"/>
      <c r="P96" s="1"/>
      <c r="Q96" s="1"/>
      <c r="R96" s="1"/>
      <c r="S96" s="1"/>
      <c r="T96" s="1"/>
      <c r="U96" s="1"/>
      <c r="V96" s="1"/>
      <c r="W96" s="46"/>
      <c r="X96" s="8"/>
      <c r="Y96" s="8"/>
      <c r="Z96" s="8"/>
      <c r="AA96" s="8"/>
      <c r="AB96" s="8"/>
      <c r="AC96" s="8"/>
      <c r="AD96" s="8"/>
      <c r="AE96" s="8"/>
      <c r="AF96" s="8"/>
      <c r="AG96" s="8"/>
      <c r="AH96" s="45"/>
      <c r="AI96" s="8"/>
      <c r="AJ96" s="8"/>
      <c r="AK96" s="8"/>
      <c r="AL96" s="8"/>
      <c r="AM96" s="8"/>
      <c r="AN96" s="8"/>
      <c r="AO96" s="8"/>
      <c r="AP96" s="8"/>
      <c r="AQ96" s="8"/>
      <c r="AR96" s="8"/>
      <c r="AS96" s="1"/>
      <c r="AT96" s="1"/>
      <c r="AU96" s="1"/>
      <c r="AV96" s="1"/>
      <c r="AW96" s="1"/>
      <c r="AX96" s="1"/>
      <c r="AY96" s="1"/>
      <c r="AZ96" s="1"/>
    </row>
    <row r="97" spans="1:52" x14ac:dyDescent="0.25">
      <c r="A97" s="1"/>
      <c r="B97" s="1"/>
      <c r="C97" s="1"/>
      <c r="D97" s="27"/>
      <c r="E97" s="38"/>
      <c r="F97" s="38"/>
      <c r="G97" s="38"/>
      <c r="H97" s="38"/>
      <c r="I97" s="38"/>
      <c r="J97" s="38"/>
      <c r="K97" s="1"/>
      <c r="L97" s="1"/>
      <c r="M97" s="1"/>
      <c r="N97" s="1"/>
      <c r="O97" s="1"/>
      <c r="P97" s="1"/>
      <c r="Q97" s="1"/>
      <c r="R97" s="1"/>
      <c r="S97" s="1"/>
      <c r="T97" s="1"/>
      <c r="U97" s="1"/>
      <c r="V97" s="1"/>
      <c r="W97" s="46"/>
      <c r="X97" s="8"/>
      <c r="Y97" s="8"/>
      <c r="Z97" s="8"/>
      <c r="AA97" s="8"/>
      <c r="AB97" s="8"/>
      <c r="AC97" s="8"/>
      <c r="AD97" s="8"/>
      <c r="AE97" s="8"/>
      <c r="AF97" s="8"/>
      <c r="AG97" s="8"/>
      <c r="AH97" s="45"/>
      <c r="AI97" s="8"/>
      <c r="AJ97" s="8"/>
      <c r="AK97" s="8"/>
      <c r="AL97" s="8"/>
      <c r="AM97" s="8"/>
      <c r="AN97" s="8"/>
      <c r="AO97" s="8"/>
      <c r="AP97" s="8"/>
      <c r="AQ97" s="8"/>
      <c r="AR97" s="8"/>
      <c r="AS97" s="1"/>
      <c r="AT97" s="1"/>
      <c r="AU97" s="1"/>
      <c r="AV97" s="1"/>
      <c r="AW97" s="1"/>
      <c r="AX97" s="1"/>
      <c r="AY97" s="1"/>
      <c r="AZ97" s="1"/>
    </row>
    <row r="98" spans="1:52" x14ac:dyDescent="0.25">
      <c r="A98" s="1"/>
      <c r="B98" s="1"/>
      <c r="C98" s="1"/>
      <c r="D98" s="27"/>
      <c r="E98" s="38"/>
      <c r="F98" s="38"/>
      <c r="G98" s="38"/>
      <c r="H98" s="38"/>
      <c r="I98" s="38"/>
      <c r="J98" s="38"/>
      <c r="K98" s="1"/>
      <c r="L98" s="1"/>
      <c r="M98" s="1"/>
      <c r="N98" s="1"/>
      <c r="O98" s="1"/>
      <c r="P98" s="1"/>
      <c r="Q98" s="1"/>
      <c r="R98" s="1"/>
      <c r="S98" s="1"/>
      <c r="T98" s="1"/>
      <c r="U98" s="1"/>
      <c r="V98" s="1"/>
      <c r="W98" s="46"/>
      <c r="X98" s="8"/>
      <c r="Y98" s="8"/>
      <c r="Z98" s="8"/>
      <c r="AA98" s="8"/>
      <c r="AB98" s="8"/>
      <c r="AC98" s="8"/>
      <c r="AD98" s="8"/>
      <c r="AE98" s="8"/>
      <c r="AF98" s="8"/>
      <c r="AG98" s="8"/>
      <c r="AH98" s="45"/>
      <c r="AI98" s="8"/>
      <c r="AJ98" s="8"/>
      <c r="AK98" s="8"/>
      <c r="AL98" s="8"/>
      <c r="AM98" s="8"/>
      <c r="AN98" s="8"/>
      <c r="AO98" s="8"/>
      <c r="AP98" s="8"/>
      <c r="AQ98" s="8"/>
      <c r="AR98" s="8"/>
      <c r="AS98" s="1"/>
      <c r="AT98" s="1"/>
      <c r="AU98" s="1"/>
      <c r="AV98" s="1"/>
      <c r="AW98" s="1"/>
      <c r="AX98" s="1"/>
      <c r="AY98" s="1"/>
      <c r="AZ98" s="1"/>
    </row>
    <row r="99" spans="1:52" x14ac:dyDescent="0.25">
      <c r="A99" s="1"/>
      <c r="B99" s="1"/>
      <c r="C99" s="1"/>
      <c r="D99" s="27"/>
      <c r="E99" s="38"/>
      <c r="F99" s="38"/>
      <c r="G99" s="38"/>
      <c r="H99" s="38"/>
      <c r="I99" s="38"/>
      <c r="J99" s="38"/>
      <c r="K99" s="1"/>
      <c r="L99" s="1"/>
      <c r="M99" s="1"/>
      <c r="N99" s="1"/>
      <c r="O99" s="1"/>
      <c r="P99" s="1"/>
      <c r="Q99" s="1"/>
      <c r="R99" s="1"/>
      <c r="S99" s="1"/>
      <c r="T99" s="1"/>
      <c r="U99" s="1"/>
      <c r="V99" s="1"/>
      <c r="W99" s="46"/>
      <c r="X99" s="8"/>
      <c r="Y99" s="8"/>
      <c r="Z99" s="8"/>
      <c r="AA99" s="8"/>
      <c r="AB99" s="8"/>
      <c r="AC99" s="8"/>
      <c r="AD99" s="8"/>
      <c r="AE99" s="8"/>
      <c r="AF99" s="8"/>
      <c r="AG99" s="8"/>
      <c r="AH99" s="45"/>
      <c r="AI99" s="8"/>
      <c r="AJ99" s="8"/>
      <c r="AK99" s="8"/>
      <c r="AL99" s="8"/>
      <c r="AM99" s="8"/>
      <c r="AN99" s="8"/>
      <c r="AO99" s="8"/>
      <c r="AP99" s="8"/>
      <c r="AQ99" s="8"/>
      <c r="AR99" s="8"/>
      <c r="AS99" s="1"/>
      <c r="AT99" s="1"/>
      <c r="AU99" s="1"/>
      <c r="AV99" s="1"/>
      <c r="AW99" s="1"/>
      <c r="AX99" s="1"/>
      <c r="AY99" s="1"/>
      <c r="AZ99" s="1"/>
    </row>
    <row r="100" spans="1:52" x14ac:dyDescent="0.25">
      <c r="A100" s="1"/>
      <c r="B100" s="1"/>
      <c r="C100" s="1"/>
      <c r="D100" s="27"/>
      <c r="E100" s="38"/>
      <c r="F100" s="38"/>
      <c r="G100" s="38"/>
      <c r="H100" s="38"/>
      <c r="I100" s="38"/>
      <c r="J100" s="38"/>
      <c r="K100" s="1"/>
      <c r="L100" s="1"/>
      <c r="M100" s="1"/>
      <c r="N100" s="1"/>
      <c r="O100" s="1"/>
      <c r="P100" s="1"/>
      <c r="Q100" s="1"/>
      <c r="R100" s="1"/>
      <c r="S100" s="1"/>
      <c r="T100" s="1"/>
      <c r="U100" s="1"/>
      <c r="V100" s="1"/>
      <c r="W100" s="46"/>
      <c r="X100" s="8"/>
      <c r="Y100" s="8"/>
      <c r="Z100" s="8"/>
      <c r="AA100" s="8"/>
      <c r="AB100" s="8"/>
      <c r="AC100" s="8"/>
      <c r="AD100" s="8"/>
      <c r="AE100" s="8"/>
      <c r="AF100" s="8"/>
      <c r="AG100" s="8"/>
      <c r="AH100" s="45"/>
      <c r="AI100" s="8"/>
      <c r="AJ100" s="8"/>
      <c r="AK100" s="8"/>
      <c r="AL100" s="8"/>
      <c r="AM100" s="8"/>
      <c r="AN100" s="8"/>
      <c r="AO100" s="8"/>
      <c r="AP100" s="8"/>
      <c r="AQ100" s="8"/>
      <c r="AR100" s="8"/>
      <c r="AS100" s="1"/>
      <c r="AT100" s="1"/>
      <c r="AU100" s="1"/>
      <c r="AV100" s="1"/>
      <c r="AW100" s="1"/>
      <c r="AX100" s="1"/>
      <c r="AY100" s="1"/>
      <c r="AZ100" s="1"/>
    </row>
    <row r="101" spans="1:52" x14ac:dyDescent="0.25">
      <c r="A101" s="1"/>
      <c r="B101" s="1"/>
      <c r="C101" s="1"/>
      <c r="D101" s="27"/>
      <c r="E101" s="38"/>
      <c r="F101" s="38"/>
      <c r="G101" s="38"/>
      <c r="H101" s="38"/>
      <c r="I101" s="38"/>
      <c r="J101" s="38"/>
      <c r="K101" s="1"/>
      <c r="L101" s="1"/>
      <c r="M101" s="1"/>
      <c r="N101" s="1"/>
      <c r="O101" s="1"/>
      <c r="P101" s="1"/>
      <c r="Q101" s="1"/>
      <c r="R101" s="1"/>
      <c r="S101" s="1"/>
      <c r="T101" s="1"/>
      <c r="U101" s="1"/>
      <c r="V101" s="1"/>
      <c r="W101" s="46"/>
      <c r="X101" s="8"/>
      <c r="Y101" s="8"/>
      <c r="Z101" s="8"/>
      <c r="AA101" s="8"/>
      <c r="AB101" s="8"/>
      <c r="AC101" s="8"/>
      <c r="AD101" s="8"/>
      <c r="AE101" s="8"/>
      <c r="AF101" s="8"/>
      <c r="AG101" s="8"/>
      <c r="AH101" s="45"/>
      <c r="AI101" s="8"/>
      <c r="AJ101" s="8"/>
      <c r="AK101" s="8"/>
      <c r="AL101" s="8"/>
      <c r="AM101" s="8"/>
      <c r="AN101" s="8"/>
      <c r="AO101" s="8"/>
      <c r="AP101" s="8"/>
      <c r="AQ101" s="8"/>
      <c r="AR101" s="8"/>
      <c r="AS101" s="1"/>
      <c r="AT101" s="1"/>
      <c r="AU101" s="1"/>
      <c r="AV101" s="1"/>
      <c r="AW101" s="1"/>
      <c r="AX101" s="1"/>
      <c r="AY101" s="1"/>
      <c r="AZ101" s="1"/>
    </row>
    <row r="102" spans="1:52" x14ac:dyDescent="0.25">
      <c r="A102" s="1"/>
      <c r="B102" s="1"/>
      <c r="C102" s="1"/>
      <c r="D102" s="27"/>
      <c r="E102" s="38"/>
      <c r="F102" s="38"/>
      <c r="G102" s="38"/>
      <c r="H102" s="38"/>
      <c r="I102" s="38"/>
      <c r="J102" s="38"/>
      <c r="K102" s="1"/>
      <c r="L102" s="1"/>
      <c r="M102" s="1"/>
      <c r="N102" s="1"/>
      <c r="O102" s="1"/>
      <c r="P102" s="1"/>
      <c r="Q102" s="1"/>
      <c r="R102" s="1"/>
      <c r="S102" s="1"/>
      <c r="T102" s="1"/>
      <c r="U102" s="1"/>
      <c r="V102" s="1"/>
      <c r="W102" s="46"/>
      <c r="X102" s="8"/>
      <c r="Y102" s="8"/>
      <c r="Z102" s="8"/>
      <c r="AA102" s="8"/>
      <c r="AB102" s="8"/>
      <c r="AC102" s="8"/>
      <c r="AD102" s="8"/>
      <c r="AE102" s="8"/>
      <c r="AF102" s="8"/>
      <c r="AG102" s="8"/>
      <c r="AH102" s="45"/>
      <c r="AI102" s="8"/>
      <c r="AJ102" s="8"/>
      <c r="AK102" s="8"/>
      <c r="AL102" s="8"/>
      <c r="AM102" s="8"/>
      <c r="AN102" s="8"/>
      <c r="AO102" s="8"/>
      <c r="AP102" s="8"/>
      <c r="AQ102" s="8"/>
      <c r="AR102" s="8"/>
      <c r="AS102" s="1"/>
      <c r="AT102" s="1"/>
      <c r="AU102" s="1"/>
      <c r="AV102" s="1"/>
      <c r="AW102" s="1"/>
      <c r="AX102" s="1"/>
      <c r="AY102" s="1"/>
      <c r="AZ102" s="1"/>
    </row>
    <row r="103" spans="1:52" x14ac:dyDescent="0.25">
      <c r="A103" s="1"/>
      <c r="B103" s="1"/>
      <c r="C103" s="1"/>
      <c r="D103" s="27"/>
      <c r="E103" s="38"/>
      <c r="F103" s="38"/>
      <c r="G103" s="38"/>
      <c r="H103" s="38"/>
      <c r="I103" s="38"/>
      <c r="J103" s="38"/>
      <c r="K103" s="1"/>
      <c r="L103" s="1"/>
      <c r="M103" s="1"/>
      <c r="N103" s="1"/>
      <c r="O103" s="1"/>
      <c r="P103" s="1"/>
      <c r="Q103" s="1"/>
      <c r="R103" s="1"/>
      <c r="S103" s="1"/>
      <c r="T103" s="1"/>
      <c r="U103" s="1"/>
      <c r="V103" s="1"/>
      <c r="W103" s="46"/>
      <c r="X103" s="8"/>
      <c r="Y103" s="8"/>
      <c r="Z103" s="8"/>
      <c r="AA103" s="8"/>
      <c r="AB103" s="8"/>
      <c r="AC103" s="8"/>
      <c r="AD103" s="8"/>
      <c r="AE103" s="8"/>
      <c r="AF103" s="8"/>
      <c r="AG103" s="8"/>
      <c r="AH103" s="45"/>
      <c r="AI103" s="8"/>
      <c r="AJ103" s="8"/>
      <c r="AK103" s="8"/>
      <c r="AL103" s="8"/>
      <c r="AM103" s="8"/>
      <c r="AN103" s="8"/>
      <c r="AO103" s="8"/>
      <c r="AP103" s="8"/>
      <c r="AQ103" s="8"/>
      <c r="AR103" s="8"/>
      <c r="AS103" s="1"/>
      <c r="AT103" s="1"/>
      <c r="AU103" s="1"/>
      <c r="AV103" s="1"/>
      <c r="AW103" s="1"/>
      <c r="AX103" s="1"/>
      <c r="AY103" s="1"/>
      <c r="AZ103" s="1"/>
    </row>
    <row r="104" spans="1:52" x14ac:dyDescent="0.25">
      <c r="A104" s="1"/>
      <c r="B104" s="1"/>
      <c r="C104" s="1"/>
      <c r="D104" s="27"/>
      <c r="E104" s="38"/>
      <c r="F104" s="38"/>
      <c r="G104" s="38"/>
      <c r="H104" s="38"/>
      <c r="I104" s="38"/>
      <c r="J104" s="38"/>
      <c r="K104" s="1"/>
      <c r="L104" s="1"/>
      <c r="M104" s="1"/>
      <c r="N104" s="1"/>
      <c r="O104" s="1"/>
      <c r="P104" s="1"/>
      <c r="Q104" s="1"/>
      <c r="R104" s="1"/>
      <c r="S104" s="1"/>
      <c r="T104" s="1"/>
      <c r="U104" s="1"/>
      <c r="V104" s="1"/>
      <c r="W104" s="46"/>
      <c r="X104" s="8"/>
      <c r="Y104" s="8"/>
      <c r="Z104" s="8"/>
      <c r="AA104" s="8"/>
      <c r="AB104" s="8"/>
      <c r="AC104" s="8"/>
      <c r="AD104" s="8"/>
      <c r="AE104" s="8"/>
      <c r="AF104" s="8"/>
      <c r="AG104" s="8"/>
      <c r="AH104" s="45"/>
      <c r="AI104" s="8"/>
      <c r="AJ104" s="8"/>
      <c r="AK104" s="8"/>
      <c r="AL104" s="8"/>
      <c r="AM104" s="8"/>
      <c r="AN104" s="8"/>
      <c r="AO104" s="8"/>
      <c r="AP104" s="8"/>
      <c r="AQ104" s="8"/>
      <c r="AR104" s="8"/>
      <c r="AS104" s="1"/>
      <c r="AT104" s="1"/>
      <c r="AU104" s="1"/>
      <c r="AV104" s="1"/>
      <c r="AW104" s="1"/>
      <c r="AX104" s="1"/>
      <c r="AY104" s="1"/>
      <c r="AZ104" s="1"/>
    </row>
    <row r="105" spans="1:52" x14ac:dyDescent="0.25">
      <c r="A105" s="1"/>
      <c r="B105" s="1"/>
      <c r="C105" s="1"/>
      <c r="D105" s="27"/>
      <c r="E105" s="38"/>
      <c r="F105" s="38"/>
      <c r="G105" s="38"/>
      <c r="H105" s="38"/>
      <c r="I105" s="38"/>
      <c r="J105" s="38"/>
      <c r="K105" s="1"/>
      <c r="L105" s="1"/>
      <c r="M105" s="1"/>
      <c r="N105" s="1"/>
      <c r="O105" s="1"/>
      <c r="P105" s="1"/>
      <c r="Q105" s="1"/>
      <c r="R105" s="1"/>
      <c r="S105" s="1"/>
      <c r="T105" s="1"/>
      <c r="U105" s="1"/>
      <c r="V105" s="1"/>
      <c r="W105" s="46"/>
      <c r="X105" s="8"/>
      <c r="Y105" s="8"/>
      <c r="Z105" s="8"/>
      <c r="AA105" s="8"/>
      <c r="AB105" s="8"/>
      <c r="AC105" s="8"/>
      <c r="AD105" s="8"/>
      <c r="AE105" s="8"/>
      <c r="AF105" s="8"/>
      <c r="AG105" s="8"/>
      <c r="AH105" s="45"/>
      <c r="AI105" s="8"/>
      <c r="AJ105" s="8"/>
      <c r="AK105" s="8"/>
      <c r="AL105" s="8"/>
      <c r="AM105" s="8"/>
      <c r="AN105" s="8"/>
      <c r="AO105" s="8"/>
      <c r="AP105" s="8"/>
      <c r="AQ105" s="8"/>
      <c r="AR105" s="8"/>
      <c r="AS105" s="1"/>
      <c r="AT105" s="1"/>
      <c r="AU105" s="1"/>
      <c r="AV105" s="1"/>
      <c r="AW105" s="1"/>
      <c r="AX105" s="1"/>
      <c r="AY105" s="1"/>
      <c r="AZ105" s="1"/>
    </row>
    <row r="106" spans="1:52" x14ac:dyDescent="0.25">
      <c r="A106" s="1"/>
      <c r="B106" s="1"/>
      <c r="C106" s="1"/>
      <c r="D106" s="27"/>
      <c r="E106" s="38"/>
      <c r="F106" s="38"/>
      <c r="G106" s="38"/>
      <c r="H106" s="38"/>
      <c r="I106" s="38"/>
      <c r="J106" s="38"/>
      <c r="K106" s="1"/>
      <c r="L106" s="1"/>
      <c r="M106" s="1"/>
      <c r="N106" s="1"/>
      <c r="O106" s="1"/>
      <c r="P106" s="1"/>
      <c r="Q106" s="1"/>
      <c r="R106" s="1"/>
      <c r="S106" s="1"/>
      <c r="T106" s="1"/>
      <c r="U106" s="1"/>
      <c r="V106" s="1"/>
      <c r="W106" s="46"/>
      <c r="X106" s="8"/>
      <c r="Y106" s="8"/>
      <c r="Z106" s="8"/>
      <c r="AA106" s="8"/>
      <c r="AB106" s="8"/>
      <c r="AC106" s="8"/>
      <c r="AD106" s="8"/>
      <c r="AE106" s="8"/>
      <c r="AF106" s="8"/>
      <c r="AG106" s="8"/>
      <c r="AH106" s="45"/>
      <c r="AI106" s="8"/>
      <c r="AJ106" s="8"/>
      <c r="AK106" s="8"/>
      <c r="AL106" s="8"/>
      <c r="AM106" s="8"/>
      <c r="AN106" s="8"/>
      <c r="AO106" s="8"/>
      <c r="AP106" s="8"/>
      <c r="AQ106" s="8"/>
      <c r="AR106" s="8"/>
      <c r="AS106" s="1"/>
      <c r="AT106" s="1"/>
      <c r="AU106" s="1"/>
      <c r="AV106" s="1"/>
      <c r="AW106" s="1"/>
      <c r="AX106" s="1"/>
      <c r="AY106" s="1"/>
      <c r="AZ106" s="1"/>
    </row>
    <row r="107" spans="1:52" x14ac:dyDescent="0.25">
      <c r="A107" s="1"/>
      <c r="B107" s="1"/>
      <c r="C107" s="1"/>
      <c r="D107" s="27"/>
      <c r="E107" s="38"/>
      <c r="F107" s="38"/>
      <c r="G107" s="38"/>
      <c r="H107" s="38"/>
      <c r="I107" s="38"/>
      <c r="J107" s="38"/>
      <c r="K107" s="1"/>
      <c r="L107" s="1"/>
      <c r="M107" s="1"/>
      <c r="N107" s="1"/>
      <c r="O107" s="1"/>
      <c r="P107" s="1"/>
      <c r="Q107" s="1"/>
      <c r="R107" s="1"/>
      <c r="S107" s="1"/>
      <c r="T107" s="1"/>
      <c r="U107" s="1"/>
      <c r="V107" s="1"/>
      <c r="W107" s="46"/>
      <c r="X107" s="8"/>
      <c r="Y107" s="8"/>
      <c r="Z107" s="8"/>
      <c r="AA107" s="8"/>
      <c r="AB107" s="8"/>
      <c r="AC107" s="8"/>
      <c r="AD107" s="8"/>
      <c r="AE107" s="8"/>
      <c r="AF107" s="8"/>
      <c r="AG107" s="8"/>
      <c r="AH107" s="45"/>
      <c r="AI107" s="8"/>
      <c r="AJ107" s="8"/>
      <c r="AK107" s="8"/>
      <c r="AL107" s="8"/>
      <c r="AM107" s="8"/>
      <c r="AN107" s="8"/>
      <c r="AO107" s="8"/>
      <c r="AP107" s="8"/>
      <c r="AQ107" s="8"/>
      <c r="AR107" s="8"/>
      <c r="AS107" s="1"/>
      <c r="AT107" s="1"/>
      <c r="AU107" s="1"/>
      <c r="AV107" s="1"/>
      <c r="AW107" s="1"/>
      <c r="AX107" s="1"/>
      <c r="AY107" s="1"/>
      <c r="AZ107" s="1"/>
    </row>
    <row r="108" spans="1:52" x14ac:dyDescent="0.25">
      <c r="A108" s="1"/>
      <c r="B108" s="1"/>
      <c r="C108" s="1"/>
      <c r="D108" s="27"/>
      <c r="E108" s="38"/>
      <c r="F108" s="38"/>
      <c r="G108" s="38"/>
      <c r="H108" s="38"/>
      <c r="I108" s="38"/>
      <c r="J108" s="38"/>
      <c r="K108" s="1"/>
      <c r="L108" s="1"/>
      <c r="M108" s="1"/>
      <c r="N108" s="1"/>
      <c r="O108" s="1"/>
      <c r="P108" s="1"/>
      <c r="Q108" s="1"/>
      <c r="R108" s="1"/>
      <c r="S108" s="1"/>
      <c r="T108" s="1"/>
      <c r="U108" s="1"/>
      <c r="V108" s="1"/>
      <c r="W108" s="46"/>
      <c r="X108" s="8"/>
      <c r="Y108" s="8"/>
      <c r="Z108" s="8"/>
      <c r="AA108" s="8"/>
      <c r="AB108" s="8"/>
      <c r="AC108" s="8"/>
      <c r="AD108" s="8"/>
      <c r="AE108" s="8"/>
      <c r="AF108" s="8"/>
      <c r="AG108" s="8"/>
      <c r="AH108" s="45"/>
      <c r="AI108" s="8"/>
      <c r="AJ108" s="8"/>
      <c r="AK108" s="8"/>
      <c r="AL108" s="8"/>
      <c r="AM108" s="8"/>
      <c r="AN108" s="8"/>
      <c r="AO108" s="8"/>
      <c r="AP108" s="8"/>
      <c r="AQ108" s="8"/>
      <c r="AR108" s="8"/>
      <c r="AS108" s="1"/>
      <c r="AT108" s="1"/>
      <c r="AU108" s="1"/>
      <c r="AV108" s="1"/>
      <c r="AW108" s="1"/>
      <c r="AX108" s="1"/>
      <c r="AY108" s="1"/>
      <c r="AZ108" s="1"/>
    </row>
    <row r="109" spans="1:52" x14ac:dyDescent="0.25">
      <c r="A109" s="1"/>
      <c r="B109" s="1"/>
      <c r="C109" s="1"/>
      <c r="D109" s="27"/>
      <c r="E109" s="38"/>
      <c r="F109" s="38"/>
      <c r="G109" s="38"/>
      <c r="H109" s="38"/>
      <c r="I109" s="38"/>
      <c r="J109" s="38"/>
      <c r="K109" s="1"/>
      <c r="L109" s="1"/>
      <c r="M109" s="1"/>
      <c r="N109" s="1"/>
      <c r="O109" s="1"/>
      <c r="P109" s="1"/>
      <c r="Q109" s="1"/>
      <c r="R109" s="1"/>
      <c r="S109" s="1"/>
      <c r="T109" s="1"/>
      <c r="U109" s="1"/>
      <c r="V109" s="1"/>
      <c r="W109" s="46"/>
      <c r="X109" s="8"/>
      <c r="Y109" s="8"/>
      <c r="Z109" s="8"/>
      <c r="AA109" s="8"/>
      <c r="AB109" s="8"/>
      <c r="AC109" s="8"/>
      <c r="AD109" s="8"/>
      <c r="AE109" s="8"/>
      <c r="AF109" s="8"/>
      <c r="AG109" s="8"/>
      <c r="AH109" s="45"/>
      <c r="AI109" s="8"/>
      <c r="AJ109" s="8"/>
      <c r="AK109" s="8"/>
      <c r="AL109" s="8"/>
      <c r="AM109" s="8"/>
      <c r="AN109" s="8"/>
      <c r="AO109" s="8"/>
      <c r="AP109" s="8"/>
      <c r="AQ109" s="8"/>
      <c r="AR109" s="8"/>
      <c r="AS109" s="1"/>
      <c r="AT109" s="1"/>
      <c r="AU109" s="1"/>
      <c r="AV109" s="1"/>
      <c r="AW109" s="1"/>
      <c r="AX109" s="1"/>
      <c r="AY109" s="1"/>
      <c r="AZ109" s="1"/>
    </row>
    <row r="110" spans="1:52" x14ac:dyDescent="0.25">
      <c r="A110" s="1"/>
      <c r="B110" s="1"/>
      <c r="C110" s="1"/>
      <c r="D110" s="27"/>
      <c r="E110" s="38"/>
      <c r="F110" s="38"/>
      <c r="G110" s="38"/>
      <c r="H110" s="38"/>
      <c r="I110" s="38"/>
      <c r="J110" s="38"/>
      <c r="K110" s="1"/>
      <c r="L110" s="1"/>
      <c r="M110" s="1"/>
      <c r="N110" s="1"/>
      <c r="O110" s="1"/>
      <c r="P110" s="1"/>
      <c r="Q110" s="1"/>
      <c r="R110" s="1"/>
      <c r="S110" s="1"/>
      <c r="T110" s="1"/>
      <c r="U110" s="1"/>
      <c r="V110" s="1"/>
      <c r="W110" s="46"/>
      <c r="X110" s="8"/>
      <c r="Y110" s="8"/>
      <c r="Z110" s="8"/>
      <c r="AA110" s="8"/>
      <c r="AB110" s="8"/>
      <c r="AC110" s="8"/>
      <c r="AD110" s="8"/>
      <c r="AE110" s="8"/>
      <c r="AF110" s="8"/>
      <c r="AG110" s="8"/>
      <c r="AH110" s="45"/>
      <c r="AI110" s="8"/>
      <c r="AJ110" s="8"/>
      <c r="AK110" s="8"/>
      <c r="AL110" s="8"/>
      <c r="AM110" s="8"/>
      <c r="AN110" s="8"/>
      <c r="AO110" s="8"/>
      <c r="AP110" s="8"/>
      <c r="AQ110" s="8"/>
      <c r="AR110" s="8"/>
      <c r="AS110" s="1"/>
      <c r="AT110" s="1"/>
      <c r="AU110" s="1"/>
      <c r="AV110" s="1"/>
      <c r="AW110" s="1"/>
      <c r="AX110" s="1"/>
      <c r="AY110" s="1"/>
      <c r="AZ110" s="1"/>
    </row>
    <row r="111" spans="1:52" x14ac:dyDescent="0.25">
      <c r="A111" s="1"/>
      <c r="B111" s="1"/>
      <c r="C111" s="1"/>
      <c r="D111" s="27"/>
      <c r="E111" s="38"/>
      <c r="F111" s="38"/>
      <c r="G111" s="38"/>
      <c r="H111" s="38"/>
      <c r="I111" s="38"/>
      <c r="J111" s="38"/>
      <c r="K111" s="1"/>
      <c r="L111" s="1"/>
      <c r="M111" s="1"/>
      <c r="N111" s="1"/>
      <c r="O111" s="1"/>
      <c r="P111" s="1"/>
      <c r="Q111" s="1"/>
      <c r="R111" s="1"/>
      <c r="S111" s="1"/>
      <c r="T111" s="1"/>
      <c r="U111" s="1"/>
      <c r="V111" s="1"/>
      <c r="W111" s="46"/>
      <c r="X111" s="8"/>
      <c r="Y111" s="8"/>
      <c r="Z111" s="8"/>
      <c r="AA111" s="8"/>
      <c r="AB111" s="8"/>
      <c r="AC111" s="8"/>
      <c r="AD111" s="8"/>
      <c r="AE111" s="8"/>
      <c r="AF111" s="8"/>
      <c r="AG111" s="8"/>
      <c r="AH111" s="45"/>
      <c r="AI111" s="8"/>
      <c r="AJ111" s="8"/>
      <c r="AK111" s="8"/>
      <c r="AL111" s="8"/>
      <c r="AM111" s="8"/>
      <c r="AN111" s="8"/>
      <c r="AO111" s="8"/>
      <c r="AP111" s="8"/>
      <c r="AQ111" s="8"/>
      <c r="AR111" s="8"/>
      <c r="AS111" s="1"/>
      <c r="AT111" s="1"/>
      <c r="AU111" s="1"/>
      <c r="AV111" s="1"/>
      <c r="AW111" s="1"/>
      <c r="AX111" s="1"/>
      <c r="AY111" s="1"/>
      <c r="AZ111" s="1"/>
    </row>
    <row r="112" spans="1:52" x14ac:dyDescent="0.25">
      <c r="A112" s="1"/>
      <c r="B112" s="1"/>
      <c r="C112" s="1"/>
      <c r="D112" s="27"/>
      <c r="E112" s="38"/>
      <c r="F112" s="38"/>
      <c r="G112" s="38"/>
      <c r="H112" s="38"/>
      <c r="I112" s="38"/>
      <c r="J112" s="38"/>
      <c r="K112" s="1"/>
      <c r="L112" s="1"/>
      <c r="M112" s="1"/>
      <c r="N112" s="1"/>
      <c r="O112" s="1"/>
      <c r="P112" s="1"/>
      <c r="Q112" s="1"/>
      <c r="R112" s="1"/>
      <c r="S112" s="1"/>
      <c r="T112" s="1"/>
      <c r="U112" s="1"/>
      <c r="V112" s="1"/>
      <c r="W112" s="46"/>
      <c r="X112" s="8"/>
      <c r="Y112" s="8"/>
      <c r="Z112" s="8"/>
      <c r="AA112" s="8"/>
      <c r="AB112" s="8"/>
      <c r="AC112" s="8"/>
      <c r="AD112" s="8"/>
      <c r="AE112" s="8"/>
      <c r="AF112" s="8"/>
      <c r="AG112" s="8"/>
      <c r="AH112" s="45"/>
      <c r="AI112" s="8"/>
      <c r="AJ112" s="8"/>
      <c r="AK112" s="8"/>
      <c r="AL112" s="8"/>
      <c r="AM112" s="8"/>
      <c r="AN112" s="8"/>
      <c r="AO112" s="8"/>
      <c r="AP112" s="8"/>
      <c r="AQ112" s="8"/>
      <c r="AR112" s="8"/>
      <c r="AS112" s="1"/>
      <c r="AT112" s="1"/>
      <c r="AU112" s="1"/>
      <c r="AV112" s="1"/>
      <c r="AW112" s="1"/>
      <c r="AX112" s="1"/>
      <c r="AY112" s="1"/>
      <c r="AZ112" s="1"/>
    </row>
    <row r="113" spans="1:52" x14ac:dyDescent="0.25">
      <c r="A113" s="1"/>
      <c r="B113" s="1"/>
      <c r="C113" s="1"/>
      <c r="D113" s="27"/>
      <c r="E113" s="38"/>
      <c r="F113" s="38"/>
      <c r="G113" s="38"/>
      <c r="H113" s="38"/>
      <c r="I113" s="38"/>
      <c r="J113" s="38"/>
      <c r="K113" s="1"/>
      <c r="L113" s="1"/>
      <c r="M113" s="1"/>
      <c r="N113" s="1"/>
      <c r="O113" s="1"/>
      <c r="P113" s="1"/>
      <c r="Q113" s="1"/>
      <c r="R113" s="1"/>
      <c r="S113" s="1"/>
      <c r="T113" s="1"/>
      <c r="U113" s="1"/>
      <c r="V113" s="1"/>
      <c r="W113" s="46"/>
      <c r="X113" s="8"/>
      <c r="Y113" s="8"/>
      <c r="Z113" s="8"/>
      <c r="AA113" s="8"/>
      <c r="AB113" s="8"/>
      <c r="AC113" s="8"/>
      <c r="AD113" s="8"/>
      <c r="AE113" s="8"/>
      <c r="AF113" s="8"/>
      <c r="AG113" s="8"/>
      <c r="AH113" s="45"/>
      <c r="AI113" s="8"/>
      <c r="AJ113" s="8"/>
      <c r="AK113" s="8"/>
      <c r="AL113" s="8"/>
      <c r="AM113" s="8"/>
      <c r="AN113" s="8"/>
      <c r="AO113" s="8"/>
      <c r="AP113" s="8"/>
      <c r="AQ113" s="8"/>
      <c r="AR113" s="8"/>
      <c r="AS113" s="1"/>
      <c r="AT113" s="1"/>
      <c r="AU113" s="1"/>
      <c r="AV113" s="1"/>
      <c r="AW113" s="1"/>
      <c r="AX113" s="1"/>
      <c r="AY113" s="1"/>
      <c r="AZ113" s="1"/>
    </row>
    <row r="114" spans="1:52" x14ac:dyDescent="0.25">
      <c r="A114" s="1"/>
      <c r="B114" s="1"/>
      <c r="C114" s="1"/>
      <c r="D114" s="27"/>
      <c r="E114" s="38"/>
      <c r="F114" s="38"/>
      <c r="G114" s="38"/>
      <c r="H114" s="38"/>
      <c r="I114" s="38"/>
      <c r="J114" s="38"/>
      <c r="K114" s="1"/>
      <c r="L114" s="1"/>
      <c r="M114" s="1"/>
      <c r="N114" s="1"/>
      <c r="O114" s="1"/>
      <c r="P114" s="1"/>
      <c r="Q114" s="1"/>
      <c r="R114" s="1"/>
      <c r="S114" s="1"/>
      <c r="T114" s="1"/>
      <c r="U114" s="1"/>
      <c r="V114" s="1"/>
      <c r="W114" s="46"/>
      <c r="X114" s="8"/>
      <c r="Y114" s="8"/>
      <c r="Z114" s="8"/>
      <c r="AA114" s="8"/>
      <c r="AB114" s="8"/>
      <c r="AC114" s="8"/>
      <c r="AD114" s="8"/>
      <c r="AE114" s="8"/>
      <c r="AF114" s="8"/>
      <c r="AG114" s="8"/>
      <c r="AH114" s="45"/>
      <c r="AI114" s="8"/>
      <c r="AJ114" s="8"/>
      <c r="AK114" s="8"/>
      <c r="AL114" s="8"/>
      <c r="AM114" s="8"/>
      <c r="AN114" s="8"/>
      <c r="AO114" s="8"/>
      <c r="AP114" s="8"/>
      <c r="AQ114" s="8"/>
      <c r="AR114" s="8"/>
      <c r="AS114" s="1"/>
      <c r="AT114" s="1"/>
      <c r="AU114" s="1"/>
      <c r="AV114" s="1"/>
      <c r="AW114" s="1"/>
      <c r="AX114" s="1"/>
      <c r="AY114" s="1"/>
      <c r="AZ114" s="1"/>
    </row>
    <row r="115" spans="1:52" x14ac:dyDescent="0.25">
      <c r="A115" s="1"/>
      <c r="B115" s="1"/>
      <c r="C115" s="1"/>
      <c r="D115" s="27"/>
      <c r="E115" s="38"/>
      <c r="F115" s="38"/>
      <c r="G115" s="38"/>
      <c r="H115" s="38"/>
      <c r="I115" s="38"/>
      <c r="J115" s="38"/>
      <c r="K115" s="1"/>
      <c r="L115" s="1"/>
      <c r="M115" s="1"/>
      <c r="N115" s="1"/>
      <c r="O115" s="1"/>
      <c r="P115" s="1"/>
      <c r="Q115" s="1"/>
      <c r="R115" s="1"/>
      <c r="S115" s="1"/>
      <c r="T115" s="1"/>
      <c r="U115" s="1"/>
      <c r="V115" s="1"/>
      <c r="W115" s="46"/>
      <c r="X115" s="8"/>
      <c r="Y115" s="8"/>
      <c r="Z115" s="8"/>
      <c r="AA115" s="8"/>
      <c r="AB115" s="8"/>
      <c r="AC115" s="8"/>
      <c r="AD115" s="8"/>
      <c r="AE115" s="8"/>
      <c r="AF115" s="8"/>
      <c r="AG115" s="8"/>
      <c r="AH115" s="45"/>
      <c r="AI115" s="8"/>
      <c r="AJ115" s="8"/>
      <c r="AK115" s="8"/>
      <c r="AL115" s="8"/>
      <c r="AM115" s="8"/>
      <c r="AN115" s="8"/>
      <c r="AO115" s="8"/>
      <c r="AP115" s="8"/>
      <c r="AQ115" s="8"/>
      <c r="AR115" s="8"/>
      <c r="AS115" s="1"/>
      <c r="AT115" s="1"/>
      <c r="AU115" s="1"/>
      <c r="AV115" s="1"/>
      <c r="AW115" s="1"/>
      <c r="AX115" s="1"/>
      <c r="AY115" s="1"/>
      <c r="AZ115" s="1"/>
    </row>
    <row r="116" spans="1:52" x14ac:dyDescent="0.25">
      <c r="A116" s="1"/>
      <c r="B116" s="1"/>
      <c r="C116" s="1"/>
      <c r="D116" s="27"/>
      <c r="E116" s="38"/>
      <c r="F116" s="38"/>
      <c r="G116" s="38"/>
      <c r="H116" s="38"/>
      <c r="I116" s="38"/>
      <c r="J116" s="38"/>
      <c r="K116" s="1"/>
      <c r="L116" s="1"/>
      <c r="M116" s="1"/>
      <c r="N116" s="1"/>
      <c r="O116" s="1"/>
      <c r="P116" s="1"/>
      <c r="Q116" s="1"/>
      <c r="R116" s="1"/>
      <c r="S116" s="1"/>
      <c r="T116" s="1"/>
      <c r="U116" s="1"/>
      <c r="V116" s="1"/>
      <c r="W116" s="46"/>
      <c r="X116" s="8"/>
      <c r="Y116" s="8"/>
      <c r="Z116" s="8"/>
      <c r="AA116" s="8"/>
      <c r="AB116" s="8"/>
      <c r="AC116" s="8"/>
      <c r="AD116" s="8"/>
      <c r="AE116" s="8"/>
      <c r="AF116" s="8"/>
      <c r="AG116" s="8"/>
      <c r="AH116" s="45"/>
      <c r="AI116" s="8"/>
      <c r="AJ116" s="8"/>
      <c r="AK116" s="8"/>
      <c r="AL116" s="8"/>
      <c r="AM116" s="8"/>
      <c r="AN116" s="8"/>
      <c r="AO116" s="8"/>
      <c r="AP116" s="8"/>
      <c r="AQ116" s="8"/>
      <c r="AR116" s="8"/>
      <c r="AS116" s="1"/>
      <c r="AT116" s="1"/>
      <c r="AU116" s="1"/>
      <c r="AV116" s="1"/>
      <c r="AW116" s="1"/>
      <c r="AX116" s="1"/>
      <c r="AY116" s="1"/>
      <c r="AZ116" s="1"/>
    </row>
    <row r="117" spans="1:52" x14ac:dyDescent="0.25">
      <c r="A117" s="1"/>
      <c r="B117" s="1"/>
      <c r="C117" s="1"/>
      <c r="D117" s="27"/>
      <c r="E117" s="38"/>
      <c r="F117" s="38"/>
      <c r="G117" s="38"/>
      <c r="H117" s="38"/>
      <c r="I117" s="38"/>
      <c r="J117" s="38"/>
      <c r="K117" s="1"/>
      <c r="L117" s="1"/>
      <c r="M117" s="1"/>
      <c r="N117" s="1"/>
      <c r="O117" s="1"/>
      <c r="P117" s="1"/>
      <c r="Q117" s="1"/>
      <c r="R117" s="1"/>
      <c r="S117" s="1"/>
      <c r="T117" s="1"/>
      <c r="U117" s="1"/>
      <c r="V117" s="1"/>
      <c r="W117" s="46"/>
      <c r="X117" s="8"/>
      <c r="Y117" s="8"/>
      <c r="Z117" s="8"/>
      <c r="AA117" s="8"/>
      <c r="AB117" s="8"/>
      <c r="AC117" s="8"/>
      <c r="AD117" s="8"/>
      <c r="AE117" s="8"/>
      <c r="AF117" s="8"/>
      <c r="AG117" s="8"/>
      <c r="AH117" s="45"/>
      <c r="AI117" s="8"/>
      <c r="AJ117" s="8"/>
      <c r="AK117" s="8"/>
      <c r="AL117" s="8"/>
      <c r="AM117" s="8"/>
      <c r="AN117" s="8"/>
      <c r="AO117" s="8"/>
      <c r="AP117" s="8"/>
      <c r="AQ117" s="8"/>
      <c r="AR117" s="8"/>
      <c r="AS117" s="1"/>
      <c r="AT117" s="1"/>
      <c r="AU117" s="1"/>
      <c r="AV117" s="1"/>
      <c r="AW117" s="1"/>
      <c r="AX117" s="1"/>
      <c r="AY117" s="1"/>
      <c r="AZ117" s="1"/>
    </row>
    <row r="118" spans="1:52" x14ac:dyDescent="0.25">
      <c r="A118" s="1"/>
      <c r="B118" s="1"/>
      <c r="C118" s="1"/>
      <c r="D118" s="27"/>
      <c r="E118" s="38"/>
      <c r="F118" s="38"/>
      <c r="G118" s="38"/>
      <c r="H118" s="38"/>
      <c r="I118" s="38"/>
      <c r="J118" s="38"/>
      <c r="K118" s="1"/>
      <c r="L118" s="1"/>
      <c r="M118" s="1"/>
      <c r="N118" s="1"/>
      <c r="O118" s="1"/>
      <c r="P118" s="1"/>
      <c r="Q118" s="1"/>
      <c r="R118" s="1"/>
      <c r="S118" s="1"/>
      <c r="T118" s="1"/>
      <c r="U118" s="1"/>
      <c r="V118" s="1"/>
      <c r="W118" s="46"/>
      <c r="X118" s="8"/>
      <c r="Y118" s="8"/>
      <c r="Z118" s="8"/>
      <c r="AA118" s="8"/>
      <c r="AB118" s="8"/>
      <c r="AC118" s="8"/>
      <c r="AD118" s="8"/>
      <c r="AE118" s="8"/>
      <c r="AF118" s="8"/>
      <c r="AG118" s="8"/>
      <c r="AH118" s="45"/>
      <c r="AI118" s="8"/>
      <c r="AJ118" s="8"/>
      <c r="AK118" s="8"/>
      <c r="AL118" s="8"/>
      <c r="AM118" s="8"/>
      <c r="AN118" s="8"/>
      <c r="AO118" s="8"/>
      <c r="AP118" s="8"/>
      <c r="AQ118" s="8"/>
      <c r="AR118" s="8"/>
      <c r="AS118" s="1"/>
      <c r="AT118" s="1"/>
      <c r="AU118" s="1"/>
      <c r="AV118" s="1"/>
      <c r="AW118" s="1"/>
      <c r="AX118" s="1"/>
      <c r="AY118" s="1"/>
      <c r="AZ118" s="1"/>
    </row>
    <row r="119" spans="1:52" x14ac:dyDescent="0.25">
      <c r="A119" s="1"/>
      <c r="B119" s="1"/>
      <c r="C119" s="1"/>
      <c r="D119" s="27"/>
      <c r="E119" s="38"/>
      <c r="F119" s="38"/>
      <c r="G119" s="38"/>
      <c r="H119" s="38"/>
      <c r="I119" s="38"/>
      <c r="J119" s="38"/>
      <c r="K119" s="1"/>
      <c r="L119" s="1"/>
      <c r="M119" s="1"/>
      <c r="N119" s="1"/>
      <c r="O119" s="1"/>
      <c r="P119" s="1"/>
      <c r="Q119" s="1"/>
      <c r="R119" s="1"/>
      <c r="S119" s="1"/>
      <c r="T119" s="1"/>
      <c r="U119" s="1"/>
      <c r="V119" s="1"/>
      <c r="W119" s="46"/>
      <c r="X119" s="8"/>
      <c r="Y119" s="8"/>
      <c r="Z119" s="8"/>
      <c r="AA119" s="8"/>
      <c r="AB119" s="8"/>
      <c r="AC119" s="8"/>
      <c r="AD119" s="8"/>
      <c r="AE119" s="8"/>
      <c r="AF119" s="8"/>
      <c r="AG119" s="8"/>
      <c r="AH119" s="45"/>
      <c r="AI119" s="8"/>
      <c r="AJ119" s="8"/>
      <c r="AK119" s="8"/>
      <c r="AL119" s="8"/>
      <c r="AM119" s="8"/>
      <c r="AN119" s="8"/>
      <c r="AO119" s="8"/>
      <c r="AP119" s="8"/>
      <c r="AQ119" s="8"/>
      <c r="AR119" s="8"/>
      <c r="AS119" s="1"/>
      <c r="AT119" s="1"/>
      <c r="AU119" s="1"/>
      <c r="AV119" s="1"/>
      <c r="AW119" s="1"/>
      <c r="AX119" s="1"/>
      <c r="AY119" s="1"/>
      <c r="AZ119" s="1"/>
    </row>
    <row r="120" spans="1:52" x14ac:dyDescent="0.25">
      <c r="A120" s="1"/>
      <c r="B120" s="1"/>
      <c r="C120" s="1"/>
      <c r="D120" s="27"/>
      <c r="E120" s="38"/>
      <c r="F120" s="38"/>
      <c r="G120" s="38"/>
      <c r="H120" s="38"/>
      <c r="I120" s="38"/>
      <c r="J120" s="38"/>
      <c r="K120" s="1"/>
      <c r="L120" s="1"/>
      <c r="M120" s="1"/>
      <c r="N120" s="1"/>
      <c r="O120" s="1"/>
      <c r="P120" s="1"/>
      <c r="Q120" s="1"/>
      <c r="R120" s="1"/>
      <c r="S120" s="1"/>
      <c r="T120" s="1"/>
      <c r="U120" s="1"/>
      <c r="V120" s="1"/>
      <c r="W120" s="46"/>
      <c r="X120" s="8"/>
      <c r="Y120" s="8"/>
      <c r="Z120" s="8"/>
      <c r="AA120" s="8"/>
      <c r="AB120" s="8"/>
      <c r="AC120" s="8"/>
      <c r="AD120" s="8"/>
      <c r="AE120" s="8"/>
      <c r="AF120" s="8"/>
      <c r="AG120" s="8"/>
      <c r="AH120" s="45"/>
      <c r="AI120" s="8"/>
      <c r="AJ120" s="8"/>
      <c r="AK120" s="8"/>
      <c r="AL120" s="8"/>
      <c r="AM120" s="8"/>
      <c r="AN120" s="8"/>
      <c r="AO120" s="8"/>
      <c r="AP120" s="8"/>
      <c r="AQ120" s="8"/>
      <c r="AR120" s="8"/>
      <c r="AS120" s="1"/>
      <c r="AT120" s="1"/>
      <c r="AU120" s="1"/>
      <c r="AV120" s="1"/>
      <c r="AW120" s="1"/>
      <c r="AX120" s="1"/>
      <c r="AY120" s="1"/>
      <c r="AZ120" s="1"/>
    </row>
    <row r="121" spans="1:52" x14ac:dyDescent="0.25">
      <c r="A121" s="1"/>
      <c r="B121" s="1"/>
      <c r="C121" s="1"/>
      <c r="D121" s="27"/>
      <c r="E121" s="38"/>
      <c r="F121" s="38"/>
      <c r="G121" s="38"/>
      <c r="H121" s="38"/>
      <c r="I121" s="38"/>
      <c r="J121" s="38"/>
      <c r="K121" s="1"/>
      <c r="L121" s="1"/>
      <c r="M121" s="1"/>
      <c r="N121" s="1"/>
      <c r="O121" s="1"/>
      <c r="P121" s="1"/>
      <c r="Q121" s="1"/>
      <c r="R121" s="1"/>
      <c r="S121" s="1"/>
      <c r="T121" s="1"/>
      <c r="U121" s="1"/>
      <c r="V121" s="1"/>
      <c r="W121" s="46"/>
      <c r="X121" s="8"/>
      <c r="Y121" s="8"/>
      <c r="Z121" s="8"/>
      <c r="AA121" s="8"/>
      <c r="AB121" s="8"/>
      <c r="AC121" s="8"/>
      <c r="AD121" s="8"/>
      <c r="AE121" s="8"/>
      <c r="AF121" s="8"/>
      <c r="AG121" s="8"/>
      <c r="AH121" s="45"/>
      <c r="AI121" s="8"/>
      <c r="AJ121" s="8"/>
      <c r="AK121" s="8"/>
      <c r="AL121" s="8"/>
      <c r="AM121" s="8"/>
      <c r="AN121" s="8"/>
      <c r="AO121" s="8"/>
      <c r="AP121" s="8"/>
      <c r="AQ121" s="8"/>
      <c r="AR121" s="8"/>
      <c r="AS121" s="1"/>
      <c r="AT121" s="1"/>
      <c r="AU121" s="1"/>
      <c r="AV121" s="1"/>
      <c r="AW121" s="1"/>
      <c r="AX121" s="1"/>
      <c r="AY121" s="1"/>
      <c r="AZ121" s="1"/>
    </row>
    <row r="122" spans="1:52" x14ac:dyDescent="0.25">
      <c r="A122" s="1"/>
      <c r="B122" s="1"/>
      <c r="C122" s="1"/>
      <c r="D122" s="27"/>
      <c r="E122" s="38"/>
      <c r="F122" s="38"/>
      <c r="G122" s="38"/>
      <c r="H122" s="38"/>
      <c r="I122" s="38"/>
      <c r="J122" s="38"/>
      <c r="K122" s="1"/>
      <c r="L122" s="1"/>
      <c r="M122" s="1"/>
      <c r="N122" s="1"/>
      <c r="O122" s="1"/>
      <c r="P122" s="1"/>
      <c r="Q122" s="1"/>
      <c r="R122" s="1"/>
      <c r="S122" s="1"/>
      <c r="T122" s="1"/>
      <c r="U122" s="1"/>
      <c r="V122" s="1"/>
      <c r="W122" s="46"/>
      <c r="X122" s="8"/>
      <c r="Y122" s="8"/>
      <c r="Z122" s="8"/>
      <c r="AA122" s="8"/>
      <c r="AB122" s="8"/>
      <c r="AC122" s="8"/>
      <c r="AD122" s="8"/>
      <c r="AE122" s="8"/>
      <c r="AF122" s="8"/>
      <c r="AG122" s="8"/>
      <c r="AH122" s="45"/>
      <c r="AI122" s="8"/>
      <c r="AJ122" s="8"/>
      <c r="AK122" s="8"/>
      <c r="AL122" s="8"/>
      <c r="AM122" s="8"/>
      <c r="AN122" s="8"/>
      <c r="AO122" s="8"/>
      <c r="AP122" s="8"/>
      <c r="AQ122" s="8"/>
      <c r="AR122" s="8"/>
      <c r="AS122" s="1"/>
      <c r="AT122" s="1"/>
      <c r="AU122" s="1"/>
      <c r="AV122" s="1"/>
      <c r="AW122" s="1"/>
      <c r="AX122" s="1"/>
      <c r="AY122" s="1"/>
      <c r="AZ122" s="1"/>
    </row>
    <row r="123" spans="1:52" x14ac:dyDescent="0.25">
      <c r="A123" s="1"/>
      <c r="B123" s="1"/>
      <c r="C123" s="1"/>
      <c r="D123" s="27"/>
      <c r="E123" s="38"/>
      <c r="F123" s="38"/>
      <c r="G123" s="38"/>
      <c r="H123" s="38"/>
      <c r="I123" s="38"/>
      <c r="J123" s="38"/>
      <c r="K123" s="1"/>
      <c r="L123" s="1"/>
      <c r="M123" s="1"/>
      <c r="N123" s="1"/>
      <c r="O123" s="1"/>
      <c r="P123" s="1"/>
      <c r="Q123" s="1"/>
      <c r="R123" s="1"/>
      <c r="S123" s="1"/>
      <c r="T123" s="1"/>
      <c r="U123" s="1"/>
      <c r="V123" s="1"/>
      <c r="W123" s="46"/>
      <c r="X123" s="8"/>
      <c r="Y123" s="8"/>
      <c r="Z123" s="8"/>
      <c r="AA123" s="8"/>
      <c r="AB123" s="8"/>
      <c r="AC123" s="8"/>
      <c r="AD123" s="8"/>
      <c r="AE123" s="8"/>
      <c r="AF123" s="8"/>
      <c r="AG123" s="8"/>
      <c r="AH123" s="45"/>
      <c r="AI123" s="8"/>
      <c r="AJ123" s="8"/>
      <c r="AK123" s="8"/>
      <c r="AL123" s="8"/>
      <c r="AM123" s="8"/>
      <c r="AN123" s="8"/>
      <c r="AO123" s="8"/>
      <c r="AP123" s="8"/>
      <c r="AQ123" s="8"/>
      <c r="AR123" s="8"/>
      <c r="AS123" s="1"/>
      <c r="AT123" s="1"/>
      <c r="AU123" s="1"/>
      <c r="AV123" s="1"/>
      <c r="AW123" s="1"/>
      <c r="AX123" s="1"/>
      <c r="AY123" s="1"/>
      <c r="AZ123" s="1"/>
    </row>
    <row r="124" spans="1:52" x14ac:dyDescent="0.25">
      <c r="A124" s="1"/>
      <c r="B124" s="1"/>
      <c r="C124" s="1"/>
      <c r="D124" s="27"/>
      <c r="E124" s="38"/>
      <c r="F124" s="38"/>
      <c r="G124" s="38"/>
      <c r="H124" s="38"/>
      <c r="I124" s="38"/>
      <c r="J124" s="38"/>
      <c r="K124" s="1"/>
      <c r="L124" s="1"/>
      <c r="M124" s="1"/>
      <c r="N124" s="1"/>
      <c r="O124" s="1"/>
      <c r="P124" s="1"/>
      <c r="Q124" s="1"/>
      <c r="R124" s="1"/>
      <c r="S124" s="1"/>
      <c r="T124" s="1"/>
      <c r="U124" s="1"/>
      <c r="V124" s="1"/>
      <c r="W124" s="46"/>
      <c r="X124" s="8"/>
      <c r="Y124" s="8"/>
      <c r="Z124" s="8"/>
      <c r="AA124" s="8"/>
      <c r="AB124" s="8"/>
      <c r="AC124" s="8"/>
      <c r="AD124" s="8"/>
      <c r="AE124" s="8"/>
      <c r="AF124" s="8"/>
      <c r="AG124" s="8"/>
      <c r="AH124" s="45"/>
      <c r="AI124" s="8"/>
      <c r="AJ124" s="8"/>
      <c r="AK124" s="8"/>
      <c r="AL124" s="8"/>
      <c r="AM124" s="8"/>
      <c r="AN124" s="8"/>
      <c r="AO124" s="8"/>
      <c r="AP124" s="8"/>
      <c r="AQ124" s="8"/>
      <c r="AR124" s="8"/>
      <c r="AS124" s="1"/>
      <c r="AT124" s="1"/>
      <c r="AU124" s="1"/>
      <c r="AV124" s="1"/>
      <c r="AW124" s="1"/>
      <c r="AX124" s="1"/>
      <c r="AY124" s="1"/>
      <c r="AZ124" s="1"/>
    </row>
    <row r="125" spans="1:52" x14ac:dyDescent="0.25">
      <c r="A125" s="1"/>
      <c r="B125" s="1"/>
      <c r="C125" s="1"/>
      <c r="D125" s="27"/>
      <c r="E125" s="38"/>
      <c r="F125" s="38"/>
      <c r="G125" s="38"/>
      <c r="H125" s="38"/>
      <c r="I125" s="38"/>
      <c r="J125" s="38"/>
      <c r="K125" s="1"/>
      <c r="L125" s="1"/>
      <c r="M125" s="1"/>
      <c r="N125" s="1"/>
      <c r="O125" s="1"/>
      <c r="P125" s="1"/>
      <c r="Q125" s="1"/>
      <c r="R125" s="1"/>
      <c r="S125" s="1"/>
      <c r="T125" s="1"/>
      <c r="U125" s="1"/>
      <c r="V125" s="1"/>
      <c r="W125" s="46"/>
      <c r="X125" s="8"/>
      <c r="Y125" s="8"/>
      <c r="Z125" s="8"/>
      <c r="AA125" s="8"/>
      <c r="AB125" s="8"/>
      <c r="AC125" s="8"/>
      <c r="AD125" s="8"/>
      <c r="AE125" s="8"/>
      <c r="AF125" s="8"/>
      <c r="AG125" s="8"/>
      <c r="AH125" s="45"/>
      <c r="AI125" s="8"/>
      <c r="AJ125" s="8"/>
      <c r="AK125" s="8"/>
      <c r="AL125" s="8"/>
      <c r="AM125" s="8"/>
      <c r="AN125" s="8"/>
      <c r="AO125" s="8"/>
      <c r="AP125" s="8"/>
      <c r="AQ125" s="8"/>
      <c r="AR125" s="8"/>
      <c r="AS125" s="1"/>
      <c r="AT125" s="1"/>
      <c r="AU125" s="1"/>
      <c r="AV125" s="1"/>
      <c r="AW125" s="1"/>
      <c r="AX125" s="1"/>
      <c r="AY125" s="1"/>
      <c r="AZ125" s="1"/>
    </row>
    <row r="126" spans="1:52" x14ac:dyDescent="0.25">
      <c r="A126" s="1"/>
      <c r="B126" s="1"/>
      <c r="C126" s="1"/>
      <c r="D126" s="27"/>
      <c r="E126" s="38"/>
      <c r="F126" s="38"/>
      <c r="G126" s="38"/>
      <c r="H126" s="38"/>
      <c r="I126" s="38"/>
      <c r="J126" s="38"/>
      <c r="K126" s="1"/>
      <c r="L126" s="1"/>
      <c r="M126" s="1"/>
      <c r="N126" s="1"/>
      <c r="O126" s="1"/>
      <c r="P126" s="1"/>
      <c r="Q126" s="1"/>
      <c r="R126" s="1"/>
      <c r="S126" s="1"/>
      <c r="T126" s="1"/>
      <c r="U126" s="1"/>
      <c r="V126" s="1"/>
      <c r="W126" s="46"/>
      <c r="X126" s="8"/>
      <c r="Y126" s="8"/>
      <c r="Z126" s="8"/>
      <c r="AA126" s="8"/>
      <c r="AB126" s="8"/>
      <c r="AC126" s="8"/>
      <c r="AD126" s="8"/>
      <c r="AE126" s="8"/>
      <c r="AF126" s="8"/>
      <c r="AG126" s="8"/>
      <c r="AH126" s="45"/>
      <c r="AI126" s="8"/>
      <c r="AJ126" s="8"/>
      <c r="AK126" s="8"/>
      <c r="AL126" s="8"/>
      <c r="AM126" s="8"/>
      <c r="AN126" s="8"/>
      <c r="AO126" s="8"/>
      <c r="AP126" s="8"/>
      <c r="AQ126" s="8"/>
      <c r="AR126" s="8"/>
      <c r="AS126" s="1"/>
      <c r="AT126" s="1"/>
      <c r="AU126" s="1"/>
      <c r="AV126" s="1"/>
      <c r="AW126" s="1"/>
      <c r="AX126" s="1"/>
      <c r="AY126" s="1"/>
      <c r="AZ126" s="1"/>
    </row>
    <row r="127" spans="1:52" x14ac:dyDescent="0.25">
      <c r="A127" s="1"/>
      <c r="B127" s="1"/>
      <c r="C127" s="1"/>
      <c r="D127" s="27"/>
      <c r="E127" s="38"/>
      <c r="F127" s="38"/>
      <c r="G127" s="38"/>
      <c r="H127" s="38"/>
      <c r="I127" s="38"/>
      <c r="J127" s="38"/>
      <c r="K127" s="1"/>
      <c r="L127" s="1"/>
      <c r="M127" s="1"/>
      <c r="N127" s="1"/>
      <c r="O127" s="1"/>
      <c r="P127" s="1"/>
      <c r="Q127" s="1"/>
      <c r="R127" s="1"/>
      <c r="S127" s="1"/>
      <c r="T127" s="1"/>
      <c r="U127" s="1"/>
      <c r="V127" s="1"/>
      <c r="W127" s="46"/>
      <c r="X127" s="8"/>
      <c r="Y127" s="8"/>
      <c r="Z127" s="8"/>
      <c r="AA127" s="8"/>
      <c r="AB127" s="8"/>
      <c r="AC127" s="8"/>
      <c r="AD127" s="8"/>
      <c r="AE127" s="8"/>
      <c r="AF127" s="8"/>
      <c r="AG127" s="8"/>
      <c r="AH127" s="45"/>
      <c r="AI127" s="8"/>
      <c r="AJ127" s="8"/>
      <c r="AK127" s="8"/>
      <c r="AL127" s="8"/>
      <c r="AM127" s="8"/>
      <c r="AN127" s="8"/>
      <c r="AO127" s="8"/>
      <c r="AP127" s="8"/>
      <c r="AQ127" s="8"/>
      <c r="AR127" s="8"/>
      <c r="AS127" s="1"/>
      <c r="AT127" s="1"/>
      <c r="AU127" s="1"/>
      <c r="AV127" s="1"/>
      <c r="AW127" s="1"/>
      <c r="AX127" s="1"/>
      <c r="AY127" s="1"/>
      <c r="AZ127" s="1"/>
    </row>
    <row r="128" spans="1:52" x14ac:dyDescent="0.25">
      <c r="A128" s="1"/>
      <c r="B128" s="1"/>
      <c r="C128" s="1"/>
      <c r="D128" s="27"/>
      <c r="E128" s="38"/>
      <c r="F128" s="38"/>
      <c r="G128" s="38"/>
      <c r="H128" s="38"/>
      <c r="I128" s="38"/>
      <c r="J128" s="38"/>
      <c r="K128" s="1"/>
      <c r="L128" s="1"/>
      <c r="M128" s="1"/>
      <c r="N128" s="1"/>
      <c r="O128" s="1"/>
      <c r="P128" s="1"/>
      <c r="Q128" s="1"/>
      <c r="R128" s="1"/>
      <c r="S128" s="1"/>
      <c r="T128" s="1"/>
      <c r="U128" s="1"/>
      <c r="V128" s="1"/>
      <c r="W128" s="46"/>
      <c r="X128" s="8"/>
      <c r="Y128" s="8"/>
      <c r="Z128" s="8"/>
      <c r="AA128" s="8"/>
      <c r="AB128" s="8"/>
      <c r="AC128" s="8"/>
      <c r="AD128" s="8"/>
      <c r="AE128" s="8"/>
      <c r="AF128" s="8"/>
      <c r="AG128" s="8"/>
      <c r="AH128" s="45"/>
      <c r="AI128" s="8"/>
      <c r="AJ128" s="8"/>
      <c r="AK128" s="8"/>
      <c r="AL128" s="8"/>
      <c r="AM128" s="8"/>
      <c r="AN128" s="8"/>
      <c r="AO128" s="8"/>
      <c r="AP128" s="8"/>
      <c r="AQ128" s="8"/>
      <c r="AR128" s="8"/>
      <c r="AS128" s="1"/>
      <c r="AT128" s="1"/>
      <c r="AU128" s="1"/>
      <c r="AV128" s="1"/>
      <c r="AW128" s="1"/>
      <c r="AX128" s="1"/>
      <c r="AY128" s="1"/>
      <c r="AZ128" s="1"/>
    </row>
    <row r="129" spans="1:52" x14ac:dyDescent="0.25">
      <c r="A129" s="1"/>
      <c r="B129" s="1"/>
      <c r="C129" s="1"/>
      <c r="D129" s="27"/>
      <c r="E129" s="38"/>
      <c r="F129" s="38"/>
      <c r="G129" s="38"/>
      <c r="H129" s="38"/>
      <c r="I129" s="38"/>
      <c r="J129" s="38"/>
      <c r="K129" s="1"/>
      <c r="L129" s="1"/>
      <c r="M129" s="1"/>
      <c r="N129" s="1"/>
      <c r="O129" s="1"/>
      <c r="P129" s="1"/>
      <c r="Q129" s="1"/>
      <c r="R129" s="1"/>
      <c r="S129" s="1"/>
      <c r="T129" s="1"/>
      <c r="U129" s="1"/>
      <c r="V129" s="1"/>
      <c r="W129" s="46"/>
      <c r="X129" s="8"/>
      <c r="Y129" s="8"/>
      <c r="Z129" s="8"/>
      <c r="AA129" s="8"/>
      <c r="AB129" s="8"/>
      <c r="AC129" s="8"/>
      <c r="AD129" s="8"/>
      <c r="AE129" s="8"/>
      <c r="AF129" s="8"/>
      <c r="AG129" s="8"/>
      <c r="AH129" s="45"/>
      <c r="AI129" s="8"/>
      <c r="AJ129" s="8"/>
      <c r="AK129" s="8"/>
      <c r="AL129" s="8"/>
      <c r="AM129" s="8"/>
      <c r="AN129" s="8"/>
      <c r="AO129" s="8"/>
      <c r="AP129" s="8"/>
      <c r="AQ129" s="8"/>
      <c r="AR129" s="8"/>
      <c r="AS129" s="1"/>
      <c r="AT129" s="1"/>
      <c r="AU129" s="1"/>
      <c r="AV129" s="1"/>
      <c r="AW129" s="1"/>
      <c r="AX129" s="1"/>
      <c r="AY129" s="1"/>
      <c r="AZ129" s="1"/>
    </row>
    <row r="130" spans="1:52" x14ac:dyDescent="0.25">
      <c r="A130" s="1"/>
      <c r="B130" s="1"/>
      <c r="C130" s="1"/>
      <c r="D130" s="27"/>
      <c r="E130" s="38"/>
      <c r="F130" s="38"/>
      <c r="G130" s="38"/>
      <c r="H130" s="38"/>
      <c r="I130" s="38"/>
      <c r="J130" s="38"/>
      <c r="K130" s="1"/>
      <c r="L130" s="1"/>
      <c r="M130" s="1"/>
      <c r="N130" s="1"/>
      <c r="O130" s="1"/>
      <c r="P130" s="1"/>
      <c r="Q130" s="1"/>
      <c r="R130" s="1"/>
      <c r="S130" s="1"/>
      <c r="T130" s="1"/>
      <c r="U130" s="1"/>
      <c r="V130" s="1"/>
      <c r="W130" s="46"/>
      <c r="X130" s="8"/>
      <c r="Y130" s="8"/>
      <c r="Z130" s="8"/>
      <c r="AA130" s="8"/>
      <c r="AB130" s="8"/>
      <c r="AC130" s="8"/>
      <c r="AD130" s="8"/>
      <c r="AE130" s="8"/>
      <c r="AF130" s="8"/>
      <c r="AG130" s="8"/>
      <c r="AH130" s="45"/>
      <c r="AI130" s="8"/>
      <c r="AJ130" s="8"/>
      <c r="AK130" s="8"/>
      <c r="AL130" s="8"/>
      <c r="AM130" s="8"/>
      <c r="AN130" s="8"/>
      <c r="AO130" s="8"/>
      <c r="AP130" s="8"/>
      <c r="AQ130" s="8"/>
      <c r="AR130" s="8"/>
      <c r="AS130" s="1"/>
      <c r="AT130" s="1"/>
      <c r="AU130" s="1"/>
      <c r="AV130" s="1"/>
      <c r="AW130" s="1"/>
      <c r="AX130" s="1"/>
      <c r="AY130" s="1"/>
      <c r="AZ130" s="1"/>
    </row>
    <row r="131" spans="1:52" x14ac:dyDescent="0.25">
      <c r="A131" s="1"/>
      <c r="B131" s="1"/>
      <c r="C131" s="1"/>
      <c r="D131" s="27"/>
      <c r="E131" s="38"/>
      <c r="F131" s="38"/>
      <c r="G131" s="38"/>
      <c r="H131" s="38"/>
      <c r="I131" s="38"/>
      <c r="J131" s="38"/>
      <c r="K131" s="1"/>
      <c r="L131" s="1"/>
      <c r="M131" s="1"/>
      <c r="N131" s="1"/>
      <c r="O131" s="1"/>
      <c r="P131" s="1"/>
      <c r="Q131" s="1"/>
      <c r="R131" s="1"/>
      <c r="S131" s="1"/>
      <c r="T131" s="1"/>
      <c r="U131" s="1"/>
      <c r="V131" s="1"/>
      <c r="W131" s="46"/>
      <c r="X131" s="8"/>
      <c r="Y131" s="8"/>
      <c r="Z131" s="8"/>
      <c r="AA131" s="8"/>
      <c r="AB131" s="8"/>
      <c r="AC131" s="8"/>
      <c r="AD131" s="8"/>
      <c r="AE131" s="8"/>
      <c r="AF131" s="8"/>
      <c r="AG131" s="8"/>
      <c r="AH131" s="45"/>
      <c r="AI131" s="8"/>
      <c r="AJ131" s="8"/>
      <c r="AK131" s="8"/>
      <c r="AL131" s="8"/>
      <c r="AM131" s="8"/>
      <c r="AN131" s="8"/>
      <c r="AO131" s="8"/>
      <c r="AP131" s="8"/>
      <c r="AQ131" s="8"/>
      <c r="AR131" s="8"/>
      <c r="AS131" s="1"/>
      <c r="AT131" s="1"/>
      <c r="AU131" s="1"/>
      <c r="AV131" s="1"/>
      <c r="AW131" s="1"/>
      <c r="AX131" s="1"/>
      <c r="AY131" s="1"/>
      <c r="AZ131" s="1"/>
    </row>
    <row r="132" spans="1:52" x14ac:dyDescent="0.25">
      <c r="A132" s="1"/>
      <c r="B132" s="1"/>
      <c r="C132" s="1"/>
      <c r="D132" s="27"/>
      <c r="E132" s="38"/>
      <c r="F132" s="38"/>
      <c r="G132" s="38"/>
      <c r="H132" s="38"/>
      <c r="I132" s="38"/>
      <c r="J132" s="38"/>
      <c r="K132" s="1"/>
      <c r="L132" s="1"/>
      <c r="M132" s="1"/>
      <c r="N132" s="1"/>
      <c r="O132" s="1"/>
      <c r="P132" s="1"/>
      <c r="Q132" s="1"/>
      <c r="R132" s="1"/>
      <c r="S132" s="1"/>
      <c r="T132" s="1"/>
      <c r="U132" s="1"/>
      <c r="V132" s="1"/>
      <c r="W132" s="46"/>
      <c r="X132" s="8"/>
      <c r="Y132" s="8"/>
      <c r="Z132" s="8"/>
      <c r="AA132" s="8"/>
      <c r="AB132" s="8"/>
      <c r="AC132" s="8"/>
      <c r="AD132" s="8"/>
      <c r="AE132" s="8"/>
      <c r="AF132" s="8"/>
      <c r="AG132" s="8"/>
      <c r="AH132" s="45"/>
      <c r="AI132" s="8"/>
      <c r="AJ132" s="8"/>
      <c r="AK132" s="8"/>
      <c r="AL132" s="8"/>
      <c r="AM132" s="8"/>
      <c r="AN132" s="8"/>
      <c r="AO132" s="8"/>
      <c r="AP132" s="8"/>
      <c r="AQ132" s="8"/>
      <c r="AR132" s="8"/>
      <c r="AS132" s="1"/>
      <c r="AT132" s="1"/>
      <c r="AU132" s="1"/>
      <c r="AV132" s="1"/>
      <c r="AW132" s="1"/>
      <c r="AX132" s="1"/>
      <c r="AY132" s="1"/>
      <c r="AZ132" s="1"/>
    </row>
    <row r="133" spans="1:52" x14ac:dyDescent="0.25">
      <c r="A133" s="1"/>
      <c r="B133" s="1"/>
      <c r="C133" s="1"/>
      <c r="D133" s="27"/>
      <c r="E133" s="38"/>
      <c r="F133" s="38"/>
      <c r="G133" s="38"/>
      <c r="H133" s="38"/>
      <c r="I133" s="38"/>
      <c r="J133" s="38"/>
      <c r="K133" s="1"/>
      <c r="L133" s="1"/>
      <c r="M133" s="1"/>
      <c r="N133" s="1"/>
      <c r="O133" s="1"/>
      <c r="P133" s="1"/>
      <c r="Q133" s="1"/>
      <c r="R133" s="1"/>
      <c r="S133" s="1"/>
      <c r="T133" s="1"/>
      <c r="U133" s="1"/>
      <c r="V133" s="1"/>
      <c r="W133" s="46"/>
      <c r="X133" s="8"/>
      <c r="Y133" s="8"/>
      <c r="Z133" s="8"/>
      <c r="AA133" s="8"/>
      <c r="AB133" s="8"/>
      <c r="AC133" s="8"/>
      <c r="AD133" s="8"/>
      <c r="AE133" s="8"/>
      <c r="AF133" s="8"/>
      <c r="AG133" s="8"/>
      <c r="AH133" s="45"/>
      <c r="AI133" s="8"/>
      <c r="AJ133" s="8"/>
      <c r="AK133" s="8"/>
      <c r="AL133" s="8"/>
      <c r="AM133" s="8"/>
      <c r="AN133" s="8"/>
      <c r="AO133" s="8"/>
      <c r="AP133" s="8"/>
      <c r="AQ133" s="8"/>
      <c r="AR133" s="8"/>
      <c r="AS133" s="1"/>
      <c r="AT133" s="1"/>
      <c r="AU133" s="1"/>
      <c r="AV133" s="1"/>
      <c r="AW133" s="1"/>
      <c r="AX133" s="1"/>
      <c r="AY133" s="1"/>
      <c r="AZ133" s="1"/>
    </row>
    <row r="134" spans="1:52" x14ac:dyDescent="0.25">
      <c r="A134" s="1"/>
      <c r="B134" s="1"/>
      <c r="C134" s="1"/>
      <c r="D134" s="27"/>
      <c r="E134" s="38"/>
      <c r="F134" s="38"/>
      <c r="G134" s="38"/>
      <c r="H134" s="38"/>
      <c r="I134" s="38"/>
      <c r="J134" s="38"/>
      <c r="K134" s="1"/>
      <c r="L134" s="1"/>
      <c r="M134" s="1"/>
      <c r="N134" s="1"/>
      <c r="O134" s="1"/>
      <c r="P134" s="1"/>
      <c r="Q134" s="1"/>
      <c r="R134" s="1"/>
      <c r="S134" s="1"/>
      <c r="T134" s="1"/>
      <c r="U134" s="1"/>
      <c r="V134" s="1"/>
      <c r="W134" s="46"/>
      <c r="X134" s="8"/>
      <c r="Y134" s="8"/>
      <c r="Z134" s="8"/>
      <c r="AA134" s="8"/>
      <c r="AB134" s="8"/>
      <c r="AC134" s="8"/>
      <c r="AD134" s="8"/>
      <c r="AE134" s="8"/>
      <c r="AF134" s="8"/>
      <c r="AG134" s="8"/>
      <c r="AH134" s="45"/>
      <c r="AI134" s="8"/>
      <c r="AJ134" s="8"/>
      <c r="AK134" s="8"/>
      <c r="AL134" s="8"/>
      <c r="AM134" s="8"/>
      <c r="AN134" s="8"/>
      <c r="AO134" s="8"/>
      <c r="AP134" s="8"/>
      <c r="AQ134" s="8"/>
      <c r="AR134" s="8"/>
      <c r="AS134" s="1"/>
      <c r="AT134" s="1"/>
      <c r="AU134" s="1"/>
      <c r="AV134" s="1"/>
      <c r="AW134" s="1"/>
      <c r="AX134" s="1"/>
      <c r="AY134" s="1"/>
      <c r="AZ134" s="1"/>
    </row>
    <row r="135" spans="1:52" x14ac:dyDescent="0.25">
      <c r="A135" s="1"/>
      <c r="B135" s="1"/>
      <c r="C135" s="1"/>
      <c r="D135" s="27"/>
      <c r="E135" s="38"/>
      <c r="F135" s="38"/>
      <c r="G135" s="38"/>
      <c r="H135" s="38"/>
      <c r="I135" s="38"/>
      <c r="J135" s="38"/>
      <c r="K135" s="1"/>
      <c r="L135" s="1"/>
      <c r="M135" s="1"/>
      <c r="N135" s="1"/>
      <c r="O135" s="1"/>
      <c r="P135" s="1"/>
      <c r="Q135" s="1"/>
      <c r="R135" s="1"/>
      <c r="S135" s="1"/>
      <c r="T135" s="1"/>
      <c r="U135" s="1"/>
      <c r="V135" s="1"/>
      <c r="W135" s="46"/>
      <c r="X135" s="8"/>
      <c r="Y135" s="8"/>
      <c r="Z135" s="8"/>
      <c r="AA135" s="8"/>
      <c r="AB135" s="8"/>
      <c r="AC135" s="8"/>
      <c r="AD135" s="8"/>
      <c r="AE135" s="8"/>
      <c r="AF135" s="8"/>
      <c r="AG135" s="8"/>
      <c r="AH135" s="45"/>
      <c r="AI135" s="8"/>
      <c r="AJ135" s="8"/>
      <c r="AK135" s="8"/>
      <c r="AL135" s="8"/>
      <c r="AM135" s="8"/>
      <c r="AN135" s="8"/>
      <c r="AO135" s="8"/>
      <c r="AP135" s="8"/>
      <c r="AQ135" s="8"/>
      <c r="AR135" s="8"/>
      <c r="AS135" s="1"/>
      <c r="AT135" s="1"/>
      <c r="AU135" s="1"/>
      <c r="AV135" s="1"/>
      <c r="AW135" s="1"/>
      <c r="AX135" s="1"/>
      <c r="AY135" s="1"/>
      <c r="AZ135" s="1"/>
    </row>
    <row r="136" spans="1:52" x14ac:dyDescent="0.25">
      <c r="A136" s="1"/>
      <c r="B136" s="1"/>
      <c r="C136" s="1"/>
      <c r="D136" s="27"/>
      <c r="E136" s="38"/>
      <c r="F136" s="38"/>
      <c r="G136" s="38"/>
      <c r="H136" s="38"/>
      <c r="I136" s="38"/>
      <c r="J136" s="38"/>
      <c r="K136" s="1"/>
      <c r="L136" s="1"/>
      <c r="M136" s="1"/>
      <c r="N136" s="1"/>
      <c r="O136" s="1"/>
      <c r="P136" s="1"/>
      <c r="Q136" s="1"/>
      <c r="R136" s="1"/>
      <c r="S136" s="1"/>
      <c r="T136" s="1"/>
      <c r="U136" s="1"/>
      <c r="V136" s="1"/>
      <c r="W136" s="46"/>
      <c r="X136" s="8"/>
      <c r="Y136" s="8"/>
      <c r="Z136" s="8"/>
      <c r="AA136" s="8"/>
      <c r="AB136" s="8"/>
      <c r="AC136" s="8"/>
      <c r="AD136" s="8"/>
      <c r="AE136" s="8"/>
      <c r="AF136" s="8"/>
      <c r="AG136" s="8"/>
      <c r="AH136" s="45"/>
      <c r="AI136" s="8"/>
      <c r="AJ136" s="8"/>
      <c r="AK136" s="8"/>
      <c r="AL136" s="8"/>
      <c r="AM136" s="8"/>
      <c r="AN136" s="8"/>
      <c r="AO136" s="8"/>
      <c r="AP136" s="8"/>
      <c r="AQ136" s="8"/>
      <c r="AR136" s="8"/>
      <c r="AS136" s="1"/>
      <c r="AT136" s="1"/>
      <c r="AU136" s="1"/>
      <c r="AV136" s="1"/>
      <c r="AW136" s="1"/>
      <c r="AX136" s="1"/>
      <c r="AY136" s="1"/>
      <c r="AZ136" s="1"/>
    </row>
    <row r="137" spans="1:52" x14ac:dyDescent="0.25">
      <c r="A137" s="1"/>
      <c r="B137" s="1"/>
      <c r="C137" s="1"/>
      <c r="D137" s="27"/>
      <c r="E137" s="38"/>
      <c r="F137" s="38"/>
      <c r="G137" s="38"/>
      <c r="H137" s="38"/>
      <c r="I137" s="38"/>
      <c r="J137" s="38"/>
      <c r="K137" s="1"/>
      <c r="L137" s="1"/>
      <c r="M137" s="1"/>
      <c r="N137" s="1"/>
      <c r="O137" s="1"/>
      <c r="P137" s="1"/>
      <c r="Q137" s="1"/>
      <c r="R137" s="1"/>
      <c r="S137" s="1"/>
      <c r="T137" s="1"/>
      <c r="U137" s="1"/>
      <c r="V137" s="1"/>
      <c r="W137" s="46"/>
      <c r="X137" s="8"/>
      <c r="Y137" s="8"/>
      <c r="Z137" s="8"/>
      <c r="AA137" s="8"/>
      <c r="AB137" s="8"/>
      <c r="AC137" s="8"/>
      <c r="AD137" s="8"/>
      <c r="AE137" s="8"/>
      <c r="AF137" s="8"/>
      <c r="AG137" s="8"/>
      <c r="AH137" s="45"/>
      <c r="AI137" s="8"/>
      <c r="AJ137" s="8"/>
      <c r="AK137" s="8"/>
      <c r="AL137" s="8"/>
      <c r="AM137" s="8"/>
      <c r="AN137" s="8"/>
      <c r="AO137" s="8"/>
      <c r="AP137" s="8"/>
      <c r="AQ137" s="8"/>
      <c r="AR137" s="8"/>
      <c r="AS137" s="1"/>
      <c r="AT137" s="1"/>
      <c r="AU137" s="1"/>
      <c r="AV137" s="1"/>
      <c r="AW137" s="1"/>
      <c r="AX137" s="1"/>
      <c r="AY137" s="1"/>
      <c r="AZ137" s="1"/>
    </row>
    <row r="138" spans="1:52" x14ac:dyDescent="0.25">
      <c r="A138" s="1"/>
      <c r="B138" s="1"/>
      <c r="C138" s="1"/>
      <c r="D138" s="27"/>
      <c r="E138" s="38"/>
      <c r="F138" s="38"/>
      <c r="G138" s="38"/>
      <c r="H138" s="38"/>
      <c r="I138" s="38"/>
      <c r="J138" s="38"/>
      <c r="K138" s="1"/>
      <c r="L138" s="1"/>
      <c r="M138" s="1"/>
      <c r="N138" s="1"/>
      <c r="O138" s="1"/>
      <c r="P138" s="1"/>
      <c r="Q138" s="1"/>
      <c r="R138" s="1"/>
      <c r="S138" s="1"/>
      <c r="T138" s="1"/>
      <c r="U138" s="1"/>
      <c r="V138" s="1"/>
      <c r="W138" s="46"/>
      <c r="X138" s="8"/>
      <c r="Y138" s="8"/>
      <c r="Z138" s="8"/>
      <c r="AA138" s="8"/>
      <c r="AB138" s="8"/>
      <c r="AC138" s="8"/>
      <c r="AD138" s="8"/>
      <c r="AE138" s="8"/>
      <c r="AF138" s="8"/>
      <c r="AG138" s="8"/>
      <c r="AH138" s="45"/>
      <c r="AI138" s="8"/>
      <c r="AJ138" s="8"/>
      <c r="AK138" s="8"/>
      <c r="AL138" s="8"/>
      <c r="AM138" s="8"/>
      <c r="AN138" s="8"/>
      <c r="AO138" s="8"/>
      <c r="AP138" s="8"/>
      <c r="AQ138" s="8"/>
      <c r="AR138" s="8"/>
      <c r="AS138" s="1"/>
      <c r="AT138" s="1"/>
      <c r="AU138" s="1"/>
      <c r="AV138" s="1"/>
      <c r="AW138" s="1"/>
      <c r="AX138" s="1"/>
      <c r="AY138" s="1"/>
      <c r="AZ138" s="1"/>
    </row>
    <row r="139" spans="1:52" x14ac:dyDescent="0.25">
      <c r="A139" s="1"/>
      <c r="B139" s="1"/>
      <c r="C139" s="1"/>
      <c r="D139" s="27"/>
      <c r="E139" s="38"/>
      <c r="F139" s="38"/>
      <c r="G139" s="38"/>
      <c r="H139" s="38"/>
      <c r="I139" s="38"/>
      <c r="J139" s="38"/>
      <c r="K139" s="1"/>
      <c r="L139" s="1"/>
      <c r="M139" s="1"/>
      <c r="N139" s="1"/>
      <c r="O139" s="1"/>
      <c r="P139" s="1"/>
      <c r="Q139" s="1"/>
      <c r="R139" s="1"/>
      <c r="S139" s="1"/>
      <c r="T139" s="1"/>
      <c r="U139" s="1"/>
      <c r="V139" s="1"/>
      <c r="W139" s="46"/>
      <c r="X139" s="8"/>
      <c r="Y139" s="8"/>
      <c r="Z139" s="8"/>
      <c r="AA139" s="8"/>
      <c r="AB139" s="8"/>
      <c r="AC139" s="8"/>
      <c r="AD139" s="8"/>
      <c r="AE139" s="8"/>
      <c r="AF139" s="8"/>
      <c r="AG139" s="8"/>
      <c r="AH139" s="45"/>
      <c r="AI139" s="8"/>
      <c r="AJ139" s="8"/>
      <c r="AK139" s="8"/>
      <c r="AL139" s="8"/>
      <c r="AM139" s="8"/>
      <c r="AN139" s="8"/>
      <c r="AO139" s="8"/>
      <c r="AP139" s="8"/>
      <c r="AQ139" s="8"/>
      <c r="AR139" s="8"/>
      <c r="AS139" s="1"/>
      <c r="AT139" s="1"/>
      <c r="AU139" s="1"/>
      <c r="AV139" s="1"/>
      <c r="AW139" s="1"/>
      <c r="AX139" s="1"/>
      <c r="AY139" s="1"/>
      <c r="AZ139" s="1"/>
    </row>
    <row r="140" spans="1:52" x14ac:dyDescent="0.25">
      <c r="A140" s="1"/>
      <c r="B140" s="1"/>
      <c r="C140" s="1"/>
      <c r="D140" s="27"/>
      <c r="E140" s="38"/>
      <c r="F140" s="38"/>
      <c r="G140" s="38"/>
      <c r="H140" s="38"/>
      <c r="I140" s="38"/>
      <c r="J140" s="38"/>
      <c r="K140" s="1"/>
      <c r="L140" s="1"/>
      <c r="M140" s="1"/>
      <c r="N140" s="1"/>
      <c r="O140" s="1"/>
      <c r="P140" s="1"/>
      <c r="Q140" s="1"/>
      <c r="R140" s="1"/>
      <c r="S140" s="1"/>
      <c r="T140" s="1"/>
      <c r="U140" s="1"/>
      <c r="V140" s="1"/>
      <c r="W140" s="46"/>
      <c r="X140" s="8"/>
      <c r="Y140" s="8"/>
      <c r="Z140" s="8"/>
      <c r="AA140" s="8"/>
      <c r="AB140" s="8"/>
      <c r="AC140" s="8"/>
      <c r="AD140" s="8"/>
      <c r="AE140" s="8"/>
      <c r="AF140" s="8"/>
      <c r="AG140" s="8"/>
      <c r="AH140" s="45"/>
      <c r="AI140" s="8"/>
      <c r="AJ140" s="8"/>
      <c r="AK140" s="8"/>
      <c r="AL140" s="8"/>
      <c r="AM140" s="8"/>
      <c r="AN140" s="8"/>
      <c r="AO140" s="8"/>
      <c r="AP140" s="8"/>
      <c r="AQ140" s="8"/>
      <c r="AR140" s="8"/>
      <c r="AS140" s="1"/>
      <c r="AT140" s="1"/>
      <c r="AU140" s="1"/>
      <c r="AV140" s="1"/>
      <c r="AW140" s="1"/>
      <c r="AX140" s="1"/>
      <c r="AY140" s="1"/>
      <c r="AZ140" s="1"/>
    </row>
    <row r="141" spans="1:52" x14ac:dyDescent="0.25">
      <c r="A141" s="1"/>
      <c r="B141" s="1"/>
      <c r="C141" s="1"/>
      <c r="D141" s="27"/>
      <c r="E141" s="38"/>
      <c r="F141" s="38"/>
      <c r="G141" s="38"/>
      <c r="H141" s="38"/>
      <c r="I141" s="38"/>
      <c r="J141" s="38"/>
      <c r="K141" s="1"/>
      <c r="L141" s="1"/>
      <c r="M141" s="1"/>
      <c r="N141" s="1"/>
      <c r="O141" s="1"/>
      <c r="P141" s="1"/>
      <c r="Q141" s="1"/>
      <c r="R141" s="1"/>
      <c r="S141" s="1"/>
      <c r="T141" s="1"/>
      <c r="U141" s="1"/>
      <c r="V141" s="1"/>
      <c r="W141" s="46"/>
      <c r="X141" s="8"/>
      <c r="Y141" s="8"/>
      <c r="Z141" s="8"/>
      <c r="AA141" s="8"/>
      <c r="AB141" s="8"/>
      <c r="AC141" s="8"/>
      <c r="AD141" s="8"/>
      <c r="AE141" s="8"/>
      <c r="AF141" s="8"/>
      <c r="AG141" s="8"/>
      <c r="AH141" s="45"/>
      <c r="AI141" s="8"/>
      <c r="AJ141" s="8"/>
      <c r="AK141" s="8"/>
      <c r="AL141" s="8"/>
      <c r="AM141" s="8"/>
      <c r="AN141" s="8"/>
      <c r="AO141" s="8"/>
      <c r="AP141" s="8"/>
      <c r="AQ141" s="8"/>
      <c r="AR141" s="8"/>
      <c r="AS141" s="1"/>
      <c r="AT141" s="1"/>
      <c r="AU141" s="1"/>
      <c r="AV141" s="1"/>
      <c r="AW141" s="1"/>
      <c r="AX141" s="1"/>
      <c r="AY141" s="1"/>
      <c r="AZ141" s="1"/>
    </row>
    <row r="142" spans="1:52" x14ac:dyDescent="0.25">
      <c r="A142" s="1"/>
      <c r="B142" s="1"/>
      <c r="C142" s="1"/>
      <c r="D142" s="27"/>
      <c r="E142" s="38"/>
      <c r="F142" s="38"/>
      <c r="G142" s="38"/>
      <c r="H142" s="38"/>
      <c r="I142" s="38"/>
      <c r="J142" s="38"/>
      <c r="K142" s="1"/>
      <c r="L142" s="1"/>
      <c r="M142" s="1"/>
      <c r="N142" s="1"/>
      <c r="O142" s="1"/>
      <c r="P142" s="1"/>
      <c r="Q142" s="1"/>
      <c r="R142" s="1"/>
      <c r="S142" s="1"/>
      <c r="T142" s="1"/>
      <c r="U142" s="1"/>
      <c r="V142" s="1"/>
      <c r="W142" s="46"/>
      <c r="X142" s="8"/>
      <c r="Y142" s="8"/>
      <c r="Z142" s="8"/>
      <c r="AA142" s="8"/>
      <c r="AB142" s="8"/>
      <c r="AC142" s="8"/>
      <c r="AD142" s="8"/>
      <c r="AE142" s="8"/>
      <c r="AF142" s="8"/>
      <c r="AG142" s="8"/>
      <c r="AH142" s="45"/>
      <c r="AI142" s="8"/>
      <c r="AJ142" s="8"/>
      <c r="AK142" s="8"/>
      <c r="AL142" s="8"/>
      <c r="AM142" s="8"/>
      <c r="AN142" s="8"/>
      <c r="AO142" s="8"/>
      <c r="AP142" s="8"/>
      <c r="AQ142" s="8"/>
      <c r="AR142" s="8"/>
      <c r="AS142" s="1"/>
      <c r="AT142" s="1"/>
      <c r="AU142" s="1"/>
      <c r="AV142" s="1"/>
      <c r="AW142" s="1"/>
      <c r="AX142" s="1"/>
      <c r="AY142" s="1"/>
      <c r="AZ142" s="1"/>
    </row>
    <row r="143" spans="1:52" x14ac:dyDescent="0.25">
      <c r="A143" s="1"/>
      <c r="B143" s="1"/>
      <c r="C143" s="1"/>
      <c r="D143" s="27"/>
      <c r="E143" s="38"/>
      <c r="F143" s="38"/>
      <c r="G143" s="38"/>
      <c r="H143" s="38"/>
      <c r="I143" s="38"/>
      <c r="J143" s="38"/>
      <c r="K143" s="1"/>
      <c r="L143" s="1"/>
      <c r="M143" s="1"/>
      <c r="N143" s="1"/>
      <c r="O143" s="1"/>
      <c r="P143" s="1"/>
      <c r="Q143" s="1"/>
      <c r="R143" s="1"/>
      <c r="S143" s="1"/>
      <c r="T143" s="1"/>
      <c r="U143" s="1"/>
      <c r="V143" s="1"/>
      <c r="W143" s="46"/>
      <c r="X143" s="8"/>
      <c r="Y143" s="8"/>
      <c r="Z143" s="8"/>
      <c r="AA143" s="8"/>
      <c r="AB143" s="8"/>
      <c r="AC143" s="8"/>
      <c r="AD143" s="8"/>
      <c r="AE143" s="8"/>
      <c r="AF143" s="8"/>
      <c r="AG143" s="8"/>
      <c r="AH143" s="45"/>
      <c r="AI143" s="8"/>
      <c r="AJ143" s="8"/>
      <c r="AK143" s="8"/>
      <c r="AL143" s="8"/>
      <c r="AM143" s="8"/>
      <c r="AN143" s="8"/>
      <c r="AO143" s="8"/>
      <c r="AP143" s="8"/>
      <c r="AQ143" s="8"/>
      <c r="AR143" s="8"/>
      <c r="AS143" s="1"/>
      <c r="AT143" s="1"/>
      <c r="AU143" s="1"/>
      <c r="AV143" s="1"/>
      <c r="AW143" s="1"/>
      <c r="AX143" s="1"/>
      <c r="AY143" s="1"/>
      <c r="AZ143" s="1"/>
    </row>
    <row r="144" spans="1:52" x14ac:dyDescent="0.25">
      <c r="A144" s="1"/>
      <c r="B144" s="1"/>
      <c r="C144" s="1"/>
      <c r="D144" s="27"/>
      <c r="E144" s="38"/>
      <c r="F144" s="38"/>
      <c r="G144" s="38"/>
      <c r="H144" s="38"/>
      <c r="I144" s="38"/>
      <c r="J144" s="38"/>
      <c r="K144" s="1"/>
      <c r="L144" s="1"/>
      <c r="M144" s="1"/>
      <c r="N144" s="1"/>
      <c r="O144" s="1"/>
      <c r="P144" s="1"/>
      <c r="Q144" s="1"/>
      <c r="R144" s="1"/>
      <c r="S144" s="1"/>
      <c r="T144" s="1"/>
      <c r="U144" s="1"/>
      <c r="V144" s="1"/>
      <c r="W144" s="46"/>
      <c r="X144" s="8"/>
      <c r="Y144" s="8"/>
      <c r="Z144" s="8"/>
      <c r="AA144" s="8"/>
      <c r="AB144" s="8"/>
      <c r="AC144" s="8"/>
      <c r="AD144" s="8"/>
      <c r="AE144" s="8"/>
      <c r="AF144" s="8"/>
      <c r="AG144" s="8"/>
      <c r="AH144" s="45"/>
      <c r="AI144" s="8"/>
      <c r="AJ144" s="8"/>
      <c r="AK144" s="8"/>
      <c r="AL144" s="8"/>
      <c r="AM144" s="8"/>
      <c r="AN144" s="8"/>
      <c r="AO144" s="8"/>
      <c r="AP144" s="8"/>
      <c r="AQ144" s="8"/>
      <c r="AR144" s="8"/>
      <c r="AS144" s="1"/>
      <c r="AT144" s="1"/>
      <c r="AU144" s="1"/>
      <c r="AV144" s="1"/>
      <c r="AW144" s="1"/>
      <c r="AX144" s="1"/>
      <c r="AY144" s="1"/>
      <c r="AZ144" s="1"/>
    </row>
    <row r="145" spans="1:52" x14ac:dyDescent="0.25">
      <c r="A145" s="1"/>
      <c r="B145" s="1"/>
      <c r="C145" s="1"/>
      <c r="D145" s="27"/>
      <c r="E145" s="38"/>
      <c r="F145" s="38"/>
      <c r="G145" s="38"/>
      <c r="H145" s="38"/>
      <c r="I145" s="38"/>
      <c r="J145" s="38"/>
      <c r="K145" s="1"/>
      <c r="L145" s="1"/>
      <c r="M145" s="1"/>
      <c r="N145" s="1"/>
      <c r="O145" s="1"/>
      <c r="P145" s="1"/>
      <c r="Q145" s="1"/>
      <c r="R145" s="1"/>
      <c r="S145" s="1"/>
      <c r="T145" s="1"/>
      <c r="U145" s="1"/>
      <c r="V145" s="1"/>
      <c r="W145" s="46"/>
      <c r="X145" s="8"/>
      <c r="Y145" s="8"/>
      <c r="Z145" s="8"/>
      <c r="AA145" s="8"/>
      <c r="AB145" s="8"/>
      <c r="AC145" s="8"/>
      <c r="AD145" s="8"/>
      <c r="AE145" s="8"/>
      <c r="AF145" s="8"/>
      <c r="AG145" s="8"/>
      <c r="AH145" s="45"/>
      <c r="AI145" s="8"/>
      <c r="AJ145" s="8"/>
      <c r="AK145" s="8"/>
      <c r="AL145" s="8"/>
      <c r="AM145" s="8"/>
      <c r="AN145" s="8"/>
      <c r="AO145" s="8"/>
      <c r="AP145" s="8"/>
      <c r="AQ145" s="8"/>
      <c r="AR145" s="8"/>
      <c r="AS145" s="1"/>
      <c r="AT145" s="1"/>
      <c r="AU145" s="1"/>
      <c r="AV145" s="1"/>
      <c r="AW145" s="1"/>
      <c r="AX145" s="1"/>
      <c r="AY145" s="1"/>
      <c r="AZ145" s="1"/>
    </row>
    <row r="146" spans="1:52" x14ac:dyDescent="0.25">
      <c r="A146" s="1"/>
      <c r="B146" s="1"/>
      <c r="C146" s="1"/>
      <c r="D146" s="27"/>
      <c r="E146" s="38"/>
      <c r="F146" s="38"/>
      <c r="G146" s="38"/>
      <c r="H146" s="38"/>
      <c r="I146" s="38"/>
      <c r="J146" s="38"/>
      <c r="K146" s="1"/>
      <c r="L146" s="1"/>
      <c r="M146" s="1"/>
      <c r="N146" s="1"/>
      <c r="O146" s="1"/>
      <c r="P146" s="1"/>
      <c r="Q146" s="1"/>
      <c r="R146" s="1"/>
      <c r="S146" s="1"/>
      <c r="T146" s="1"/>
      <c r="U146" s="1"/>
      <c r="V146" s="1"/>
      <c r="W146" s="46"/>
      <c r="X146" s="8"/>
      <c r="Y146" s="8"/>
      <c r="Z146" s="8"/>
      <c r="AA146" s="8"/>
      <c r="AB146" s="8"/>
      <c r="AC146" s="8"/>
      <c r="AD146" s="8"/>
      <c r="AE146" s="8"/>
      <c r="AF146" s="8"/>
      <c r="AG146" s="8"/>
      <c r="AH146" s="45"/>
      <c r="AI146" s="8"/>
      <c r="AJ146" s="8"/>
      <c r="AK146" s="8"/>
      <c r="AL146" s="8"/>
      <c r="AM146" s="8"/>
      <c r="AN146" s="8"/>
      <c r="AO146" s="8"/>
      <c r="AP146" s="8"/>
      <c r="AQ146" s="8"/>
      <c r="AR146" s="8"/>
      <c r="AS146" s="1"/>
      <c r="AT146" s="1"/>
      <c r="AU146" s="1"/>
      <c r="AV146" s="1"/>
      <c r="AW146" s="1"/>
      <c r="AX146" s="1"/>
      <c r="AY146" s="1"/>
      <c r="AZ146" s="1"/>
    </row>
    <row r="147" spans="1:52" x14ac:dyDescent="0.25">
      <c r="A147" s="1"/>
      <c r="B147" s="1"/>
      <c r="C147" s="1"/>
      <c r="D147" s="27"/>
      <c r="E147" s="38"/>
      <c r="F147" s="38"/>
      <c r="G147" s="38"/>
      <c r="H147" s="38"/>
      <c r="I147" s="38"/>
      <c r="J147" s="38"/>
      <c r="K147" s="1"/>
      <c r="L147" s="1"/>
      <c r="M147" s="1"/>
      <c r="N147" s="1"/>
      <c r="O147" s="1"/>
      <c r="P147" s="1"/>
      <c r="Q147" s="1"/>
      <c r="R147" s="1"/>
      <c r="S147" s="1"/>
      <c r="T147" s="1"/>
      <c r="U147" s="1"/>
      <c r="V147" s="1"/>
      <c r="W147" s="46"/>
      <c r="X147" s="8"/>
      <c r="Y147" s="8"/>
      <c r="Z147" s="8"/>
      <c r="AA147" s="8"/>
      <c r="AB147" s="8"/>
      <c r="AC147" s="8"/>
      <c r="AD147" s="8"/>
      <c r="AE147" s="8"/>
      <c r="AF147" s="8"/>
      <c r="AG147" s="8"/>
      <c r="AH147" s="45"/>
      <c r="AI147" s="8"/>
      <c r="AJ147" s="8"/>
      <c r="AK147" s="8"/>
      <c r="AL147" s="8"/>
      <c r="AM147" s="8"/>
      <c r="AN147" s="8"/>
      <c r="AO147" s="8"/>
      <c r="AP147" s="8"/>
      <c r="AQ147" s="8"/>
      <c r="AR147" s="8"/>
      <c r="AS147" s="1"/>
      <c r="AT147" s="1"/>
      <c r="AU147" s="1"/>
      <c r="AV147" s="1"/>
      <c r="AW147" s="1"/>
      <c r="AX147" s="1"/>
      <c r="AY147" s="1"/>
      <c r="AZ147" s="1"/>
    </row>
    <row r="148" spans="1:52" x14ac:dyDescent="0.25">
      <c r="A148" s="1"/>
      <c r="B148" s="1"/>
      <c r="C148" s="1"/>
      <c r="D148" s="27"/>
      <c r="E148" s="38"/>
      <c r="F148" s="38"/>
      <c r="G148" s="38"/>
      <c r="H148" s="38"/>
      <c r="I148" s="38"/>
      <c r="J148" s="38"/>
      <c r="K148" s="1"/>
      <c r="L148" s="1"/>
      <c r="M148" s="1"/>
      <c r="N148" s="1"/>
      <c r="O148" s="1"/>
      <c r="P148" s="1"/>
      <c r="Q148" s="1"/>
      <c r="R148" s="1"/>
      <c r="S148" s="1"/>
      <c r="T148" s="1"/>
      <c r="U148" s="1"/>
      <c r="V148" s="1"/>
      <c r="W148" s="46"/>
      <c r="X148" s="8"/>
      <c r="Y148" s="8"/>
      <c r="Z148" s="8"/>
      <c r="AA148" s="8"/>
      <c r="AB148" s="8"/>
      <c r="AC148" s="8"/>
      <c r="AD148" s="8"/>
      <c r="AE148" s="8"/>
      <c r="AF148" s="8"/>
      <c r="AG148" s="8"/>
      <c r="AH148" s="45"/>
      <c r="AI148" s="8"/>
      <c r="AJ148" s="8"/>
      <c r="AK148" s="8"/>
      <c r="AL148" s="8"/>
      <c r="AM148" s="8"/>
      <c r="AN148" s="8"/>
      <c r="AO148" s="8"/>
      <c r="AP148" s="8"/>
      <c r="AQ148" s="8"/>
      <c r="AR148" s="8"/>
      <c r="AS148" s="1"/>
      <c r="AT148" s="1"/>
      <c r="AU148" s="1"/>
      <c r="AV148" s="1"/>
      <c r="AW148" s="1"/>
      <c r="AX148" s="1"/>
      <c r="AY148" s="1"/>
      <c r="AZ148" s="1"/>
    </row>
    <row r="149" spans="1:52" x14ac:dyDescent="0.25">
      <c r="A149" s="1"/>
      <c r="B149" s="1"/>
      <c r="C149" s="1"/>
      <c r="D149" s="27"/>
      <c r="E149" s="38"/>
      <c r="F149" s="38"/>
      <c r="G149" s="38"/>
      <c r="H149" s="38"/>
      <c r="I149" s="38"/>
      <c r="J149" s="38"/>
      <c r="K149" s="1"/>
      <c r="L149" s="1"/>
      <c r="M149" s="1"/>
      <c r="N149" s="1"/>
      <c r="O149" s="1"/>
      <c r="P149" s="1"/>
      <c r="Q149" s="1"/>
      <c r="R149" s="1"/>
      <c r="S149" s="1"/>
      <c r="T149" s="1"/>
      <c r="U149" s="1"/>
      <c r="V149" s="1"/>
      <c r="W149" s="46"/>
      <c r="X149" s="8"/>
      <c r="Y149" s="8"/>
      <c r="Z149" s="8"/>
      <c r="AA149" s="8"/>
      <c r="AB149" s="8"/>
      <c r="AC149" s="8"/>
      <c r="AD149" s="8"/>
      <c r="AE149" s="8"/>
      <c r="AF149" s="8"/>
      <c r="AG149" s="8"/>
      <c r="AH149" s="45"/>
      <c r="AI149" s="8"/>
      <c r="AJ149" s="8"/>
      <c r="AK149" s="8"/>
      <c r="AL149" s="8"/>
      <c r="AM149" s="8"/>
      <c r="AN149" s="8"/>
      <c r="AO149" s="8"/>
      <c r="AP149" s="8"/>
      <c r="AQ149" s="8"/>
      <c r="AR149" s="8"/>
      <c r="AS149" s="1"/>
      <c r="AT149" s="1"/>
      <c r="AU149" s="1"/>
      <c r="AV149" s="1"/>
      <c r="AW149" s="1"/>
      <c r="AX149" s="1"/>
      <c r="AY149" s="1"/>
      <c r="AZ149" s="1"/>
    </row>
    <row r="150" spans="1:52" x14ac:dyDescent="0.25">
      <c r="A150" s="1"/>
      <c r="B150" s="1"/>
      <c r="C150" s="1"/>
      <c r="D150" s="27"/>
      <c r="E150" s="38"/>
      <c r="F150" s="38"/>
      <c r="G150" s="38"/>
      <c r="H150" s="38"/>
      <c r="I150" s="38"/>
      <c r="J150" s="38"/>
      <c r="K150" s="1"/>
      <c r="L150" s="1"/>
      <c r="M150" s="1"/>
      <c r="N150" s="1"/>
      <c r="O150" s="1"/>
      <c r="P150" s="1"/>
      <c r="Q150" s="1"/>
      <c r="R150" s="1"/>
      <c r="S150" s="1"/>
      <c r="T150" s="1"/>
      <c r="U150" s="1"/>
      <c r="V150" s="1"/>
      <c r="W150" s="46"/>
      <c r="X150" s="8"/>
      <c r="Y150" s="8"/>
      <c r="Z150" s="8"/>
      <c r="AA150" s="8"/>
      <c r="AB150" s="8"/>
      <c r="AC150" s="8"/>
      <c r="AD150" s="8"/>
      <c r="AE150" s="8"/>
      <c r="AF150" s="8"/>
      <c r="AG150" s="8"/>
      <c r="AH150" s="45"/>
      <c r="AI150" s="8"/>
      <c r="AJ150" s="8"/>
      <c r="AK150" s="8"/>
      <c r="AL150" s="8"/>
      <c r="AM150" s="8"/>
      <c r="AN150" s="8"/>
      <c r="AO150" s="8"/>
      <c r="AP150" s="8"/>
      <c r="AQ150" s="8"/>
      <c r="AR150" s="8"/>
      <c r="AS150" s="1"/>
      <c r="AT150" s="1"/>
      <c r="AU150" s="1"/>
      <c r="AV150" s="1"/>
      <c r="AW150" s="1"/>
      <c r="AX150" s="1"/>
      <c r="AY150" s="1"/>
      <c r="AZ150" s="1"/>
    </row>
    <row r="151" spans="1:52" x14ac:dyDescent="0.25">
      <c r="A151" s="1"/>
      <c r="B151" s="1"/>
      <c r="C151" s="1"/>
      <c r="D151" s="27"/>
      <c r="E151" s="38"/>
      <c r="F151" s="38"/>
      <c r="G151" s="38"/>
      <c r="H151" s="38"/>
      <c r="I151" s="38"/>
      <c r="J151" s="38"/>
      <c r="K151" s="1"/>
      <c r="L151" s="1"/>
      <c r="M151" s="1"/>
      <c r="N151" s="1"/>
      <c r="O151" s="1"/>
      <c r="P151" s="1"/>
      <c r="Q151" s="1"/>
      <c r="R151" s="1"/>
      <c r="S151" s="1"/>
      <c r="T151" s="1"/>
      <c r="U151" s="1"/>
      <c r="V151" s="1"/>
      <c r="W151" s="46"/>
      <c r="X151" s="8"/>
      <c r="Y151" s="8"/>
      <c r="Z151" s="8"/>
      <c r="AA151" s="8"/>
      <c r="AB151" s="8"/>
      <c r="AC151" s="8"/>
      <c r="AD151" s="8"/>
      <c r="AE151" s="8"/>
      <c r="AF151" s="8"/>
      <c r="AG151" s="8"/>
      <c r="AH151" s="45"/>
      <c r="AI151" s="8"/>
      <c r="AJ151" s="8"/>
      <c r="AK151" s="8"/>
      <c r="AL151" s="8"/>
      <c r="AM151" s="8"/>
      <c r="AN151" s="8"/>
      <c r="AO151" s="8"/>
      <c r="AP151" s="8"/>
      <c r="AQ151" s="8"/>
      <c r="AR151" s="8"/>
      <c r="AS151" s="1"/>
      <c r="AT151" s="1"/>
      <c r="AU151" s="1"/>
      <c r="AV151" s="1"/>
      <c r="AW151" s="1"/>
      <c r="AX151" s="1"/>
      <c r="AY151" s="1"/>
      <c r="AZ151" s="1"/>
    </row>
    <row r="152" spans="1:52" x14ac:dyDescent="0.25">
      <c r="A152" s="1"/>
      <c r="B152" s="1"/>
      <c r="C152" s="1"/>
      <c r="D152" s="27"/>
      <c r="E152" s="38"/>
      <c r="F152" s="38"/>
      <c r="G152" s="38"/>
      <c r="H152" s="38"/>
      <c r="I152" s="38"/>
      <c r="J152" s="38"/>
      <c r="K152" s="1"/>
      <c r="L152" s="1"/>
      <c r="M152" s="1"/>
      <c r="N152" s="1"/>
      <c r="O152" s="1"/>
      <c r="P152" s="1"/>
      <c r="Q152" s="1"/>
      <c r="R152" s="1"/>
      <c r="S152" s="1"/>
      <c r="T152" s="1"/>
      <c r="U152" s="1"/>
      <c r="V152" s="1"/>
      <c r="W152" s="46"/>
      <c r="X152" s="8"/>
      <c r="Y152" s="8"/>
      <c r="Z152" s="8"/>
      <c r="AA152" s="8"/>
      <c r="AB152" s="8"/>
      <c r="AC152" s="8"/>
      <c r="AD152" s="8"/>
      <c r="AE152" s="8"/>
      <c r="AF152" s="8"/>
      <c r="AG152" s="8"/>
      <c r="AH152" s="45"/>
      <c r="AI152" s="8"/>
      <c r="AJ152" s="8"/>
      <c r="AK152" s="8"/>
      <c r="AL152" s="8"/>
      <c r="AM152" s="8"/>
      <c r="AN152" s="8"/>
      <c r="AO152" s="8"/>
      <c r="AP152" s="8"/>
      <c r="AQ152" s="8"/>
      <c r="AR152" s="8"/>
      <c r="AS152" s="1"/>
      <c r="AT152" s="1"/>
      <c r="AU152" s="1"/>
      <c r="AV152" s="1"/>
      <c r="AW152" s="1"/>
      <c r="AX152" s="1"/>
      <c r="AY152" s="1"/>
      <c r="AZ152" s="1"/>
    </row>
    <row r="153" spans="1:52" x14ac:dyDescent="0.25">
      <c r="A153" s="1"/>
      <c r="B153" s="1"/>
      <c r="C153" s="1"/>
      <c r="D153" s="27"/>
      <c r="E153" s="38"/>
      <c r="F153" s="38"/>
      <c r="G153" s="38"/>
      <c r="H153" s="38"/>
      <c r="I153" s="38"/>
      <c r="J153" s="38"/>
      <c r="K153" s="1"/>
      <c r="L153" s="1"/>
      <c r="M153" s="1"/>
      <c r="N153" s="1"/>
      <c r="O153" s="1"/>
      <c r="P153" s="1"/>
      <c r="Q153" s="1"/>
      <c r="R153" s="1"/>
      <c r="S153" s="1"/>
      <c r="T153" s="1"/>
      <c r="U153" s="1"/>
      <c r="V153" s="1"/>
      <c r="W153" s="46"/>
      <c r="X153" s="8"/>
      <c r="Y153" s="8"/>
      <c r="Z153" s="8"/>
      <c r="AA153" s="8"/>
      <c r="AB153" s="8"/>
      <c r="AC153" s="8"/>
      <c r="AD153" s="8"/>
      <c r="AE153" s="8"/>
      <c r="AF153" s="8"/>
      <c r="AG153" s="8"/>
      <c r="AH153" s="45"/>
      <c r="AI153" s="8"/>
      <c r="AJ153" s="8"/>
      <c r="AK153" s="8"/>
      <c r="AL153" s="8"/>
      <c r="AM153" s="8"/>
      <c r="AN153" s="8"/>
      <c r="AO153" s="8"/>
      <c r="AP153" s="8"/>
      <c r="AQ153" s="8"/>
      <c r="AR153" s="8"/>
      <c r="AS153" s="1"/>
      <c r="AT153" s="1"/>
      <c r="AU153" s="1"/>
      <c r="AV153" s="1"/>
      <c r="AW153" s="1"/>
      <c r="AX153" s="1"/>
      <c r="AY153" s="1"/>
      <c r="AZ153" s="1"/>
    </row>
    <row r="154" spans="1:52" x14ac:dyDescent="0.25">
      <c r="A154" s="1"/>
      <c r="B154" s="1"/>
      <c r="C154" s="1"/>
      <c r="D154" s="27"/>
      <c r="E154" s="38"/>
      <c r="F154" s="38"/>
      <c r="G154" s="38"/>
      <c r="H154" s="38"/>
      <c r="I154" s="38"/>
      <c r="J154" s="38"/>
      <c r="K154" s="1"/>
      <c r="L154" s="1"/>
      <c r="M154" s="1"/>
      <c r="N154" s="1"/>
      <c r="O154" s="1"/>
      <c r="P154" s="1"/>
      <c r="Q154" s="1"/>
      <c r="R154" s="1"/>
      <c r="S154" s="1"/>
      <c r="T154" s="1"/>
      <c r="U154" s="1"/>
      <c r="V154" s="1"/>
      <c r="W154" s="46"/>
      <c r="X154" s="8"/>
      <c r="Y154" s="8"/>
      <c r="Z154" s="8"/>
      <c r="AA154" s="8"/>
      <c r="AB154" s="8"/>
      <c r="AC154" s="8"/>
      <c r="AD154" s="8"/>
      <c r="AE154" s="8"/>
      <c r="AF154" s="8"/>
      <c r="AG154" s="8"/>
      <c r="AH154" s="45"/>
      <c r="AI154" s="8"/>
      <c r="AJ154" s="8"/>
      <c r="AK154" s="8"/>
      <c r="AL154" s="8"/>
      <c r="AM154" s="8"/>
      <c r="AN154" s="8"/>
      <c r="AO154" s="8"/>
      <c r="AP154" s="8"/>
      <c r="AQ154" s="8"/>
      <c r="AR154" s="8"/>
      <c r="AS154" s="1"/>
      <c r="AT154" s="1"/>
      <c r="AU154" s="1"/>
      <c r="AV154" s="1"/>
      <c r="AW154" s="1"/>
      <c r="AX154" s="1"/>
      <c r="AY154" s="1"/>
      <c r="AZ154" s="1"/>
    </row>
    <row r="155" spans="1:52" x14ac:dyDescent="0.25">
      <c r="A155" s="1"/>
      <c r="B155" s="1"/>
      <c r="C155" s="1"/>
      <c r="D155" s="27"/>
      <c r="E155" s="38"/>
      <c r="F155" s="38"/>
      <c r="G155" s="38"/>
      <c r="H155" s="38"/>
      <c r="I155" s="38"/>
      <c r="J155" s="38"/>
      <c r="K155" s="1"/>
      <c r="L155" s="1"/>
      <c r="M155" s="1"/>
      <c r="N155" s="1"/>
      <c r="O155" s="1"/>
      <c r="P155" s="1"/>
      <c r="Q155" s="1"/>
      <c r="R155" s="1"/>
      <c r="S155" s="1"/>
      <c r="T155" s="1"/>
      <c r="U155" s="1"/>
      <c r="V155" s="1"/>
      <c r="W155" s="46"/>
      <c r="X155" s="8"/>
      <c r="Y155" s="8"/>
      <c r="Z155" s="8"/>
      <c r="AA155" s="8"/>
      <c r="AB155" s="8"/>
      <c r="AC155" s="8"/>
      <c r="AD155" s="8"/>
      <c r="AE155" s="8"/>
      <c r="AF155" s="8"/>
      <c r="AG155" s="8"/>
      <c r="AH155" s="45"/>
      <c r="AI155" s="8"/>
      <c r="AJ155" s="8"/>
      <c r="AK155" s="8"/>
      <c r="AL155" s="8"/>
      <c r="AM155" s="8"/>
      <c r="AN155" s="8"/>
      <c r="AO155" s="8"/>
      <c r="AP155" s="8"/>
      <c r="AQ155" s="8"/>
      <c r="AR155" s="8"/>
      <c r="AS155" s="1"/>
      <c r="AT155" s="1"/>
      <c r="AU155" s="1"/>
      <c r="AV155" s="1"/>
      <c r="AW155" s="1"/>
      <c r="AX155" s="1"/>
      <c r="AY155" s="1"/>
      <c r="AZ155" s="1"/>
    </row>
    <row r="156" spans="1:52" x14ac:dyDescent="0.25">
      <c r="A156" s="1"/>
      <c r="B156" s="1"/>
      <c r="C156" s="1"/>
      <c r="D156" s="27"/>
      <c r="E156" s="38"/>
      <c r="F156" s="38"/>
      <c r="G156" s="38"/>
      <c r="H156" s="38"/>
      <c r="I156" s="38"/>
      <c r="J156" s="38"/>
      <c r="K156" s="1"/>
      <c r="L156" s="1"/>
      <c r="M156" s="1"/>
      <c r="N156" s="1"/>
      <c r="O156" s="1"/>
      <c r="P156" s="1"/>
      <c r="Q156" s="1"/>
      <c r="R156" s="1"/>
      <c r="S156" s="1"/>
      <c r="T156" s="1"/>
      <c r="U156" s="1"/>
      <c r="V156" s="1"/>
      <c r="W156" s="46"/>
      <c r="X156" s="8"/>
      <c r="Y156" s="8"/>
      <c r="Z156" s="8"/>
      <c r="AA156" s="8"/>
      <c r="AB156" s="8"/>
      <c r="AC156" s="8"/>
      <c r="AD156" s="8"/>
      <c r="AE156" s="8"/>
      <c r="AF156" s="8"/>
      <c r="AG156" s="8"/>
      <c r="AH156" s="45"/>
      <c r="AI156" s="8"/>
      <c r="AJ156" s="8"/>
      <c r="AK156" s="8"/>
      <c r="AL156" s="8"/>
      <c r="AM156" s="8"/>
      <c r="AN156" s="8"/>
      <c r="AO156" s="8"/>
      <c r="AP156" s="8"/>
      <c r="AQ156" s="8"/>
      <c r="AR156" s="8"/>
      <c r="AS156" s="1"/>
      <c r="AT156" s="1"/>
      <c r="AU156" s="1"/>
      <c r="AV156" s="1"/>
      <c r="AW156" s="1"/>
      <c r="AX156" s="1"/>
      <c r="AY156" s="1"/>
      <c r="AZ156" s="1"/>
    </row>
    <row r="157" spans="1:52" x14ac:dyDescent="0.25">
      <c r="A157" s="1"/>
      <c r="B157" s="1"/>
      <c r="C157" s="1"/>
      <c r="D157" s="27"/>
      <c r="E157" s="38"/>
      <c r="F157" s="38"/>
      <c r="G157" s="38"/>
      <c r="H157" s="38"/>
      <c r="I157" s="38"/>
      <c r="J157" s="38"/>
      <c r="K157" s="1"/>
      <c r="L157" s="1"/>
      <c r="M157" s="1"/>
      <c r="N157" s="1"/>
      <c r="O157" s="1"/>
      <c r="P157" s="1"/>
      <c r="Q157" s="1"/>
      <c r="R157" s="1"/>
      <c r="S157" s="1"/>
      <c r="T157" s="1"/>
      <c r="U157" s="1"/>
      <c r="V157" s="1"/>
      <c r="W157" s="46"/>
      <c r="X157" s="8"/>
      <c r="Y157" s="8"/>
      <c r="Z157" s="8"/>
      <c r="AA157" s="8"/>
      <c r="AB157" s="8"/>
      <c r="AC157" s="8"/>
      <c r="AD157" s="8"/>
      <c r="AE157" s="8"/>
      <c r="AF157" s="8"/>
      <c r="AG157" s="8"/>
      <c r="AH157" s="45"/>
      <c r="AI157" s="8"/>
      <c r="AJ157" s="8"/>
      <c r="AK157" s="8"/>
      <c r="AL157" s="8"/>
      <c r="AM157" s="8"/>
      <c r="AN157" s="8"/>
      <c r="AO157" s="8"/>
      <c r="AP157" s="8"/>
      <c r="AQ157" s="8"/>
      <c r="AR157" s="8"/>
      <c r="AS157" s="1"/>
      <c r="AT157" s="1"/>
      <c r="AU157" s="1"/>
      <c r="AV157" s="1"/>
      <c r="AW157" s="1"/>
      <c r="AX157" s="1"/>
      <c r="AY157" s="1"/>
      <c r="AZ157" s="1"/>
    </row>
    <row r="158" spans="1:52" x14ac:dyDescent="0.25">
      <c r="A158" s="1"/>
      <c r="B158" s="1"/>
      <c r="C158" s="1"/>
      <c r="D158" s="27"/>
      <c r="E158" s="38"/>
      <c r="F158" s="38"/>
      <c r="G158" s="38"/>
      <c r="H158" s="38"/>
      <c r="I158" s="38"/>
      <c r="J158" s="38"/>
      <c r="K158" s="1"/>
      <c r="L158" s="1"/>
      <c r="M158" s="1"/>
      <c r="N158" s="1"/>
      <c r="O158" s="1"/>
      <c r="P158" s="1"/>
      <c r="Q158" s="1"/>
      <c r="R158" s="1"/>
      <c r="S158" s="1"/>
      <c r="T158" s="1"/>
      <c r="U158" s="1"/>
      <c r="V158" s="1"/>
      <c r="W158" s="46"/>
      <c r="X158" s="8"/>
      <c r="Y158" s="8"/>
      <c r="Z158" s="8"/>
      <c r="AA158" s="8"/>
      <c r="AB158" s="8"/>
      <c r="AC158" s="8"/>
      <c r="AD158" s="8"/>
      <c r="AE158" s="8"/>
      <c r="AF158" s="8"/>
      <c r="AG158" s="8"/>
      <c r="AH158" s="45"/>
      <c r="AI158" s="8"/>
      <c r="AJ158" s="8"/>
      <c r="AK158" s="8"/>
      <c r="AL158" s="8"/>
      <c r="AM158" s="8"/>
      <c r="AN158" s="8"/>
      <c r="AO158" s="8"/>
      <c r="AP158" s="8"/>
      <c r="AQ158" s="8"/>
      <c r="AR158" s="8"/>
      <c r="AS158" s="1"/>
      <c r="AT158" s="1"/>
      <c r="AU158" s="1"/>
      <c r="AV158" s="1"/>
      <c r="AW158" s="1"/>
      <c r="AX158" s="1"/>
      <c r="AY158" s="1"/>
      <c r="AZ158" s="1"/>
    </row>
    <row r="159" spans="1:52" x14ac:dyDescent="0.25">
      <c r="A159" s="1"/>
      <c r="B159" s="1"/>
      <c r="C159" s="1"/>
      <c r="D159" s="27"/>
      <c r="E159" s="38"/>
      <c r="F159" s="38"/>
      <c r="G159" s="38"/>
      <c r="H159" s="38"/>
      <c r="I159" s="38"/>
      <c r="J159" s="38"/>
      <c r="K159" s="1"/>
      <c r="L159" s="1"/>
      <c r="M159" s="1"/>
      <c r="N159" s="1"/>
      <c r="O159" s="1"/>
      <c r="P159" s="1"/>
      <c r="Q159" s="1"/>
      <c r="R159" s="1"/>
      <c r="S159" s="1"/>
      <c r="T159" s="1"/>
      <c r="U159" s="1"/>
      <c r="V159" s="1"/>
      <c r="W159" s="46"/>
      <c r="X159" s="8"/>
      <c r="Y159" s="8"/>
      <c r="Z159" s="8"/>
      <c r="AA159" s="8"/>
      <c r="AB159" s="8"/>
      <c r="AC159" s="8"/>
      <c r="AD159" s="8"/>
      <c r="AE159" s="8"/>
      <c r="AF159" s="8"/>
      <c r="AG159" s="8"/>
      <c r="AH159" s="45"/>
      <c r="AI159" s="8"/>
      <c r="AJ159" s="8"/>
      <c r="AK159" s="8"/>
      <c r="AL159" s="8"/>
      <c r="AM159" s="8"/>
      <c r="AN159" s="8"/>
      <c r="AO159" s="8"/>
      <c r="AP159" s="8"/>
      <c r="AQ159" s="8"/>
      <c r="AR159" s="8"/>
      <c r="AS159" s="1"/>
      <c r="AT159" s="1"/>
      <c r="AU159" s="1"/>
      <c r="AV159" s="1"/>
      <c r="AW159" s="1"/>
      <c r="AX159" s="1"/>
      <c r="AY159" s="1"/>
      <c r="AZ159" s="1"/>
    </row>
    <row r="160" spans="1:52" x14ac:dyDescent="0.25">
      <c r="A160" s="1"/>
      <c r="B160" s="1"/>
      <c r="C160" s="1"/>
      <c r="D160" s="27"/>
      <c r="E160" s="38"/>
      <c r="F160" s="38"/>
      <c r="G160" s="38"/>
      <c r="H160" s="38"/>
      <c r="I160" s="38"/>
      <c r="J160" s="38"/>
      <c r="K160" s="1"/>
      <c r="L160" s="1"/>
      <c r="M160" s="1"/>
      <c r="N160" s="1"/>
      <c r="O160" s="1"/>
      <c r="P160" s="1"/>
      <c r="Q160" s="1"/>
      <c r="R160" s="1"/>
      <c r="S160" s="1"/>
      <c r="T160" s="1"/>
      <c r="U160" s="1"/>
      <c r="V160" s="1"/>
      <c r="W160" s="46"/>
      <c r="X160" s="8"/>
      <c r="Y160" s="8"/>
      <c r="Z160" s="8"/>
      <c r="AA160" s="8"/>
      <c r="AB160" s="8"/>
      <c r="AC160" s="8"/>
      <c r="AD160" s="8"/>
      <c r="AE160" s="8"/>
      <c r="AF160" s="8"/>
      <c r="AG160" s="8"/>
      <c r="AH160" s="45"/>
      <c r="AI160" s="8"/>
      <c r="AJ160" s="8"/>
      <c r="AK160" s="8"/>
      <c r="AL160" s="8"/>
      <c r="AM160" s="8"/>
      <c r="AN160" s="8"/>
      <c r="AO160" s="8"/>
      <c r="AP160" s="8"/>
      <c r="AQ160" s="8"/>
      <c r="AR160" s="8"/>
      <c r="AS160" s="1"/>
      <c r="AT160" s="1"/>
      <c r="AU160" s="1"/>
      <c r="AV160" s="1"/>
      <c r="AW160" s="1"/>
      <c r="AX160" s="1"/>
      <c r="AY160" s="1"/>
      <c r="AZ160" s="1"/>
    </row>
    <row r="161" spans="1:52" x14ac:dyDescent="0.25">
      <c r="A161" s="1"/>
      <c r="B161" s="1"/>
      <c r="C161" s="1"/>
      <c r="D161" s="27"/>
      <c r="E161" s="38"/>
      <c r="F161" s="38"/>
      <c r="G161" s="38"/>
      <c r="H161" s="38"/>
      <c r="I161" s="38"/>
      <c r="J161" s="38"/>
      <c r="K161" s="1"/>
      <c r="L161" s="1"/>
      <c r="M161" s="1"/>
      <c r="N161" s="1"/>
      <c r="O161" s="1"/>
      <c r="P161" s="1"/>
      <c r="Q161" s="1"/>
      <c r="R161" s="1"/>
      <c r="S161" s="1"/>
      <c r="T161" s="1"/>
      <c r="U161" s="1"/>
      <c r="V161" s="1"/>
      <c r="W161" s="46"/>
      <c r="X161" s="8"/>
      <c r="Y161" s="8"/>
      <c r="Z161" s="8"/>
      <c r="AA161" s="8"/>
      <c r="AB161" s="8"/>
      <c r="AC161" s="8"/>
      <c r="AD161" s="8"/>
      <c r="AE161" s="8"/>
      <c r="AF161" s="8"/>
      <c r="AG161" s="8"/>
      <c r="AH161" s="45"/>
      <c r="AI161" s="8"/>
      <c r="AJ161" s="8"/>
      <c r="AK161" s="8"/>
      <c r="AL161" s="8"/>
      <c r="AM161" s="8"/>
      <c r="AN161" s="8"/>
      <c r="AO161" s="8"/>
      <c r="AP161" s="8"/>
      <c r="AQ161" s="8"/>
      <c r="AR161" s="8"/>
      <c r="AS161" s="1"/>
      <c r="AT161" s="1"/>
      <c r="AU161" s="1"/>
      <c r="AV161" s="1"/>
      <c r="AW161" s="1"/>
      <c r="AX161" s="1"/>
      <c r="AY161" s="1"/>
      <c r="AZ161" s="1"/>
    </row>
    <row r="162" spans="1:52" x14ac:dyDescent="0.25">
      <c r="A162" s="1"/>
      <c r="B162" s="1"/>
      <c r="C162" s="1"/>
      <c r="D162" s="27"/>
      <c r="E162" s="38"/>
      <c r="F162" s="38"/>
      <c r="G162" s="38"/>
      <c r="H162" s="38"/>
      <c r="I162" s="38"/>
      <c r="J162" s="38"/>
      <c r="K162" s="1"/>
      <c r="L162" s="1"/>
      <c r="M162" s="1"/>
      <c r="N162" s="1"/>
      <c r="O162" s="1"/>
      <c r="P162" s="1"/>
      <c r="Q162" s="1"/>
      <c r="R162" s="1"/>
      <c r="S162" s="1"/>
      <c r="T162" s="1"/>
      <c r="U162" s="1"/>
      <c r="V162" s="1"/>
      <c r="W162" s="46"/>
      <c r="X162" s="8"/>
      <c r="Y162" s="8"/>
      <c r="Z162" s="8"/>
      <c r="AA162" s="8"/>
      <c r="AB162" s="8"/>
      <c r="AC162" s="8"/>
      <c r="AD162" s="8"/>
      <c r="AE162" s="8"/>
      <c r="AF162" s="8"/>
      <c r="AG162" s="8"/>
      <c r="AH162" s="45"/>
      <c r="AI162" s="8"/>
      <c r="AJ162" s="8"/>
      <c r="AK162" s="8"/>
      <c r="AL162" s="8"/>
      <c r="AM162" s="8"/>
      <c r="AN162" s="8"/>
      <c r="AO162" s="8"/>
      <c r="AP162" s="8"/>
      <c r="AQ162" s="8"/>
      <c r="AR162" s="8"/>
      <c r="AS162" s="1"/>
      <c r="AT162" s="1"/>
      <c r="AU162" s="1"/>
      <c r="AV162" s="1"/>
      <c r="AW162" s="1"/>
      <c r="AX162" s="1"/>
      <c r="AY162" s="1"/>
      <c r="AZ162" s="1"/>
    </row>
    <row r="163" spans="1:52" x14ac:dyDescent="0.25">
      <c r="A163" s="1"/>
      <c r="B163" s="1"/>
      <c r="C163" s="1"/>
      <c r="D163" s="27"/>
      <c r="E163" s="38"/>
      <c r="F163" s="38"/>
      <c r="G163" s="38"/>
      <c r="H163" s="38"/>
      <c r="I163" s="38"/>
      <c r="J163" s="38"/>
      <c r="K163" s="1"/>
      <c r="L163" s="1"/>
      <c r="M163" s="1"/>
      <c r="N163" s="1"/>
      <c r="O163" s="1"/>
      <c r="P163" s="1"/>
      <c r="Q163" s="1"/>
      <c r="R163" s="1"/>
      <c r="S163" s="1"/>
      <c r="T163" s="1"/>
      <c r="U163" s="1"/>
      <c r="V163" s="1"/>
      <c r="W163" s="46"/>
      <c r="X163" s="8"/>
      <c r="Y163" s="8"/>
      <c r="Z163" s="8"/>
      <c r="AA163" s="8"/>
      <c r="AB163" s="8"/>
      <c r="AC163" s="8"/>
      <c r="AD163" s="8"/>
      <c r="AE163" s="8"/>
      <c r="AF163" s="8"/>
      <c r="AG163" s="8"/>
      <c r="AH163" s="45"/>
      <c r="AI163" s="8"/>
      <c r="AJ163" s="8"/>
      <c r="AK163" s="8"/>
      <c r="AL163" s="8"/>
      <c r="AM163" s="8"/>
      <c r="AN163" s="8"/>
      <c r="AO163" s="8"/>
      <c r="AP163" s="8"/>
      <c r="AQ163" s="8"/>
      <c r="AR163" s="8"/>
      <c r="AS163" s="1"/>
      <c r="AT163" s="1"/>
      <c r="AU163" s="1"/>
      <c r="AV163" s="1"/>
      <c r="AW163" s="1"/>
      <c r="AX163" s="1"/>
      <c r="AY163" s="1"/>
      <c r="AZ163" s="1"/>
    </row>
    <row r="164" spans="1:52" x14ac:dyDescent="0.25">
      <c r="A164" s="1"/>
      <c r="B164" s="1"/>
      <c r="C164" s="1"/>
      <c r="D164" s="27"/>
      <c r="E164" s="38"/>
      <c r="F164" s="38"/>
      <c r="G164" s="38"/>
      <c r="H164" s="38"/>
      <c r="I164" s="38"/>
      <c r="J164" s="38"/>
      <c r="K164" s="1"/>
      <c r="L164" s="1"/>
      <c r="M164" s="1"/>
      <c r="N164" s="1"/>
      <c r="O164" s="1"/>
      <c r="P164" s="1"/>
      <c r="Q164" s="1"/>
      <c r="R164" s="1"/>
      <c r="S164" s="1"/>
      <c r="T164" s="1"/>
      <c r="U164" s="1"/>
      <c r="V164" s="1"/>
      <c r="W164" s="46"/>
      <c r="X164" s="8"/>
      <c r="Y164" s="8"/>
      <c r="Z164" s="8"/>
      <c r="AA164" s="8"/>
      <c r="AB164" s="8"/>
      <c r="AC164" s="8"/>
      <c r="AD164" s="8"/>
      <c r="AE164" s="8"/>
      <c r="AF164" s="8"/>
      <c r="AG164" s="8"/>
      <c r="AH164" s="45"/>
      <c r="AI164" s="8"/>
      <c r="AJ164" s="8"/>
      <c r="AK164" s="8"/>
      <c r="AL164" s="8"/>
      <c r="AM164" s="8"/>
      <c r="AN164" s="8"/>
      <c r="AO164" s="8"/>
      <c r="AP164" s="8"/>
      <c r="AQ164" s="8"/>
      <c r="AR164" s="8"/>
      <c r="AS164" s="1"/>
      <c r="AT164" s="1"/>
      <c r="AU164" s="1"/>
      <c r="AV164" s="1"/>
      <c r="AW164" s="1"/>
      <c r="AX164" s="1"/>
      <c r="AY164" s="1"/>
      <c r="AZ164" s="1"/>
    </row>
    <row r="165" spans="1:52" x14ac:dyDescent="0.25">
      <c r="A165" s="1"/>
      <c r="B165" s="1"/>
      <c r="C165" s="1"/>
      <c r="D165" s="27"/>
      <c r="E165" s="38"/>
      <c r="F165" s="38"/>
      <c r="G165" s="38"/>
      <c r="H165" s="38"/>
      <c r="I165" s="38"/>
      <c r="J165" s="38"/>
      <c r="K165" s="1"/>
      <c r="L165" s="1"/>
      <c r="M165" s="1"/>
      <c r="N165" s="1"/>
      <c r="O165" s="1"/>
      <c r="P165" s="1"/>
      <c r="Q165" s="1"/>
      <c r="R165" s="1"/>
      <c r="S165" s="1"/>
      <c r="T165" s="1"/>
      <c r="U165" s="1"/>
      <c r="V165" s="1"/>
      <c r="W165" s="46"/>
      <c r="X165" s="8"/>
      <c r="Y165" s="8"/>
      <c r="Z165" s="8"/>
      <c r="AA165" s="8"/>
      <c r="AB165" s="8"/>
      <c r="AC165" s="8"/>
      <c r="AD165" s="8"/>
      <c r="AE165" s="8"/>
      <c r="AF165" s="8"/>
      <c r="AG165" s="8"/>
      <c r="AH165" s="45"/>
      <c r="AI165" s="8"/>
      <c r="AJ165" s="8"/>
      <c r="AK165" s="8"/>
      <c r="AL165" s="8"/>
      <c r="AM165" s="8"/>
      <c r="AN165" s="8"/>
      <c r="AO165" s="8"/>
      <c r="AP165" s="8"/>
      <c r="AQ165" s="8"/>
      <c r="AR165" s="8"/>
      <c r="AS165" s="1"/>
      <c r="AT165" s="1"/>
      <c r="AU165" s="1"/>
      <c r="AV165" s="1"/>
      <c r="AW165" s="1"/>
      <c r="AX165" s="1"/>
      <c r="AY165" s="1"/>
      <c r="AZ165" s="1"/>
    </row>
    <row r="166" spans="1:52" x14ac:dyDescent="0.25">
      <c r="A166" s="1"/>
      <c r="B166" s="1"/>
      <c r="C166" s="1"/>
      <c r="D166" s="27"/>
      <c r="E166" s="38"/>
      <c r="F166" s="38"/>
      <c r="G166" s="38"/>
      <c r="H166" s="38"/>
      <c r="I166" s="38"/>
      <c r="J166" s="38"/>
      <c r="K166" s="1"/>
      <c r="L166" s="1"/>
      <c r="M166" s="1"/>
      <c r="N166" s="1"/>
      <c r="O166" s="1"/>
      <c r="P166" s="1"/>
      <c r="Q166" s="1"/>
      <c r="R166" s="1"/>
      <c r="S166" s="1"/>
      <c r="T166" s="1"/>
      <c r="U166" s="1"/>
      <c r="V166" s="1"/>
      <c r="W166" s="46"/>
      <c r="X166" s="8"/>
      <c r="Y166" s="8"/>
      <c r="Z166" s="8"/>
      <c r="AA166" s="8"/>
      <c r="AB166" s="8"/>
      <c r="AC166" s="8"/>
      <c r="AD166" s="8"/>
      <c r="AE166" s="8"/>
      <c r="AF166" s="8"/>
      <c r="AG166" s="8"/>
      <c r="AH166" s="45"/>
      <c r="AI166" s="8"/>
      <c r="AJ166" s="8"/>
      <c r="AK166" s="8"/>
      <c r="AL166" s="8"/>
      <c r="AM166" s="8"/>
      <c r="AN166" s="8"/>
      <c r="AO166" s="8"/>
      <c r="AP166" s="8"/>
      <c r="AQ166" s="8"/>
      <c r="AR166" s="8"/>
      <c r="AS166" s="1"/>
      <c r="AT166" s="1"/>
      <c r="AU166" s="1"/>
      <c r="AV166" s="1"/>
      <c r="AW166" s="1"/>
      <c r="AX166" s="1"/>
      <c r="AY166" s="1"/>
      <c r="AZ166" s="1"/>
    </row>
    <row r="167" spans="1:52" x14ac:dyDescent="0.25">
      <c r="A167" s="1"/>
      <c r="B167" s="1"/>
      <c r="C167" s="1"/>
      <c r="D167" s="27"/>
      <c r="E167" s="38"/>
      <c r="F167" s="38"/>
      <c r="G167" s="38"/>
      <c r="H167" s="38"/>
      <c r="I167" s="38"/>
      <c r="J167" s="38"/>
      <c r="K167" s="1"/>
      <c r="L167" s="1"/>
      <c r="M167" s="1"/>
      <c r="N167" s="1"/>
      <c r="O167" s="1"/>
      <c r="P167" s="1"/>
      <c r="Q167" s="1"/>
      <c r="R167" s="1"/>
      <c r="S167" s="1"/>
      <c r="T167" s="1"/>
      <c r="U167" s="1"/>
      <c r="V167" s="1"/>
      <c r="W167" s="46"/>
      <c r="X167" s="8"/>
      <c r="Y167" s="8"/>
      <c r="Z167" s="8"/>
      <c r="AA167" s="8"/>
      <c r="AB167" s="8"/>
      <c r="AC167" s="8"/>
      <c r="AD167" s="8"/>
      <c r="AE167" s="8"/>
      <c r="AF167" s="8"/>
      <c r="AG167" s="8"/>
      <c r="AH167" s="45"/>
      <c r="AI167" s="8"/>
      <c r="AJ167" s="8"/>
      <c r="AK167" s="8"/>
      <c r="AL167" s="8"/>
      <c r="AM167" s="8"/>
      <c r="AN167" s="8"/>
      <c r="AO167" s="8"/>
      <c r="AP167" s="8"/>
      <c r="AQ167" s="8"/>
      <c r="AR167" s="8"/>
      <c r="AS167" s="1"/>
      <c r="AT167" s="1"/>
      <c r="AU167" s="1"/>
      <c r="AV167" s="1"/>
      <c r="AW167" s="1"/>
      <c r="AX167" s="1"/>
      <c r="AY167" s="1"/>
      <c r="AZ167" s="1"/>
    </row>
    <row r="168" spans="1:52" x14ac:dyDescent="0.25">
      <c r="A168" s="1"/>
      <c r="B168" s="1"/>
      <c r="C168" s="1"/>
      <c r="D168" s="27"/>
      <c r="E168" s="38"/>
      <c r="F168" s="38"/>
      <c r="G168" s="38"/>
      <c r="H168" s="38"/>
      <c r="I168" s="38"/>
      <c r="J168" s="38"/>
      <c r="K168" s="1"/>
      <c r="L168" s="1"/>
      <c r="M168" s="1"/>
      <c r="N168" s="1"/>
      <c r="O168" s="1"/>
      <c r="P168" s="1"/>
      <c r="Q168" s="1"/>
      <c r="R168" s="1"/>
      <c r="S168" s="1"/>
      <c r="T168" s="1"/>
      <c r="U168" s="1"/>
      <c r="V168" s="1"/>
      <c r="W168" s="46"/>
      <c r="X168" s="8"/>
      <c r="Y168" s="8"/>
      <c r="Z168" s="8"/>
      <c r="AA168" s="8"/>
      <c r="AB168" s="8"/>
      <c r="AC168" s="8"/>
      <c r="AD168" s="8"/>
      <c r="AE168" s="8"/>
      <c r="AF168" s="8"/>
      <c r="AG168" s="8"/>
      <c r="AH168" s="45"/>
      <c r="AI168" s="8"/>
      <c r="AJ168" s="8"/>
      <c r="AK168" s="8"/>
      <c r="AL168" s="8"/>
      <c r="AM168" s="8"/>
      <c r="AN168" s="8"/>
      <c r="AO168" s="8"/>
      <c r="AP168" s="8"/>
      <c r="AQ168" s="8"/>
      <c r="AR168" s="8"/>
      <c r="AS168" s="1"/>
      <c r="AT168" s="1"/>
      <c r="AU168" s="1"/>
      <c r="AV168" s="1"/>
      <c r="AW168" s="1"/>
      <c r="AX168" s="1"/>
      <c r="AY168" s="1"/>
      <c r="AZ168" s="1"/>
    </row>
    <row r="169" spans="1:52" x14ac:dyDescent="0.25">
      <c r="A169" s="1"/>
      <c r="B169" s="1"/>
      <c r="C169" s="1"/>
      <c r="D169" s="27"/>
      <c r="E169" s="38"/>
      <c r="F169" s="38"/>
      <c r="G169" s="38"/>
      <c r="H169" s="38"/>
      <c r="I169" s="38"/>
      <c r="J169" s="38"/>
      <c r="K169" s="1"/>
      <c r="L169" s="1"/>
      <c r="M169" s="1"/>
      <c r="N169" s="1"/>
      <c r="O169" s="1"/>
      <c r="P169" s="1"/>
      <c r="Q169" s="1"/>
      <c r="R169" s="1"/>
      <c r="S169" s="1"/>
      <c r="T169" s="1"/>
      <c r="U169" s="1"/>
      <c r="V169" s="1"/>
      <c r="W169" s="46"/>
      <c r="X169" s="8"/>
      <c r="Y169" s="8"/>
      <c r="Z169" s="8"/>
      <c r="AA169" s="8"/>
      <c r="AB169" s="8"/>
      <c r="AC169" s="8"/>
      <c r="AD169" s="8"/>
      <c r="AE169" s="8"/>
      <c r="AF169" s="8"/>
      <c r="AG169" s="8"/>
      <c r="AH169" s="45"/>
      <c r="AI169" s="8"/>
      <c r="AJ169" s="8"/>
      <c r="AK169" s="8"/>
      <c r="AL169" s="8"/>
      <c r="AM169" s="8"/>
      <c r="AN169" s="8"/>
      <c r="AO169" s="8"/>
      <c r="AP169" s="8"/>
      <c r="AQ169" s="8"/>
      <c r="AR169" s="8"/>
      <c r="AS169" s="1"/>
      <c r="AT169" s="1"/>
      <c r="AU169" s="1"/>
      <c r="AV169" s="1"/>
      <c r="AW169" s="1"/>
      <c r="AX169" s="1"/>
      <c r="AY169" s="1"/>
      <c r="AZ169" s="1"/>
    </row>
    <row r="170" spans="1:52" x14ac:dyDescent="0.25">
      <c r="A170" s="1"/>
      <c r="B170" s="1"/>
      <c r="C170" s="1"/>
      <c r="D170" s="27"/>
      <c r="E170" s="38"/>
      <c r="F170" s="38"/>
      <c r="G170" s="38"/>
      <c r="H170" s="38"/>
      <c r="I170" s="38"/>
      <c r="J170" s="38"/>
      <c r="K170" s="1"/>
      <c r="L170" s="1"/>
      <c r="M170" s="1"/>
      <c r="N170" s="1"/>
      <c r="O170" s="1"/>
      <c r="P170" s="1"/>
      <c r="Q170" s="1"/>
      <c r="R170" s="1"/>
      <c r="S170" s="1"/>
      <c r="T170" s="1"/>
      <c r="U170" s="1"/>
      <c r="V170" s="1"/>
      <c r="W170" s="46"/>
      <c r="X170" s="8"/>
      <c r="Y170" s="8"/>
      <c r="Z170" s="8"/>
      <c r="AA170" s="8"/>
      <c r="AB170" s="8"/>
      <c r="AC170" s="8"/>
      <c r="AD170" s="8"/>
      <c r="AE170" s="8"/>
      <c r="AF170" s="8"/>
      <c r="AG170" s="8"/>
      <c r="AH170" s="45"/>
      <c r="AI170" s="8"/>
      <c r="AJ170" s="8"/>
      <c r="AK170" s="8"/>
      <c r="AL170" s="8"/>
      <c r="AM170" s="8"/>
      <c r="AN170" s="8"/>
      <c r="AO170" s="8"/>
      <c r="AP170" s="8"/>
      <c r="AQ170" s="8"/>
      <c r="AR170" s="8"/>
      <c r="AS170" s="1"/>
      <c r="AT170" s="1"/>
      <c r="AU170" s="1"/>
      <c r="AV170" s="1"/>
      <c r="AW170" s="1"/>
      <c r="AX170" s="1"/>
      <c r="AY170" s="1"/>
      <c r="AZ170" s="1"/>
    </row>
    <row r="171" spans="1:52" x14ac:dyDescent="0.25">
      <c r="A171" s="1"/>
      <c r="B171" s="1"/>
      <c r="C171" s="1"/>
      <c r="D171" s="27"/>
      <c r="E171" s="38"/>
      <c r="F171" s="38"/>
      <c r="G171" s="38"/>
      <c r="H171" s="38"/>
      <c r="I171" s="38"/>
      <c r="J171" s="38"/>
      <c r="K171" s="1"/>
      <c r="L171" s="1"/>
      <c r="M171" s="1"/>
      <c r="N171" s="1"/>
      <c r="O171" s="1"/>
      <c r="P171" s="1"/>
      <c r="Q171" s="1"/>
      <c r="R171" s="1"/>
      <c r="S171" s="1"/>
      <c r="T171" s="1"/>
      <c r="U171" s="1"/>
      <c r="V171" s="1"/>
      <c r="W171" s="46"/>
      <c r="X171" s="8"/>
      <c r="Y171" s="8"/>
      <c r="Z171" s="8"/>
      <c r="AA171" s="8"/>
      <c r="AB171" s="8"/>
      <c r="AC171" s="8"/>
      <c r="AD171" s="8"/>
      <c r="AE171" s="8"/>
      <c r="AF171" s="8"/>
      <c r="AG171" s="8"/>
      <c r="AH171" s="45"/>
      <c r="AI171" s="8"/>
      <c r="AJ171" s="8"/>
      <c r="AK171" s="8"/>
      <c r="AL171" s="8"/>
      <c r="AM171" s="8"/>
      <c r="AN171" s="8"/>
      <c r="AO171" s="8"/>
      <c r="AP171" s="8"/>
      <c r="AQ171" s="8"/>
      <c r="AR171" s="8"/>
      <c r="AS171" s="1"/>
      <c r="AT171" s="1"/>
      <c r="AU171" s="1"/>
      <c r="AV171" s="1"/>
      <c r="AW171" s="1"/>
      <c r="AX171" s="1"/>
      <c r="AY171" s="1"/>
      <c r="AZ171" s="1"/>
    </row>
    <row r="172" spans="1:52" x14ac:dyDescent="0.25">
      <c r="A172" s="1"/>
      <c r="B172" s="1"/>
      <c r="C172" s="1"/>
      <c r="D172" s="27"/>
      <c r="E172" s="38"/>
      <c r="F172" s="38"/>
      <c r="G172" s="38"/>
      <c r="H172" s="38"/>
      <c r="I172" s="38"/>
      <c r="J172" s="38"/>
      <c r="K172" s="1"/>
      <c r="L172" s="1"/>
      <c r="M172" s="1"/>
      <c r="N172" s="1"/>
      <c r="O172" s="1"/>
      <c r="P172" s="1"/>
      <c r="Q172" s="1"/>
      <c r="R172" s="1"/>
      <c r="S172" s="1"/>
      <c r="T172" s="1"/>
      <c r="U172" s="1"/>
      <c r="V172" s="1"/>
      <c r="W172" s="46"/>
      <c r="X172" s="8"/>
      <c r="Y172" s="8"/>
      <c r="Z172" s="8"/>
      <c r="AA172" s="8"/>
      <c r="AB172" s="8"/>
      <c r="AC172" s="8"/>
      <c r="AD172" s="8"/>
      <c r="AE172" s="8"/>
      <c r="AF172" s="8"/>
      <c r="AG172" s="8"/>
      <c r="AH172" s="45"/>
      <c r="AI172" s="8"/>
      <c r="AJ172" s="8"/>
      <c r="AK172" s="8"/>
      <c r="AL172" s="8"/>
      <c r="AM172" s="8"/>
      <c r="AN172" s="8"/>
      <c r="AO172" s="8"/>
      <c r="AP172" s="8"/>
      <c r="AQ172" s="8"/>
      <c r="AR172" s="8"/>
      <c r="AS172" s="1"/>
      <c r="AT172" s="1"/>
      <c r="AU172" s="1"/>
      <c r="AV172" s="1"/>
      <c r="AW172" s="1"/>
      <c r="AX172" s="1"/>
      <c r="AY172" s="1"/>
      <c r="AZ172" s="1"/>
    </row>
    <row r="173" spans="1:52" x14ac:dyDescent="0.25">
      <c r="A173" s="1"/>
      <c r="B173" s="1"/>
      <c r="C173" s="1"/>
      <c r="D173" s="27"/>
      <c r="E173" s="38"/>
      <c r="F173" s="38"/>
      <c r="G173" s="38"/>
      <c r="H173" s="38"/>
      <c r="I173" s="38"/>
      <c r="J173" s="38"/>
      <c r="K173" s="1"/>
      <c r="L173" s="1"/>
      <c r="M173" s="1"/>
      <c r="N173" s="1"/>
      <c r="O173" s="1"/>
      <c r="P173" s="1"/>
      <c r="Q173" s="1"/>
      <c r="R173" s="1"/>
      <c r="S173" s="1"/>
      <c r="T173" s="1"/>
      <c r="U173" s="1"/>
      <c r="V173" s="1"/>
      <c r="W173" s="46"/>
      <c r="X173" s="8"/>
      <c r="Y173" s="8"/>
      <c r="Z173" s="8"/>
      <c r="AA173" s="8"/>
      <c r="AB173" s="8"/>
      <c r="AC173" s="8"/>
      <c r="AD173" s="8"/>
      <c r="AE173" s="8"/>
      <c r="AF173" s="8"/>
      <c r="AG173" s="8"/>
      <c r="AH173" s="45"/>
      <c r="AI173" s="8"/>
      <c r="AJ173" s="8"/>
      <c r="AK173" s="8"/>
      <c r="AL173" s="8"/>
      <c r="AM173" s="8"/>
      <c r="AN173" s="8"/>
      <c r="AO173" s="8"/>
      <c r="AP173" s="8"/>
      <c r="AQ173" s="8"/>
      <c r="AR173" s="8"/>
      <c r="AS173" s="1"/>
      <c r="AT173" s="1"/>
      <c r="AU173" s="1"/>
      <c r="AV173" s="1"/>
      <c r="AW173" s="1"/>
      <c r="AX173" s="1"/>
      <c r="AY173" s="1"/>
      <c r="AZ173" s="1"/>
    </row>
    <row r="174" spans="1:52" x14ac:dyDescent="0.25">
      <c r="A174" s="1"/>
      <c r="B174" s="1"/>
      <c r="C174" s="1"/>
      <c r="D174" s="27"/>
      <c r="E174" s="38"/>
      <c r="F174" s="38"/>
      <c r="G174" s="38"/>
      <c r="H174" s="38"/>
      <c r="I174" s="38"/>
      <c r="J174" s="38"/>
      <c r="K174" s="1"/>
      <c r="L174" s="1"/>
      <c r="M174" s="1"/>
      <c r="N174" s="1"/>
      <c r="O174" s="1"/>
      <c r="P174" s="1"/>
      <c r="Q174" s="1"/>
      <c r="R174" s="1"/>
      <c r="S174" s="1"/>
      <c r="T174" s="1"/>
      <c r="U174" s="1"/>
      <c r="V174" s="1"/>
      <c r="W174" s="46"/>
      <c r="X174" s="8"/>
      <c r="Y174" s="8"/>
      <c r="Z174" s="8"/>
      <c r="AA174" s="8"/>
      <c r="AB174" s="8"/>
      <c r="AC174" s="8"/>
      <c r="AD174" s="8"/>
      <c r="AE174" s="8"/>
      <c r="AF174" s="8"/>
      <c r="AG174" s="8"/>
      <c r="AH174" s="45"/>
      <c r="AI174" s="8"/>
      <c r="AJ174" s="8"/>
      <c r="AK174" s="8"/>
      <c r="AL174" s="8"/>
      <c r="AM174" s="8"/>
      <c r="AN174" s="8"/>
      <c r="AO174" s="8"/>
      <c r="AP174" s="8"/>
      <c r="AQ174" s="8"/>
      <c r="AR174" s="8"/>
      <c r="AS174" s="1"/>
      <c r="AT174" s="1"/>
      <c r="AU174" s="1"/>
      <c r="AV174" s="1"/>
      <c r="AW174" s="1"/>
      <c r="AX174" s="1"/>
      <c r="AY174" s="1"/>
      <c r="AZ174" s="1"/>
    </row>
    <row r="175" spans="1:52" x14ac:dyDescent="0.25">
      <c r="A175" s="1"/>
      <c r="B175" s="1"/>
      <c r="C175" s="1"/>
      <c r="D175" s="27"/>
      <c r="E175" s="38"/>
      <c r="F175" s="38"/>
      <c r="G175" s="38"/>
      <c r="H175" s="38"/>
      <c r="I175" s="38"/>
      <c r="J175" s="38"/>
      <c r="K175" s="1"/>
      <c r="L175" s="1"/>
      <c r="M175" s="1"/>
      <c r="N175" s="1"/>
      <c r="O175" s="1"/>
      <c r="P175" s="1"/>
      <c r="Q175" s="1"/>
      <c r="R175" s="1"/>
      <c r="S175" s="1"/>
      <c r="T175" s="1"/>
      <c r="U175" s="1"/>
      <c r="V175" s="1"/>
      <c r="W175" s="46"/>
      <c r="X175" s="8"/>
      <c r="Y175" s="8"/>
      <c r="Z175" s="8"/>
      <c r="AA175" s="8"/>
      <c r="AB175" s="8"/>
      <c r="AC175" s="8"/>
      <c r="AD175" s="8"/>
      <c r="AE175" s="8"/>
      <c r="AF175" s="8"/>
      <c r="AG175" s="8"/>
      <c r="AH175" s="45"/>
      <c r="AI175" s="8"/>
      <c r="AJ175" s="8"/>
      <c r="AK175" s="8"/>
      <c r="AL175" s="8"/>
      <c r="AM175" s="8"/>
      <c r="AN175" s="8"/>
      <c r="AO175" s="8"/>
      <c r="AP175" s="8"/>
      <c r="AQ175" s="8"/>
      <c r="AR175" s="8"/>
      <c r="AS175" s="1"/>
      <c r="AT175" s="1"/>
      <c r="AU175" s="1"/>
      <c r="AV175" s="1"/>
      <c r="AW175" s="1"/>
      <c r="AX175" s="1"/>
      <c r="AY175" s="1"/>
      <c r="AZ175" s="1"/>
    </row>
    <row r="176" spans="1:52" x14ac:dyDescent="0.25">
      <c r="A176" s="1"/>
      <c r="B176" s="1"/>
      <c r="C176" s="1"/>
      <c r="D176" s="27"/>
      <c r="E176" s="38"/>
      <c r="F176" s="38"/>
      <c r="G176" s="38"/>
      <c r="H176" s="38"/>
      <c r="I176" s="38"/>
      <c r="J176" s="38"/>
      <c r="K176" s="1"/>
      <c r="L176" s="1"/>
      <c r="M176" s="1"/>
      <c r="N176" s="1"/>
      <c r="O176" s="1"/>
      <c r="P176" s="1"/>
      <c r="Q176" s="1"/>
      <c r="R176" s="1"/>
      <c r="S176" s="1"/>
      <c r="T176" s="1"/>
      <c r="U176" s="1"/>
      <c r="V176" s="1"/>
      <c r="W176" s="46"/>
      <c r="X176" s="8"/>
      <c r="Y176" s="8"/>
      <c r="Z176" s="8"/>
      <c r="AA176" s="8"/>
      <c r="AB176" s="8"/>
      <c r="AC176" s="8"/>
      <c r="AD176" s="8"/>
      <c r="AE176" s="8"/>
      <c r="AF176" s="8"/>
      <c r="AG176" s="8"/>
      <c r="AH176" s="45"/>
      <c r="AI176" s="8"/>
      <c r="AJ176" s="8"/>
      <c r="AK176" s="8"/>
      <c r="AL176" s="8"/>
      <c r="AM176" s="8"/>
      <c r="AN176" s="8"/>
      <c r="AO176" s="8"/>
      <c r="AP176" s="8"/>
      <c r="AQ176" s="8"/>
      <c r="AR176" s="8"/>
      <c r="AS176" s="1"/>
      <c r="AT176" s="1"/>
      <c r="AU176" s="1"/>
      <c r="AV176" s="1"/>
      <c r="AW176" s="1"/>
      <c r="AX176" s="1"/>
      <c r="AY176" s="1"/>
      <c r="AZ176" s="1"/>
    </row>
    <row r="177" spans="1:52" x14ac:dyDescent="0.25">
      <c r="A177" s="1"/>
      <c r="B177" s="1"/>
      <c r="C177" s="1"/>
      <c r="D177" s="27"/>
      <c r="E177" s="38"/>
      <c r="F177" s="38"/>
      <c r="G177" s="38"/>
      <c r="H177" s="38"/>
      <c r="I177" s="38"/>
      <c r="J177" s="38"/>
      <c r="K177" s="1"/>
      <c r="L177" s="1"/>
      <c r="M177" s="1"/>
      <c r="N177" s="1"/>
      <c r="O177" s="1"/>
      <c r="P177" s="1"/>
      <c r="Q177" s="1"/>
      <c r="R177" s="1"/>
      <c r="S177" s="1"/>
      <c r="T177" s="1"/>
      <c r="U177" s="1"/>
      <c r="V177" s="1"/>
      <c r="W177" s="46"/>
      <c r="X177" s="8"/>
      <c r="Y177" s="8"/>
      <c r="Z177" s="8"/>
      <c r="AA177" s="8"/>
      <c r="AB177" s="8"/>
      <c r="AC177" s="8"/>
      <c r="AD177" s="8"/>
      <c r="AE177" s="8"/>
      <c r="AF177" s="8"/>
      <c r="AG177" s="8"/>
      <c r="AH177" s="45"/>
      <c r="AI177" s="8"/>
      <c r="AJ177" s="8"/>
      <c r="AK177" s="8"/>
      <c r="AL177" s="8"/>
      <c r="AM177" s="8"/>
      <c r="AN177" s="8"/>
      <c r="AO177" s="8"/>
      <c r="AP177" s="8"/>
      <c r="AQ177" s="8"/>
      <c r="AR177" s="8"/>
      <c r="AS177" s="1"/>
      <c r="AT177" s="1"/>
      <c r="AU177" s="1"/>
      <c r="AV177" s="1"/>
      <c r="AW177" s="1"/>
      <c r="AX177" s="1"/>
      <c r="AY177" s="1"/>
      <c r="AZ177" s="1"/>
    </row>
    <row r="178" spans="1:52" x14ac:dyDescent="0.25">
      <c r="A178" s="1"/>
      <c r="B178" s="1"/>
      <c r="C178" s="1"/>
      <c r="D178" s="27"/>
      <c r="E178" s="38"/>
      <c r="F178" s="38"/>
      <c r="G178" s="38"/>
      <c r="H178" s="38"/>
      <c r="I178" s="38"/>
      <c r="J178" s="38"/>
      <c r="K178" s="1"/>
      <c r="L178" s="1"/>
      <c r="M178" s="1"/>
      <c r="N178" s="1"/>
      <c r="O178" s="1"/>
      <c r="P178" s="1"/>
      <c r="Q178" s="1"/>
      <c r="R178" s="1"/>
      <c r="S178" s="1"/>
      <c r="T178" s="1"/>
      <c r="U178" s="1"/>
      <c r="V178" s="1"/>
      <c r="W178" s="46"/>
      <c r="X178" s="8"/>
      <c r="Y178" s="8"/>
      <c r="Z178" s="8"/>
      <c r="AA178" s="8"/>
      <c r="AB178" s="8"/>
      <c r="AC178" s="8"/>
      <c r="AD178" s="8"/>
      <c r="AE178" s="8"/>
      <c r="AF178" s="8"/>
      <c r="AG178" s="8"/>
      <c r="AH178" s="45"/>
      <c r="AI178" s="8"/>
      <c r="AJ178" s="8"/>
      <c r="AK178" s="8"/>
      <c r="AL178" s="8"/>
      <c r="AM178" s="8"/>
      <c r="AN178" s="8"/>
      <c r="AO178" s="8"/>
      <c r="AP178" s="8"/>
      <c r="AQ178" s="8"/>
      <c r="AR178" s="8"/>
      <c r="AS178" s="1"/>
      <c r="AT178" s="1"/>
      <c r="AU178" s="1"/>
      <c r="AV178" s="1"/>
      <c r="AW178" s="1"/>
      <c r="AX178" s="1"/>
      <c r="AY178" s="1"/>
      <c r="AZ178" s="1"/>
    </row>
    <row r="179" spans="1:52" x14ac:dyDescent="0.25">
      <c r="A179" s="1"/>
      <c r="B179" s="1"/>
      <c r="C179" s="1"/>
      <c r="D179" s="27"/>
      <c r="E179" s="38"/>
      <c r="F179" s="38"/>
      <c r="G179" s="38"/>
      <c r="H179" s="38"/>
      <c r="I179" s="38"/>
      <c r="J179" s="38"/>
      <c r="K179" s="1"/>
      <c r="L179" s="1"/>
      <c r="M179" s="1"/>
      <c r="N179" s="1"/>
      <c r="O179" s="1"/>
      <c r="P179" s="1"/>
      <c r="Q179" s="1"/>
      <c r="R179" s="1"/>
      <c r="S179" s="1"/>
      <c r="T179" s="1"/>
      <c r="U179" s="1"/>
      <c r="V179" s="1"/>
      <c r="W179" s="46"/>
      <c r="X179" s="8"/>
      <c r="Y179" s="8"/>
      <c r="Z179" s="8"/>
      <c r="AA179" s="8"/>
      <c r="AB179" s="8"/>
      <c r="AC179" s="8"/>
      <c r="AD179" s="8"/>
      <c r="AE179" s="8"/>
      <c r="AF179" s="8"/>
      <c r="AG179" s="8"/>
      <c r="AH179" s="45"/>
      <c r="AI179" s="8"/>
      <c r="AJ179" s="8"/>
      <c r="AK179" s="8"/>
      <c r="AL179" s="8"/>
      <c r="AM179" s="8"/>
      <c r="AN179" s="8"/>
      <c r="AO179" s="8"/>
      <c r="AP179" s="8"/>
      <c r="AQ179" s="8"/>
      <c r="AR179" s="8"/>
      <c r="AS179" s="1"/>
      <c r="AT179" s="1"/>
      <c r="AU179" s="1"/>
      <c r="AV179" s="1"/>
      <c r="AW179" s="1"/>
      <c r="AX179" s="1"/>
      <c r="AY179" s="1"/>
      <c r="AZ179" s="1"/>
    </row>
    <row r="180" spans="1:52" x14ac:dyDescent="0.25">
      <c r="A180" s="1"/>
      <c r="B180" s="1"/>
      <c r="C180" s="1"/>
      <c r="D180" s="27"/>
      <c r="E180" s="38"/>
      <c r="F180" s="38"/>
      <c r="G180" s="38"/>
      <c r="H180" s="38"/>
      <c r="I180" s="38"/>
      <c r="J180" s="38"/>
      <c r="K180" s="1"/>
      <c r="L180" s="1"/>
      <c r="M180" s="1"/>
      <c r="N180" s="1"/>
      <c r="O180" s="1"/>
      <c r="P180" s="1"/>
      <c r="Q180" s="1"/>
      <c r="R180" s="1"/>
      <c r="S180" s="1"/>
      <c r="T180" s="1"/>
      <c r="U180" s="1"/>
      <c r="V180" s="1"/>
      <c r="W180" s="46"/>
      <c r="X180" s="8"/>
      <c r="Y180" s="8"/>
      <c r="Z180" s="8"/>
      <c r="AA180" s="8"/>
      <c r="AB180" s="8"/>
      <c r="AC180" s="8"/>
      <c r="AD180" s="8"/>
      <c r="AE180" s="8"/>
      <c r="AF180" s="8"/>
      <c r="AG180" s="8"/>
      <c r="AH180" s="45"/>
      <c r="AI180" s="8"/>
      <c r="AJ180" s="8"/>
      <c r="AK180" s="8"/>
      <c r="AL180" s="8"/>
      <c r="AM180" s="8"/>
      <c r="AN180" s="8"/>
      <c r="AO180" s="8"/>
      <c r="AP180" s="8"/>
      <c r="AQ180" s="8"/>
      <c r="AR180" s="8"/>
      <c r="AS180" s="1"/>
      <c r="AT180" s="1"/>
      <c r="AU180" s="1"/>
      <c r="AV180" s="1"/>
      <c r="AW180" s="1"/>
      <c r="AX180" s="1"/>
      <c r="AY180" s="1"/>
      <c r="AZ180" s="1"/>
    </row>
    <row r="181" spans="1:52" x14ac:dyDescent="0.25">
      <c r="A181" s="1"/>
      <c r="B181" s="1"/>
      <c r="C181" s="1"/>
      <c r="D181" s="27"/>
      <c r="E181" s="38"/>
      <c r="F181" s="38"/>
      <c r="G181" s="38"/>
      <c r="H181" s="38"/>
      <c r="I181" s="38"/>
      <c r="J181" s="38"/>
      <c r="K181" s="1"/>
      <c r="L181" s="1"/>
      <c r="M181" s="1"/>
      <c r="N181" s="1"/>
      <c r="O181" s="1"/>
      <c r="P181" s="1"/>
      <c r="Q181" s="1"/>
      <c r="R181" s="1"/>
      <c r="S181" s="1"/>
      <c r="T181" s="1"/>
      <c r="U181" s="1"/>
      <c r="V181" s="1"/>
      <c r="W181" s="46"/>
      <c r="X181" s="8"/>
      <c r="Y181" s="8"/>
      <c r="Z181" s="8"/>
      <c r="AA181" s="8"/>
      <c r="AB181" s="8"/>
      <c r="AC181" s="8"/>
      <c r="AD181" s="8"/>
      <c r="AE181" s="8"/>
      <c r="AF181" s="8"/>
      <c r="AG181" s="8"/>
      <c r="AH181" s="45"/>
      <c r="AI181" s="8"/>
      <c r="AJ181" s="8"/>
      <c r="AK181" s="8"/>
      <c r="AL181" s="8"/>
      <c r="AM181" s="8"/>
      <c r="AN181" s="8"/>
      <c r="AO181" s="8"/>
      <c r="AP181" s="8"/>
      <c r="AQ181" s="8"/>
      <c r="AR181" s="8"/>
      <c r="AS181" s="1"/>
      <c r="AT181" s="1"/>
      <c r="AU181" s="1"/>
      <c r="AV181" s="1"/>
      <c r="AW181" s="1"/>
      <c r="AX181" s="1"/>
      <c r="AY181" s="1"/>
      <c r="AZ181" s="1"/>
    </row>
    <row r="182" spans="1:52" x14ac:dyDescent="0.25">
      <c r="A182" s="1"/>
      <c r="B182" s="1"/>
      <c r="C182" s="1"/>
      <c r="D182" s="27"/>
      <c r="E182" s="38"/>
      <c r="F182" s="38"/>
      <c r="G182" s="38"/>
      <c r="H182" s="38"/>
      <c r="I182" s="38"/>
      <c r="J182" s="38"/>
      <c r="K182" s="1"/>
      <c r="L182" s="1"/>
      <c r="M182" s="1"/>
      <c r="N182" s="1"/>
      <c r="O182" s="1"/>
      <c r="P182" s="1"/>
      <c r="Q182" s="1"/>
      <c r="R182" s="1"/>
      <c r="S182" s="1"/>
      <c r="T182" s="1"/>
      <c r="U182" s="1"/>
      <c r="V182" s="1"/>
      <c r="W182" s="46"/>
      <c r="X182" s="8"/>
      <c r="Y182" s="8"/>
      <c r="Z182" s="8"/>
      <c r="AA182" s="8"/>
      <c r="AB182" s="8"/>
      <c r="AC182" s="8"/>
      <c r="AD182" s="8"/>
      <c r="AE182" s="8"/>
      <c r="AF182" s="8"/>
      <c r="AG182" s="8"/>
      <c r="AH182" s="45"/>
      <c r="AI182" s="8"/>
      <c r="AJ182" s="8"/>
      <c r="AK182" s="8"/>
      <c r="AL182" s="8"/>
      <c r="AM182" s="8"/>
      <c r="AN182" s="8"/>
      <c r="AO182" s="8"/>
      <c r="AP182" s="8"/>
      <c r="AQ182" s="8"/>
      <c r="AR182" s="8"/>
      <c r="AS182" s="1"/>
      <c r="AT182" s="1"/>
      <c r="AU182" s="1"/>
      <c r="AV182" s="1"/>
      <c r="AW182" s="1"/>
      <c r="AX182" s="1"/>
      <c r="AY182" s="1"/>
      <c r="AZ182" s="1"/>
    </row>
    <row r="183" spans="1:52" x14ac:dyDescent="0.25">
      <c r="A183" s="1"/>
      <c r="B183" s="1"/>
      <c r="C183" s="1"/>
      <c r="D183" s="27"/>
      <c r="E183" s="38"/>
      <c r="F183" s="38"/>
      <c r="G183" s="38"/>
      <c r="H183" s="38"/>
      <c r="I183" s="38"/>
      <c r="J183" s="38"/>
      <c r="K183" s="1"/>
      <c r="L183" s="1"/>
      <c r="M183" s="1"/>
      <c r="N183" s="1"/>
      <c r="O183" s="1"/>
      <c r="P183" s="1"/>
      <c r="Q183" s="1"/>
      <c r="R183" s="1"/>
      <c r="S183" s="1"/>
      <c r="T183" s="1"/>
      <c r="U183" s="1"/>
      <c r="V183" s="1"/>
      <c r="W183" s="46"/>
      <c r="X183" s="8"/>
      <c r="Y183" s="8"/>
      <c r="Z183" s="8"/>
      <c r="AA183" s="8"/>
      <c r="AB183" s="8"/>
      <c r="AC183" s="8"/>
      <c r="AD183" s="8"/>
      <c r="AE183" s="8"/>
      <c r="AF183" s="8"/>
      <c r="AG183" s="8"/>
      <c r="AH183" s="45"/>
      <c r="AI183" s="8"/>
      <c r="AJ183" s="8"/>
      <c r="AK183" s="8"/>
      <c r="AL183" s="8"/>
      <c r="AM183" s="8"/>
      <c r="AN183" s="8"/>
      <c r="AO183" s="8"/>
      <c r="AP183" s="8"/>
      <c r="AQ183" s="8"/>
      <c r="AR183" s="8"/>
      <c r="AS183" s="1"/>
      <c r="AT183" s="1"/>
      <c r="AU183" s="1"/>
      <c r="AV183" s="1"/>
      <c r="AW183" s="1"/>
      <c r="AX183" s="1"/>
      <c r="AY183" s="1"/>
      <c r="AZ183" s="1"/>
    </row>
    <row r="184" spans="1:52" x14ac:dyDescent="0.25">
      <c r="A184" s="1"/>
      <c r="B184" s="1"/>
      <c r="C184" s="1"/>
      <c r="D184" s="27"/>
      <c r="E184" s="38"/>
      <c r="F184" s="38"/>
      <c r="G184" s="38"/>
      <c r="H184" s="38"/>
      <c r="I184" s="38"/>
      <c r="J184" s="38"/>
      <c r="K184" s="1"/>
      <c r="L184" s="1"/>
      <c r="M184" s="1"/>
      <c r="N184" s="1"/>
      <c r="O184" s="1"/>
      <c r="P184" s="1"/>
      <c r="Q184" s="1"/>
      <c r="R184" s="1"/>
      <c r="S184" s="1"/>
      <c r="T184" s="1"/>
      <c r="U184" s="1"/>
      <c r="V184" s="1"/>
      <c r="W184" s="46"/>
      <c r="X184" s="8"/>
      <c r="Y184" s="8"/>
      <c r="Z184" s="8"/>
      <c r="AA184" s="8"/>
      <c r="AB184" s="8"/>
      <c r="AC184" s="8"/>
      <c r="AD184" s="8"/>
      <c r="AE184" s="8"/>
      <c r="AF184" s="8"/>
      <c r="AG184" s="8"/>
      <c r="AH184" s="45"/>
      <c r="AI184" s="8"/>
      <c r="AJ184" s="8"/>
      <c r="AK184" s="8"/>
      <c r="AL184" s="8"/>
      <c r="AM184" s="8"/>
      <c r="AN184" s="8"/>
      <c r="AO184" s="8"/>
      <c r="AP184" s="8"/>
      <c r="AQ184" s="8"/>
      <c r="AR184" s="8"/>
      <c r="AS184" s="1"/>
      <c r="AT184" s="1"/>
      <c r="AU184" s="1"/>
      <c r="AV184" s="1"/>
      <c r="AW184" s="1"/>
      <c r="AX184" s="1"/>
      <c r="AY184" s="1"/>
      <c r="AZ184" s="1"/>
    </row>
    <row r="185" spans="1:52" x14ac:dyDescent="0.25">
      <c r="A185" s="1"/>
      <c r="B185" s="1"/>
      <c r="C185" s="1"/>
      <c r="D185" s="27"/>
      <c r="E185" s="38"/>
      <c r="F185" s="38"/>
      <c r="G185" s="38"/>
      <c r="H185" s="38"/>
      <c r="I185" s="38"/>
      <c r="J185" s="38"/>
      <c r="K185" s="1"/>
      <c r="L185" s="1"/>
      <c r="M185" s="1"/>
      <c r="N185" s="1"/>
      <c r="O185" s="1"/>
      <c r="P185" s="1"/>
      <c r="Q185" s="1"/>
      <c r="R185" s="1"/>
      <c r="S185" s="1"/>
      <c r="T185" s="1"/>
      <c r="U185" s="1"/>
      <c r="V185" s="1"/>
      <c r="W185" s="46"/>
      <c r="X185" s="8"/>
      <c r="Y185" s="8"/>
      <c r="Z185" s="8"/>
      <c r="AA185" s="8"/>
      <c r="AB185" s="8"/>
      <c r="AC185" s="8"/>
      <c r="AD185" s="8"/>
      <c r="AE185" s="8"/>
      <c r="AF185" s="8"/>
      <c r="AG185" s="8"/>
      <c r="AH185" s="45"/>
      <c r="AI185" s="8"/>
      <c r="AJ185" s="8"/>
      <c r="AK185" s="8"/>
      <c r="AL185" s="8"/>
      <c r="AM185" s="8"/>
      <c r="AN185" s="8"/>
      <c r="AO185" s="8"/>
      <c r="AP185" s="8"/>
      <c r="AQ185" s="8"/>
      <c r="AR185" s="8"/>
      <c r="AS185" s="1"/>
      <c r="AT185" s="1"/>
      <c r="AU185" s="1"/>
      <c r="AV185" s="1"/>
      <c r="AW185" s="1"/>
      <c r="AX185" s="1"/>
      <c r="AY185" s="1"/>
      <c r="AZ185" s="1"/>
    </row>
    <row r="186" spans="1:52" x14ac:dyDescent="0.25">
      <c r="A186" s="1"/>
      <c r="B186" s="1"/>
      <c r="C186" s="1"/>
      <c r="D186" s="27"/>
      <c r="E186" s="38"/>
      <c r="F186" s="38"/>
      <c r="G186" s="38"/>
      <c r="H186" s="38"/>
      <c r="I186" s="38"/>
      <c r="J186" s="38"/>
      <c r="K186" s="1"/>
      <c r="L186" s="1"/>
      <c r="M186" s="1"/>
      <c r="N186" s="1"/>
      <c r="O186" s="1"/>
      <c r="P186" s="1"/>
      <c r="Q186" s="1"/>
      <c r="R186" s="1"/>
      <c r="S186" s="1"/>
      <c r="T186" s="1"/>
      <c r="U186" s="1"/>
      <c r="V186" s="1"/>
      <c r="W186" s="46"/>
      <c r="X186" s="8"/>
      <c r="Y186" s="8"/>
      <c r="Z186" s="8"/>
      <c r="AA186" s="8"/>
      <c r="AB186" s="8"/>
      <c r="AC186" s="8"/>
      <c r="AD186" s="8"/>
      <c r="AE186" s="8"/>
      <c r="AF186" s="8"/>
      <c r="AG186" s="8"/>
      <c r="AH186" s="45"/>
      <c r="AI186" s="8"/>
      <c r="AJ186" s="8"/>
      <c r="AK186" s="8"/>
      <c r="AL186" s="8"/>
      <c r="AM186" s="8"/>
      <c r="AN186" s="8"/>
      <c r="AO186" s="8"/>
      <c r="AP186" s="8"/>
      <c r="AQ186" s="8"/>
      <c r="AR186" s="8"/>
      <c r="AS186" s="1"/>
      <c r="AT186" s="1"/>
      <c r="AU186" s="1"/>
      <c r="AV186" s="1"/>
      <c r="AW186" s="1"/>
      <c r="AX186" s="1"/>
      <c r="AY186" s="1"/>
      <c r="AZ186" s="1"/>
    </row>
    <row r="187" spans="1:52" x14ac:dyDescent="0.25">
      <c r="A187" s="1"/>
      <c r="B187" s="1"/>
      <c r="C187" s="1"/>
      <c r="D187" s="27"/>
      <c r="E187" s="38"/>
      <c r="F187" s="38"/>
      <c r="G187" s="38"/>
      <c r="H187" s="38"/>
      <c r="I187" s="38"/>
      <c r="J187" s="38"/>
      <c r="K187" s="1"/>
      <c r="L187" s="1"/>
      <c r="M187" s="1"/>
      <c r="N187" s="1"/>
      <c r="O187" s="1"/>
      <c r="P187" s="1"/>
      <c r="Q187" s="1"/>
      <c r="R187" s="1"/>
      <c r="S187" s="1"/>
      <c r="T187" s="1"/>
      <c r="U187" s="1"/>
      <c r="V187" s="1"/>
      <c r="W187" s="46"/>
      <c r="X187" s="8"/>
      <c r="Y187" s="8"/>
      <c r="Z187" s="8"/>
      <c r="AA187" s="8"/>
      <c r="AB187" s="8"/>
      <c r="AC187" s="8"/>
      <c r="AD187" s="8"/>
      <c r="AE187" s="8"/>
      <c r="AF187" s="8"/>
      <c r="AG187" s="8"/>
      <c r="AH187" s="45"/>
      <c r="AI187" s="8"/>
      <c r="AJ187" s="8"/>
      <c r="AK187" s="8"/>
      <c r="AL187" s="8"/>
      <c r="AM187" s="8"/>
      <c r="AN187" s="8"/>
      <c r="AO187" s="8"/>
      <c r="AP187" s="8"/>
      <c r="AQ187" s="8"/>
      <c r="AR187" s="8"/>
      <c r="AS187" s="1"/>
      <c r="AT187" s="1"/>
      <c r="AU187" s="1"/>
      <c r="AV187" s="1"/>
      <c r="AW187" s="1"/>
      <c r="AX187" s="1"/>
      <c r="AY187" s="1"/>
      <c r="AZ187" s="1"/>
    </row>
    <row r="188" spans="1:52" x14ac:dyDescent="0.25">
      <c r="A188" s="1"/>
      <c r="B188" s="1"/>
      <c r="C188" s="1"/>
      <c r="D188" s="27"/>
      <c r="E188" s="38"/>
      <c r="F188" s="38"/>
      <c r="G188" s="38"/>
      <c r="H188" s="38"/>
      <c r="I188" s="38"/>
      <c r="J188" s="38"/>
      <c r="K188" s="1"/>
      <c r="L188" s="1"/>
      <c r="M188" s="1"/>
      <c r="N188" s="1"/>
      <c r="O188" s="1"/>
      <c r="P188" s="1"/>
      <c r="Q188" s="1"/>
      <c r="R188" s="1"/>
      <c r="S188" s="1"/>
      <c r="T188" s="1"/>
      <c r="U188" s="1"/>
      <c r="V188" s="1"/>
      <c r="W188" s="46"/>
      <c r="X188" s="8"/>
      <c r="Y188" s="8"/>
      <c r="Z188" s="8"/>
      <c r="AA188" s="8"/>
      <c r="AB188" s="8"/>
      <c r="AC188" s="8"/>
      <c r="AD188" s="8"/>
      <c r="AE188" s="8"/>
      <c r="AF188" s="8"/>
      <c r="AG188" s="8"/>
      <c r="AH188" s="45"/>
      <c r="AI188" s="8"/>
      <c r="AJ188" s="8"/>
      <c r="AK188" s="8"/>
      <c r="AL188" s="8"/>
      <c r="AM188" s="8"/>
      <c r="AN188" s="8"/>
      <c r="AO188" s="8"/>
      <c r="AP188" s="8"/>
      <c r="AQ188" s="8"/>
      <c r="AR188" s="8"/>
      <c r="AS188" s="1"/>
      <c r="AT188" s="1"/>
      <c r="AU188" s="1"/>
      <c r="AV188" s="1"/>
      <c r="AW188" s="1"/>
      <c r="AX188" s="1"/>
      <c r="AY188" s="1"/>
      <c r="AZ188" s="1"/>
    </row>
    <row r="189" spans="1:52" x14ac:dyDescent="0.25">
      <c r="A189" s="1"/>
      <c r="B189" s="1"/>
      <c r="C189" s="1"/>
      <c r="D189" s="27"/>
      <c r="E189" s="38"/>
      <c r="F189" s="38"/>
      <c r="G189" s="38"/>
      <c r="H189" s="38"/>
      <c r="I189" s="38"/>
      <c r="J189" s="38"/>
      <c r="K189" s="1"/>
      <c r="L189" s="1"/>
      <c r="M189" s="1"/>
      <c r="N189" s="1"/>
      <c r="O189" s="1"/>
      <c r="P189" s="1"/>
      <c r="Q189" s="1"/>
      <c r="R189" s="1"/>
      <c r="S189" s="1"/>
      <c r="T189" s="1"/>
      <c r="U189" s="1"/>
      <c r="V189" s="1"/>
      <c r="W189" s="46"/>
      <c r="X189" s="8"/>
      <c r="Y189" s="8"/>
      <c r="Z189" s="8"/>
      <c r="AA189" s="8"/>
      <c r="AB189" s="8"/>
      <c r="AC189" s="8"/>
      <c r="AD189" s="8"/>
      <c r="AE189" s="8"/>
      <c r="AF189" s="8"/>
      <c r="AG189" s="8"/>
      <c r="AH189" s="45"/>
      <c r="AI189" s="8"/>
      <c r="AJ189" s="8"/>
      <c r="AK189" s="8"/>
      <c r="AL189" s="8"/>
      <c r="AM189" s="8"/>
      <c r="AN189" s="8"/>
      <c r="AO189" s="8"/>
      <c r="AP189" s="8"/>
      <c r="AQ189" s="8"/>
      <c r="AR189" s="8"/>
      <c r="AS189" s="1"/>
      <c r="AT189" s="1"/>
      <c r="AU189" s="1"/>
      <c r="AV189" s="1"/>
      <c r="AW189" s="1"/>
      <c r="AX189" s="1"/>
      <c r="AY189" s="1"/>
      <c r="AZ189" s="1"/>
    </row>
    <row r="190" spans="1:52" x14ac:dyDescent="0.25">
      <c r="A190" s="1"/>
      <c r="B190" s="1"/>
      <c r="C190" s="1"/>
      <c r="D190" s="27"/>
      <c r="E190" s="38"/>
      <c r="F190" s="38"/>
      <c r="G190" s="38"/>
      <c r="H190" s="38"/>
      <c r="I190" s="38"/>
      <c r="J190" s="38"/>
      <c r="K190" s="1"/>
      <c r="L190" s="1"/>
      <c r="M190" s="1"/>
      <c r="N190" s="1"/>
      <c r="O190" s="1"/>
      <c r="P190" s="1"/>
      <c r="Q190" s="1"/>
      <c r="R190" s="1"/>
      <c r="S190" s="1"/>
      <c r="T190" s="1"/>
      <c r="U190" s="1"/>
      <c r="V190" s="1"/>
      <c r="W190" s="46"/>
      <c r="X190" s="8"/>
      <c r="Y190" s="8"/>
      <c r="Z190" s="8"/>
      <c r="AA190" s="8"/>
      <c r="AB190" s="8"/>
      <c r="AC190" s="8"/>
      <c r="AD190" s="8"/>
      <c r="AE190" s="8"/>
      <c r="AF190" s="8"/>
      <c r="AG190" s="8"/>
      <c r="AH190" s="45"/>
      <c r="AI190" s="8"/>
      <c r="AJ190" s="8"/>
      <c r="AK190" s="8"/>
      <c r="AL190" s="8"/>
      <c r="AM190" s="8"/>
      <c r="AN190" s="8"/>
      <c r="AO190" s="8"/>
      <c r="AP190" s="8"/>
      <c r="AQ190" s="8"/>
      <c r="AR190" s="8"/>
      <c r="AS190" s="1"/>
      <c r="AT190" s="1"/>
      <c r="AU190" s="1"/>
      <c r="AV190" s="1"/>
      <c r="AW190" s="1"/>
      <c r="AX190" s="1"/>
      <c r="AY190" s="1"/>
      <c r="AZ190" s="1"/>
    </row>
    <row r="191" spans="1:52" x14ac:dyDescent="0.25">
      <c r="A191" s="1"/>
      <c r="B191" s="1"/>
      <c r="C191" s="1"/>
      <c r="D191" s="27"/>
      <c r="E191" s="38"/>
      <c r="F191" s="38"/>
      <c r="G191" s="38"/>
      <c r="H191" s="38"/>
      <c r="I191" s="38"/>
      <c r="J191" s="38"/>
      <c r="K191" s="1"/>
      <c r="L191" s="1"/>
      <c r="M191" s="1"/>
      <c r="N191" s="1"/>
      <c r="O191" s="1"/>
      <c r="P191" s="1"/>
      <c r="Q191" s="1"/>
      <c r="R191" s="1"/>
      <c r="S191" s="1"/>
      <c r="T191" s="1"/>
      <c r="U191" s="1"/>
      <c r="V191" s="1"/>
      <c r="W191" s="46"/>
      <c r="X191" s="8"/>
      <c r="Y191" s="8"/>
      <c r="Z191" s="8"/>
      <c r="AA191" s="8"/>
      <c r="AB191" s="8"/>
      <c r="AC191" s="8"/>
      <c r="AD191" s="8"/>
      <c r="AE191" s="8"/>
      <c r="AF191" s="8"/>
      <c r="AG191" s="8"/>
      <c r="AH191" s="45"/>
      <c r="AI191" s="8"/>
      <c r="AJ191" s="8"/>
      <c r="AK191" s="8"/>
      <c r="AL191" s="8"/>
      <c r="AM191" s="8"/>
      <c r="AN191" s="8"/>
      <c r="AO191" s="8"/>
      <c r="AP191" s="8"/>
      <c r="AQ191" s="8"/>
      <c r="AR191" s="8"/>
      <c r="AS191" s="1"/>
      <c r="AT191" s="1"/>
      <c r="AU191" s="1"/>
      <c r="AV191" s="1"/>
      <c r="AW191" s="1"/>
      <c r="AX191" s="1"/>
      <c r="AY191" s="1"/>
      <c r="AZ191" s="1"/>
    </row>
    <row r="192" spans="1:52" x14ac:dyDescent="0.25">
      <c r="A192" s="1"/>
      <c r="B192" s="1"/>
      <c r="C192" s="1"/>
      <c r="D192" s="27"/>
      <c r="E192" s="38"/>
      <c r="F192" s="38"/>
      <c r="G192" s="38"/>
      <c r="H192" s="38"/>
      <c r="I192" s="38"/>
      <c r="J192" s="38"/>
      <c r="K192" s="1"/>
      <c r="L192" s="1"/>
      <c r="M192" s="1"/>
      <c r="N192" s="1"/>
      <c r="O192" s="1"/>
      <c r="P192" s="1"/>
      <c r="Q192" s="1"/>
      <c r="R192" s="1"/>
      <c r="S192" s="1"/>
      <c r="T192" s="1"/>
      <c r="U192" s="1"/>
      <c r="V192" s="1"/>
      <c r="W192" s="46"/>
      <c r="X192" s="8"/>
      <c r="Y192" s="8"/>
      <c r="Z192" s="8"/>
      <c r="AA192" s="8"/>
      <c r="AB192" s="8"/>
      <c r="AC192" s="8"/>
      <c r="AD192" s="8"/>
      <c r="AE192" s="8"/>
      <c r="AF192" s="8"/>
      <c r="AG192" s="8"/>
      <c r="AH192" s="45"/>
      <c r="AI192" s="8"/>
      <c r="AJ192" s="8"/>
      <c r="AK192" s="8"/>
      <c r="AL192" s="8"/>
      <c r="AM192" s="8"/>
      <c r="AN192" s="8"/>
      <c r="AO192" s="8"/>
      <c r="AP192" s="8"/>
      <c r="AQ192" s="8"/>
      <c r="AR192" s="8"/>
      <c r="AS192" s="1"/>
      <c r="AT192" s="1"/>
      <c r="AU192" s="1"/>
      <c r="AV192" s="1"/>
      <c r="AW192" s="1"/>
      <c r="AX192" s="1"/>
      <c r="AY192" s="1"/>
      <c r="AZ192" s="1"/>
    </row>
    <row r="193" spans="1:52" x14ac:dyDescent="0.25">
      <c r="A193" s="1"/>
      <c r="B193" s="1"/>
      <c r="C193" s="1"/>
      <c r="D193" s="27"/>
      <c r="E193" s="38"/>
      <c r="F193" s="38"/>
      <c r="G193" s="38"/>
      <c r="H193" s="38"/>
      <c r="I193" s="38"/>
      <c r="J193" s="38"/>
      <c r="K193" s="1"/>
      <c r="L193" s="1"/>
      <c r="M193" s="1"/>
      <c r="N193" s="1"/>
      <c r="O193" s="1"/>
      <c r="P193" s="1"/>
      <c r="Q193" s="1"/>
      <c r="R193" s="1"/>
      <c r="S193" s="1"/>
      <c r="T193" s="1"/>
      <c r="U193" s="1"/>
      <c r="V193" s="1"/>
      <c r="W193" s="46"/>
      <c r="X193" s="8"/>
      <c r="Y193" s="8"/>
      <c r="Z193" s="8"/>
      <c r="AA193" s="8"/>
      <c r="AB193" s="8"/>
      <c r="AC193" s="8"/>
      <c r="AD193" s="8"/>
      <c r="AE193" s="8"/>
      <c r="AF193" s="8"/>
      <c r="AG193" s="8"/>
      <c r="AH193" s="45"/>
      <c r="AI193" s="8"/>
      <c r="AJ193" s="8"/>
      <c r="AK193" s="8"/>
      <c r="AL193" s="8"/>
      <c r="AM193" s="8"/>
      <c r="AN193" s="8"/>
      <c r="AO193" s="8"/>
      <c r="AP193" s="8"/>
      <c r="AQ193" s="8"/>
      <c r="AR193" s="8"/>
      <c r="AS193" s="1"/>
      <c r="AT193" s="1"/>
      <c r="AU193" s="1"/>
      <c r="AV193" s="1"/>
      <c r="AW193" s="1"/>
      <c r="AX193" s="1"/>
      <c r="AY193" s="1"/>
      <c r="AZ193" s="1"/>
    </row>
    <row r="194" spans="1:52" x14ac:dyDescent="0.25">
      <c r="A194" s="1"/>
      <c r="B194" s="1"/>
      <c r="C194" s="1"/>
      <c r="D194" s="27"/>
      <c r="E194" s="38"/>
      <c r="F194" s="38"/>
      <c r="G194" s="38"/>
      <c r="H194" s="38"/>
      <c r="I194" s="38"/>
      <c r="J194" s="38"/>
      <c r="K194" s="1"/>
      <c r="L194" s="1"/>
      <c r="M194" s="1"/>
      <c r="N194" s="1"/>
      <c r="O194" s="1"/>
      <c r="P194" s="1"/>
      <c r="Q194" s="1"/>
      <c r="R194" s="1"/>
      <c r="S194" s="1"/>
      <c r="T194" s="1"/>
      <c r="U194" s="1"/>
      <c r="V194" s="1"/>
      <c r="W194" s="46"/>
      <c r="X194" s="8"/>
      <c r="Y194" s="8"/>
      <c r="Z194" s="8"/>
      <c r="AA194" s="8"/>
      <c r="AB194" s="8"/>
      <c r="AC194" s="8"/>
      <c r="AD194" s="8"/>
      <c r="AE194" s="8"/>
      <c r="AF194" s="8"/>
      <c r="AG194" s="8"/>
      <c r="AH194" s="45"/>
      <c r="AI194" s="8"/>
      <c r="AJ194" s="8"/>
      <c r="AK194" s="8"/>
      <c r="AL194" s="8"/>
      <c r="AM194" s="8"/>
      <c r="AN194" s="8"/>
      <c r="AO194" s="8"/>
      <c r="AP194" s="8"/>
      <c r="AQ194" s="8"/>
      <c r="AR194" s="8"/>
      <c r="AS194" s="1"/>
      <c r="AT194" s="1"/>
      <c r="AU194" s="1"/>
      <c r="AV194" s="1"/>
      <c r="AW194" s="1"/>
      <c r="AX194" s="1"/>
      <c r="AY194" s="1"/>
      <c r="AZ194" s="1"/>
    </row>
    <row r="195" spans="1:52" x14ac:dyDescent="0.25">
      <c r="A195" s="1"/>
      <c r="B195" s="1"/>
      <c r="C195" s="1"/>
      <c r="D195" s="27"/>
      <c r="E195" s="38"/>
      <c r="F195" s="38"/>
      <c r="G195" s="38"/>
      <c r="H195" s="38"/>
      <c r="I195" s="38"/>
      <c r="J195" s="38"/>
      <c r="K195" s="1"/>
      <c r="L195" s="1"/>
      <c r="M195" s="1"/>
      <c r="N195" s="1"/>
      <c r="O195" s="1"/>
      <c r="P195" s="1"/>
      <c r="Q195" s="1"/>
      <c r="R195" s="1"/>
      <c r="S195" s="1"/>
      <c r="T195" s="1"/>
      <c r="U195" s="1"/>
      <c r="V195" s="1"/>
      <c r="W195" s="46"/>
      <c r="X195" s="8"/>
      <c r="Y195" s="8"/>
      <c r="Z195" s="8"/>
      <c r="AA195" s="8"/>
      <c r="AB195" s="8"/>
      <c r="AC195" s="8"/>
      <c r="AD195" s="8"/>
      <c r="AE195" s="8"/>
      <c r="AF195" s="8"/>
      <c r="AG195" s="8"/>
      <c r="AH195" s="45"/>
      <c r="AI195" s="8"/>
      <c r="AJ195" s="8"/>
      <c r="AK195" s="8"/>
      <c r="AL195" s="8"/>
      <c r="AM195" s="8"/>
      <c r="AN195" s="8"/>
      <c r="AO195" s="8"/>
      <c r="AP195" s="8"/>
      <c r="AQ195" s="8"/>
      <c r="AR195" s="8"/>
      <c r="AS195" s="1"/>
      <c r="AT195" s="1"/>
      <c r="AU195" s="1"/>
      <c r="AV195" s="1"/>
      <c r="AW195" s="1"/>
      <c r="AX195" s="1"/>
      <c r="AY195" s="1"/>
      <c r="AZ195" s="1"/>
    </row>
    <row r="196" spans="1:52" x14ac:dyDescent="0.25">
      <c r="A196" s="1"/>
      <c r="B196" s="1"/>
      <c r="C196" s="1"/>
      <c r="D196" s="27"/>
      <c r="E196" s="38"/>
      <c r="F196" s="38"/>
      <c r="G196" s="38"/>
      <c r="H196" s="38"/>
      <c r="I196" s="38"/>
      <c r="J196" s="38"/>
      <c r="K196" s="1"/>
      <c r="L196" s="1"/>
      <c r="M196" s="1"/>
      <c r="N196" s="1"/>
      <c r="O196" s="1"/>
      <c r="P196" s="1"/>
      <c r="Q196" s="1"/>
      <c r="R196" s="1"/>
      <c r="S196" s="1"/>
      <c r="T196" s="1"/>
      <c r="U196" s="1"/>
      <c r="V196" s="1"/>
      <c r="W196" s="46"/>
      <c r="X196" s="8"/>
      <c r="Y196" s="8"/>
      <c r="Z196" s="8"/>
      <c r="AA196" s="8"/>
      <c r="AB196" s="8"/>
      <c r="AC196" s="8"/>
      <c r="AD196" s="8"/>
      <c r="AE196" s="8"/>
      <c r="AF196" s="8"/>
      <c r="AG196" s="8"/>
      <c r="AH196" s="45"/>
      <c r="AI196" s="8"/>
      <c r="AJ196" s="8"/>
      <c r="AK196" s="8"/>
      <c r="AL196" s="8"/>
      <c r="AM196" s="8"/>
      <c r="AN196" s="8"/>
      <c r="AO196" s="8"/>
      <c r="AP196" s="8"/>
      <c r="AQ196" s="8"/>
      <c r="AR196" s="8"/>
      <c r="AS196" s="1"/>
      <c r="AT196" s="1"/>
      <c r="AU196" s="1"/>
      <c r="AV196" s="1"/>
      <c r="AW196" s="1"/>
      <c r="AX196" s="1"/>
      <c r="AY196" s="1"/>
      <c r="AZ196" s="1"/>
    </row>
    <row r="197" spans="1:52" x14ac:dyDescent="0.25">
      <c r="A197" s="1"/>
      <c r="B197" s="1"/>
      <c r="C197" s="1"/>
      <c r="D197" s="27"/>
      <c r="E197" s="38"/>
      <c r="F197" s="38"/>
      <c r="G197" s="38"/>
      <c r="H197" s="38"/>
      <c r="I197" s="38"/>
      <c r="J197" s="38"/>
      <c r="K197" s="1"/>
      <c r="L197" s="1"/>
      <c r="M197" s="1"/>
      <c r="N197" s="1"/>
      <c r="O197" s="1"/>
      <c r="P197" s="1"/>
      <c r="Q197" s="1"/>
      <c r="R197" s="1"/>
      <c r="S197" s="1"/>
      <c r="T197" s="1"/>
      <c r="U197" s="1"/>
      <c r="V197" s="1"/>
      <c r="W197" s="46"/>
      <c r="X197" s="8"/>
      <c r="Y197" s="8"/>
      <c r="Z197" s="8"/>
      <c r="AA197" s="8"/>
      <c r="AB197" s="8"/>
      <c r="AC197" s="8"/>
      <c r="AD197" s="8"/>
      <c r="AE197" s="8"/>
      <c r="AF197" s="8"/>
      <c r="AG197" s="8"/>
      <c r="AH197" s="45"/>
      <c r="AI197" s="8"/>
      <c r="AJ197" s="8"/>
      <c r="AK197" s="8"/>
      <c r="AL197" s="8"/>
      <c r="AM197" s="8"/>
      <c r="AN197" s="8"/>
      <c r="AO197" s="8"/>
      <c r="AP197" s="8"/>
      <c r="AQ197" s="8"/>
      <c r="AR197" s="8"/>
      <c r="AS197" s="1"/>
      <c r="AT197" s="1"/>
      <c r="AU197" s="1"/>
      <c r="AV197" s="1"/>
      <c r="AW197" s="1"/>
      <c r="AX197" s="1"/>
      <c r="AY197" s="1"/>
      <c r="AZ197" s="1"/>
    </row>
    <row r="198" spans="1:52" x14ac:dyDescent="0.25">
      <c r="A198" s="1"/>
      <c r="B198" s="1"/>
      <c r="C198" s="1"/>
      <c r="D198" s="27"/>
      <c r="E198" s="38"/>
      <c r="F198" s="38"/>
      <c r="G198" s="38"/>
      <c r="H198" s="38"/>
      <c r="I198" s="38"/>
      <c r="J198" s="38"/>
      <c r="K198" s="1"/>
      <c r="L198" s="1"/>
      <c r="M198" s="1"/>
      <c r="N198" s="1"/>
      <c r="O198" s="1"/>
      <c r="P198" s="1"/>
      <c r="Q198" s="1"/>
      <c r="R198" s="1"/>
      <c r="S198" s="1"/>
      <c r="T198" s="1"/>
      <c r="U198" s="1"/>
      <c r="V198" s="1"/>
      <c r="W198" s="46"/>
      <c r="X198" s="8"/>
      <c r="Y198" s="8"/>
      <c r="Z198" s="8"/>
      <c r="AA198" s="8"/>
      <c r="AB198" s="8"/>
      <c r="AC198" s="8"/>
      <c r="AD198" s="8"/>
      <c r="AE198" s="8"/>
      <c r="AF198" s="8"/>
      <c r="AG198" s="8"/>
      <c r="AH198" s="45"/>
      <c r="AI198" s="8"/>
      <c r="AJ198" s="8"/>
      <c r="AK198" s="8"/>
      <c r="AL198" s="8"/>
      <c r="AM198" s="8"/>
      <c r="AN198" s="8"/>
      <c r="AO198" s="8"/>
      <c r="AP198" s="8"/>
      <c r="AQ198" s="8"/>
      <c r="AR198" s="8"/>
      <c r="AS198" s="1"/>
      <c r="AT198" s="1"/>
      <c r="AU198" s="1"/>
      <c r="AV198" s="1"/>
      <c r="AW198" s="1"/>
      <c r="AX198" s="1"/>
      <c r="AY198" s="1"/>
      <c r="AZ198" s="1"/>
    </row>
    <row r="199" spans="1:52" x14ac:dyDescent="0.25">
      <c r="A199" s="1"/>
      <c r="B199" s="1"/>
      <c r="C199" s="1"/>
      <c r="D199" s="27"/>
      <c r="E199" s="38"/>
      <c r="F199" s="38"/>
      <c r="G199" s="38"/>
      <c r="H199" s="38"/>
      <c r="I199" s="38"/>
      <c r="J199" s="38"/>
      <c r="K199" s="1"/>
      <c r="L199" s="1"/>
      <c r="M199" s="1"/>
      <c r="N199" s="1"/>
      <c r="O199" s="1"/>
      <c r="P199" s="1"/>
      <c r="Q199" s="1"/>
      <c r="R199" s="1"/>
      <c r="S199" s="1"/>
      <c r="T199" s="1"/>
      <c r="U199" s="1"/>
      <c r="V199" s="1"/>
      <c r="W199" s="46"/>
      <c r="X199" s="8"/>
      <c r="Y199" s="8"/>
      <c r="Z199" s="8"/>
      <c r="AA199" s="8"/>
      <c r="AB199" s="8"/>
      <c r="AC199" s="8"/>
      <c r="AD199" s="8"/>
      <c r="AE199" s="8"/>
      <c r="AF199" s="8"/>
      <c r="AG199" s="8"/>
      <c r="AH199" s="45"/>
      <c r="AI199" s="8"/>
      <c r="AJ199" s="8"/>
      <c r="AK199" s="8"/>
      <c r="AL199" s="8"/>
      <c r="AM199" s="8"/>
      <c r="AN199" s="8"/>
      <c r="AO199" s="8"/>
      <c r="AP199" s="8"/>
      <c r="AQ199" s="8"/>
      <c r="AR199" s="8"/>
      <c r="AS199" s="1"/>
      <c r="AT199" s="1"/>
      <c r="AU199" s="1"/>
      <c r="AV199" s="1"/>
      <c r="AW199" s="1"/>
      <c r="AX199" s="1"/>
      <c r="AY199" s="1"/>
      <c r="AZ199" s="1"/>
    </row>
    <row r="200" spans="1:52" x14ac:dyDescent="0.25">
      <c r="A200" s="1"/>
      <c r="B200" s="1"/>
      <c r="C200" s="1"/>
      <c r="D200" s="27"/>
      <c r="E200" s="38"/>
      <c r="F200" s="38"/>
      <c r="G200" s="38"/>
      <c r="H200" s="38"/>
      <c r="I200" s="38"/>
      <c r="J200" s="38"/>
      <c r="K200" s="1"/>
      <c r="L200" s="1"/>
      <c r="M200" s="1"/>
      <c r="N200" s="1"/>
      <c r="O200" s="1"/>
      <c r="P200" s="1"/>
      <c r="Q200" s="1"/>
      <c r="R200" s="1"/>
      <c r="S200" s="1"/>
      <c r="T200" s="1"/>
      <c r="U200" s="1"/>
      <c r="V200" s="1"/>
      <c r="W200" s="46"/>
      <c r="X200" s="8"/>
      <c r="Y200" s="8"/>
      <c r="Z200" s="8"/>
      <c r="AA200" s="8"/>
      <c r="AB200" s="8"/>
      <c r="AC200" s="8"/>
      <c r="AD200" s="8"/>
      <c r="AE200" s="8"/>
      <c r="AF200" s="8"/>
      <c r="AG200" s="8"/>
      <c r="AH200" s="45"/>
      <c r="AI200" s="8"/>
      <c r="AJ200" s="8"/>
      <c r="AK200" s="8"/>
      <c r="AL200" s="8"/>
      <c r="AM200" s="8"/>
      <c r="AN200" s="8"/>
      <c r="AO200" s="8"/>
      <c r="AP200" s="8"/>
      <c r="AQ200" s="8"/>
      <c r="AR200" s="8"/>
      <c r="AS200" s="1"/>
      <c r="AT200" s="1"/>
      <c r="AU200" s="1"/>
      <c r="AV200" s="1"/>
      <c r="AW200" s="1"/>
      <c r="AX200" s="1"/>
      <c r="AY200" s="1"/>
      <c r="AZ200" s="1"/>
    </row>
    <row r="201" spans="1:52" x14ac:dyDescent="0.25">
      <c r="A201" s="1"/>
      <c r="B201" s="1"/>
      <c r="C201" s="1"/>
      <c r="D201" s="27"/>
      <c r="E201" s="38"/>
      <c r="F201" s="38"/>
      <c r="G201" s="38"/>
      <c r="H201" s="38"/>
      <c r="I201" s="38"/>
      <c r="J201" s="38"/>
      <c r="K201" s="1"/>
      <c r="L201" s="1"/>
      <c r="M201" s="1"/>
      <c r="N201" s="1"/>
      <c r="O201" s="1"/>
      <c r="P201" s="1"/>
      <c r="Q201" s="1"/>
      <c r="R201" s="1"/>
      <c r="S201" s="1"/>
      <c r="T201" s="1"/>
      <c r="U201" s="1"/>
      <c r="V201" s="1"/>
      <c r="W201" s="46"/>
      <c r="X201" s="8"/>
      <c r="Y201" s="8"/>
      <c r="Z201" s="8"/>
      <c r="AA201" s="8"/>
      <c r="AB201" s="8"/>
      <c r="AC201" s="8"/>
      <c r="AD201" s="8"/>
      <c r="AE201" s="8"/>
      <c r="AF201" s="8"/>
      <c r="AG201" s="8"/>
      <c r="AH201" s="45"/>
      <c r="AI201" s="8"/>
      <c r="AJ201" s="8"/>
      <c r="AK201" s="8"/>
      <c r="AL201" s="8"/>
      <c r="AM201" s="8"/>
      <c r="AN201" s="8"/>
      <c r="AO201" s="8"/>
      <c r="AP201" s="8"/>
      <c r="AQ201" s="8"/>
      <c r="AR201" s="8"/>
      <c r="AS201" s="1"/>
      <c r="AT201" s="1"/>
      <c r="AU201" s="1"/>
      <c r="AV201" s="1"/>
      <c r="AW201" s="1"/>
      <c r="AX201" s="1"/>
      <c r="AY201" s="1"/>
      <c r="AZ201" s="1"/>
    </row>
    <row r="202" spans="1:52" x14ac:dyDescent="0.25">
      <c r="A202" s="1"/>
      <c r="B202" s="1"/>
      <c r="C202" s="1"/>
      <c r="D202" s="27"/>
      <c r="E202" s="38"/>
      <c r="F202" s="38"/>
      <c r="G202" s="38"/>
      <c r="H202" s="38"/>
      <c r="I202" s="38"/>
      <c r="J202" s="38"/>
      <c r="K202" s="1"/>
      <c r="L202" s="1"/>
      <c r="M202" s="1"/>
      <c r="N202" s="1"/>
      <c r="O202" s="1"/>
      <c r="P202" s="1"/>
      <c r="Q202" s="1"/>
      <c r="R202" s="1"/>
      <c r="S202" s="1"/>
      <c r="T202" s="1"/>
      <c r="U202" s="1"/>
      <c r="V202" s="1"/>
      <c r="W202" s="46"/>
      <c r="X202" s="8"/>
      <c r="Y202" s="8"/>
      <c r="Z202" s="8"/>
      <c r="AA202" s="8"/>
      <c r="AB202" s="8"/>
      <c r="AC202" s="8"/>
      <c r="AD202" s="8"/>
      <c r="AE202" s="8"/>
      <c r="AF202" s="8"/>
      <c r="AG202" s="8"/>
      <c r="AH202" s="45"/>
      <c r="AI202" s="8"/>
      <c r="AJ202" s="8"/>
      <c r="AK202" s="8"/>
      <c r="AL202" s="8"/>
      <c r="AM202" s="8"/>
      <c r="AN202" s="8"/>
      <c r="AO202" s="8"/>
      <c r="AP202" s="8"/>
      <c r="AQ202" s="8"/>
      <c r="AR202" s="8"/>
      <c r="AS202" s="1"/>
      <c r="AT202" s="1"/>
      <c r="AU202" s="1"/>
      <c r="AV202" s="1"/>
      <c r="AW202" s="1"/>
      <c r="AX202" s="1"/>
      <c r="AY202" s="1"/>
      <c r="AZ202" s="1"/>
    </row>
    <row r="203" spans="1:52" x14ac:dyDescent="0.25">
      <c r="A203" s="1"/>
      <c r="B203" s="1"/>
      <c r="C203" s="1"/>
      <c r="D203" s="27"/>
      <c r="E203" s="38"/>
      <c r="F203" s="38"/>
      <c r="G203" s="38"/>
      <c r="H203" s="38"/>
      <c r="I203" s="38"/>
      <c r="J203" s="38"/>
      <c r="K203" s="1"/>
      <c r="L203" s="1"/>
      <c r="M203" s="1"/>
      <c r="N203" s="1"/>
      <c r="O203" s="1"/>
      <c r="P203" s="1"/>
      <c r="Q203" s="1"/>
      <c r="R203" s="1"/>
      <c r="S203" s="1"/>
      <c r="T203" s="1"/>
      <c r="U203" s="1"/>
      <c r="V203" s="1"/>
      <c r="W203" s="46"/>
      <c r="X203" s="8"/>
      <c r="Y203" s="8"/>
      <c r="Z203" s="8"/>
      <c r="AA203" s="8"/>
      <c r="AB203" s="8"/>
      <c r="AC203" s="8"/>
      <c r="AD203" s="8"/>
      <c r="AE203" s="8"/>
      <c r="AF203" s="8"/>
      <c r="AG203" s="8"/>
      <c r="AH203" s="45"/>
      <c r="AI203" s="8"/>
      <c r="AJ203" s="8"/>
      <c r="AK203" s="8"/>
      <c r="AL203" s="8"/>
      <c r="AM203" s="8"/>
      <c r="AN203" s="8"/>
      <c r="AO203" s="8"/>
      <c r="AP203" s="8"/>
      <c r="AQ203" s="8"/>
      <c r="AR203" s="8"/>
      <c r="AS203" s="1"/>
      <c r="AT203" s="1"/>
      <c r="AU203" s="1"/>
      <c r="AV203" s="1"/>
      <c r="AW203" s="1"/>
      <c r="AX203" s="1"/>
      <c r="AY203" s="1"/>
      <c r="AZ203" s="1"/>
    </row>
    <row r="204" spans="1:52" x14ac:dyDescent="0.25">
      <c r="A204" s="1"/>
      <c r="B204" s="1"/>
      <c r="C204" s="1"/>
      <c r="D204" s="27"/>
      <c r="E204" s="38"/>
      <c r="F204" s="38"/>
      <c r="G204" s="38"/>
      <c r="H204" s="38"/>
      <c r="I204" s="38"/>
      <c r="J204" s="38"/>
      <c r="K204" s="1"/>
      <c r="L204" s="1"/>
      <c r="M204" s="1"/>
      <c r="N204" s="1"/>
      <c r="O204" s="1"/>
      <c r="P204" s="1"/>
      <c r="Q204" s="1"/>
      <c r="R204" s="1"/>
      <c r="S204" s="1"/>
      <c r="T204" s="1"/>
      <c r="U204" s="1"/>
      <c r="V204" s="1"/>
      <c r="W204" s="46"/>
      <c r="X204" s="8"/>
      <c r="Y204" s="8"/>
      <c r="Z204" s="8"/>
      <c r="AA204" s="8"/>
      <c r="AB204" s="8"/>
      <c r="AC204" s="8"/>
      <c r="AD204" s="8"/>
      <c r="AE204" s="8"/>
      <c r="AF204" s="8"/>
      <c r="AG204" s="8"/>
      <c r="AH204" s="45"/>
      <c r="AI204" s="8"/>
      <c r="AJ204" s="8"/>
      <c r="AK204" s="8"/>
      <c r="AL204" s="8"/>
      <c r="AM204" s="8"/>
      <c r="AN204" s="8"/>
      <c r="AO204" s="8"/>
      <c r="AP204" s="8"/>
      <c r="AQ204" s="8"/>
      <c r="AR204" s="8"/>
      <c r="AS204" s="1"/>
      <c r="AT204" s="1"/>
      <c r="AU204" s="1"/>
      <c r="AV204" s="1"/>
      <c r="AW204" s="1"/>
      <c r="AX204" s="1"/>
      <c r="AY204" s="1"/>
      <c r="AZ204" s="1"/>
    </row>
    <row r="205" spans="1:52" x14ac:dyDescent="0.25">
      <c r="A205" s="1"/>
      <c r="B205" s="1"/>
      <c r="C205" s="1"/>
      <c r="D205" s="27"/>
      <c r="E205" s="38"/>
      <c r="F205" s="38"/>
      <c r="G205" s="38"/>
      <c r="H205" s="38"/>
      <c r="I205" s="38"/>
      <c r="J205" s="38"/>
      <c r="K205" s="1"/>
      <c r="L205" s="1"/>
      <c r="M205" s="1"/>
      <c r="N205" s="1"/>
      <c r="O205" s="1"/>
      <c r="P205" s="1"/>
      <c r="Q205" s="1"/>
      <c r="R205" s="1"/>
      <c r="S205" s="1"/>
      <c r="T205" s="1"/>
      <c r="U205" s="1"/>
      <c r="V205" s="1"/>
      <c r="W205" s="46"/>
      <c r="X205" s="8"/>
      <c r="Y205" s="8"/>
      <c r="Z205" s="8"/>
      <c r="AA205" s="8"/>
      <c r="AB205" s="8"/>
      <c r="AC205" s="8"/>
      <c r="AD205" s="8"/>
      <c r="AE205" s="8"/>
      <c r="AF205" s="8"/>
      <c r="AG205" s="8"/>
      <c r="AH205" s="45"/>
      <c r="AI205" s="8"/>
      <c r="AJ205" s="8"/>
      <c r="AK205" s="8"/>
      <c r="AL205" s="8"/>
      <c r="AM205" s="8"/>
      <c r="AN205" s="8"/>
      <c r="AO205" s="8"/>
      <c r="AP205" s="8"/>
      <c r="AQ205" s="8"/>
      <c r="AR205" s="8"/>
      <c r="AS205" s="1"/>
      <c r="AT205" s="1"/>
      <c r="AU205" s="1"/>
      <c r="AV205" s="1"/>
      <c r="AW205" s="1"/>
      <c r="AX205" s="1"/>
      <c r="AY205" s="1"/>
      <c r="AZ205" s="1"/>
    </row>
    <row r="206" spans="1:52" x14ac:dyDescent="0.25">
      <c r="A206" s="1"/>
      <c r="B206" s="1"/>
      <c r="C206" s="1"/>
      <c r="D206" s="27"/>
      <c r="E206" s="38"/>
      <c r="F206" s="38"/>
      <c r="G206" s="38"/>
      <c r="H206" s="38"/>
      <c r="I206" s="38"/>
      <c r="J206" s="38"/>
      <c r="K206" s="1"/>
      <c r="L206" s="1"/>
      <c r="M206" s="1"/>
      <c r="N206" s="1"/>
      <c r="O206" s="1"/>
      <c r="P206" s="1"/>
      <c r="Q206" s="1"/>
      <c r="R206" s="1"/>
      <c r="S206" s="1"/>
      <c r="T206" s="1"/>
      <c r="U206" s="1"/>
      <c r="V206" s="1"/>
      <c r="W206" s="46"/>
      <c r="X206" s="8"/>
      <c r="Y206" s="8"/>
      <c r="Z206" s="8"/>
      <c r="AA206" s="8"/>
      <c r="AB206" s="8"/>
      <c r="AC206" s="8"/>
      <c r="AD206" s="8"/>
      <c r="AE206" s="8"/>
      <c r="AF206" s="8"/>
      <c r="AG206" s="8"/>
      <c r="AH206" s="45"/>
      <c r="AI206" s="8"/>
      <c r="AJ206" s="8"/>
      <c r="AK206" s="8"/>
      <c r="AL206" s="8"/>
      <c r="AM206" s="8"/>
      <c r="AN206" s="8"/>
      <c r="AO206" s="8"/>
      <c r="AP206" s="8"/>
      <c r="AQ206" s="8"/>
      <c r="AR206" s="8"/>
      <c r="AS206" s="1"/>
      <c r="AT206" s="1"/>
      <c r="AU206" s="1"/>
      <c r="AV206" s="1"/>
      <c r="AW206" s="1"/>
      <c r="AX206" s="1"/>
      <c r="AY206" s="1"/>
      <c r="AZ206" s="1"/>
    </row>
    <row r="207" spans="1:52" x14ac:dyDescent="0.25">
      <c r="A207" s="1"/>
      <c r="B207" s="1"/>
      <c r="C207" s="1"/>
      <c r="D207" s="27"/>
      <c r="E207" s="38"/>
      <c r="F207" s="38"/>
      <c r="G207" s="38"/>
      <c r="H207" s="38"/>
      <c r="I207" s="38"/>
      <c r="J207" s="38"/>
      <c r="K207" s="1"/>
      <c r="L207" s="1"/>
      <c r="M207" s="1"/>
      <c r="N207" s="1"/>
      <c r="O207" s="1"/>
      <c r="P207" s="1"/>
      <c r="Q207" s="1"/>
      <c r="R207" s="1"/>
      <c r="S207" s="1"/>
      <c r="T207" s="1"/>
      <c r="U207" s="1"/>
      <c r="V207" s="1"/>
      <c r="W207" s="46"/>
      <c r="X207" s="8"/>
      <c r="Y207" s="8"/>
      <c r="Z207" s="8"/>
      <c r="AA207" s="8"/>
      <c r="AB207" s="8"/>
      <c r="AC207" s="8"/>
      <c r="AD207" s="8"/>
      <c r="AE207" s="8"/>
      <c r="AF207" s="8"/>
      <c r="AG207" s="8"/>
      <c r="AH207" s="45"/>
      <c r="AI207" s="8"/>
      <c r="AJ207" s="8"/>
      <c r="AK207" s="8"/>
      <c r="AL207" s="8"/>
      <c r="AM207" s="8"/>
      <c r="AN207" s="8"/>
      <c r="AO207" s="8"/>
      <c r="AP207" s="8"/>
      <c r="AQ207" s="8"/>
      <c r="AR207" s="8"/>
      <c r="AS207" s="1"/>
      <c r="AT207" s="1"/>
      <c r="AU207" s="1"/>
      <c r="AV207" s="1"/>
      <c r="AW207" s="1"/>
      <c r="AX207" s="1"/>
      <c r="AY207" s="1"/>
      <c r="AZ207" s="1"/>
    </row>
    <row r="208" spans="1:52" x14ac:dyDescent="0.25">
      <c r="A208" s="1"/>
      <c r="B208" s="1"/>
      <c r="C208" s="1"/>
      <c r="D208" s="27"/>
      <c r="E208" s="38"/>
      <c r="F208" s="38"/>
      <c r="G208" s="38"/>
      <c r="H208" s="38"/>
      <c r="I208" s="38"/>
      <c r="J208" s="38"/>
      <c r="K208" s="1"/>
      <c r="L208" s="1"/>
      <c r="M208" s="1"/>
      <c r="N208" s="1"/>
      <c r="O208" s="1"/>
      <c r="P208" s="1"/>
      <c r="Q208" s="1"/>
      <c r="R208" s="1"/>
      <c r="S208" s="1"/>
      <c r="T208" s="1"/>
      <c r="U208" s="1"/>
      <c r="V208" s="1"/>
      <c r="W208" s="46"/>
      <c r="X208" s="8"/>
      <c r="Y208" s="8"/>
      <c r="Z208" s="8"/>
      <c r="AA208" s="8"/>
      <c r="AB208" s="8"/>
      <c r="AC208" s="8"/>
      <c r="AD208" s="8"/>
      <c r="AE208" s="8"/>
      <c r="AF208" s="8"/>
      <c r="AG208" s="8"/>
      <c r="AH208" s="45"/>
      <c r="AI208" s="8"/>
      <c r="AJ208" s="8"/>
      <c r="AK208" s="8"/>
      <c r="AL208" s="8"/>
      <c r="AM208" s="8"/>
      <c r="AN208" s="8"/>
      <c r="AO208" s="8"/>
      <c r="AP208" s="8"/>
      <c r="AQ208" s="8"/>
      <c r="AR208" s="8"/>
      <c r="AS208" s="1"/>
      <c r="AT208" s="1"/>
      <c r="AU208" s="1"/>
      <c r="AV208" s="1"/>
      <c r="AW208" s="1"/>
      <c r="AX208" s="1"/>
      <c r="AY208" s="1"/>
      <c r="AZ208" s="1"/>
    </row>
    <row r="209" spans="1:52" x14ac:dyDescent="0.25">
      <c r="A209" s="1"/>
      <c r="B209" s="1"/>
      <c r="C209" s="1"/>
      <c r="D209" s="27"/>
      <c r="E209" s="38"/>
      <c r="F209" s="38"/>
      <c r="G209" s="38"/>
      <c r="H209" s="38"/>
      <c r="I209" s="38"/>
      <c r="J209" s="38"/>
      <c r="K209" s="1"/>
      <c r="L209" s="1"/>
      <c r="M209" s="1"/>
      <c r="N209" s="1"/>
      <c r="O209" s="1"/>
      <c r="P209" s="1"/>
      <c r="Q209" s="1"/>
      <c r="R209" s="1"/>
      <c r="S209" s="1"/>
      <c r="T209" s="1"/>
      <c r="U209" s="1"/>
      <c r="V209" s="1"/>
      <c r="W209" s="46"/>
      <c r="X209" s="8"/>
      <c r="Y209" s="8"/>
      <c r="Z209" s="8"/>
      <c r="AA209" s="8"/>
      <c r="AB209" s="8"/>
      <c r="AC209" s="8"/>
      <c r="AD209" s="8"/>
      <c r="AE209" s="8"/>
      <c r="AF209" s="8"/>
      <c r="AG209" s="8"/>
      <c r="AH209" s="45"/>
      <c r="AI209" s="8"/>
      <c r="AJ209" s="8"/>
      <c r="AK209" s="8"/>
      <c r="AL209" s="8"/>
      <c r="AM209" s="8"/>
      <c r="AN209" s="8"/>
      <c r="AO209" s="8"/>
      <c r="AP209" s="8"/>
      <c r="AQ209" s="8"/>
      <c r="AR209" s="8"/>
      <c r="AS209" s="1"/>
      <c r="AT209" s="1"/>
      <c r="AU209" s="1"/>
      <c r="AV209" s="1"/>
      <c r="AW209" s="1"/>
      <c r="AX209" s="1"/>
      <c r="AY209" s="1"/>
      <c r="AZ209" s="1"/>
    </row>
    <row r="210" spans="1:52" x14ac:dyDescent="0.25">
      <c r="A210" s="1"/>
      <c r="B210" s="1"/>
      <c r="C210" s="1"/>
      <c r="D210" s="27"/>
      <c r="E210" s="38"/>
      <c r="F210" s="38"/>
      <c r="G210" s="38"/>
      <c r="H210" s="38"/>
      <c r="I210" s="38"/>
      <c r="J210" s="38"/>
      <c r="K210" s="1"/>
      <c r="L210" s="1"/>
      <c r="M210" s="1"/>
      <c r="N210" s="1"/>
      <c r="O210" s="1"/>
      <c r="P210" s="1"/>
      <c r="Q210" s="1"/>
      <c r="R210" s="1"/>
      <c r="S210" s="1"/>
      <c r="T210" s="1"/>
      <c r="U210" s="1"/>
      <c r="V210" s="1"/>
      <c r="W210" s="46"/>
      <c r="X210" s="8"/>
      <c r="Y210" s="8"/>
      <c r="Z210" s="8"/>
      <c r="AA210" s="8"/>
      <c r="AB210" s="8"/>
      <c r="AC210" s="8"/>
      <c r="AD210" s="8"/>
      <c r="AE210" s="8"/>
      <c r="AF210" s="8"/>
      <c r="AG210" s="8"/>
      <c r="AH210" s="45"/>
      <c r="AI210" s="8"/>
      <c r="AJ210" s="8"/>
      <c r="AK210" s="8"/>
      <c r="AL210" s="8"/>
      <c r="AM210" s="8"/>
      <c r="AN210" s="8"/>
      <c r="AO210" s="8"/>
      <c r="AP210" s="8"/>
      <c r="AQ210" s="8"/>
      <c r="AR210" s="8"/>
      <c r="AS210" s="1"/>
      <c r="AT210" s="1"/>
      <c r="AU210" s="1"/>
      <c r="AV210" s="1"/>
      <c r="AW210" s="1"/>
      <c r="AX210" s="1"/>
      <c r="AY210" s="1"/>
      <c r="AZ210" s="1"/>
    </row>
    <row r="211" spans="1:52" x14ac:dyDescent="0.25">
      <c r="A211" s="1"/>
      <c r="B211" s="1"/>
      <c r="C211" s="1"/>
      <c r="D211" s="27"/>
      <c r="E211" s="38"/>
      <c r="F211" s="38"/>
      <c r="G211" s="38"/>
      <c r="H211" s="38"/>
      <c r="I211" s="38"/>
      <c r="J211" s="38"/>
      <c r="K211" s="1"/>
      <c r="L211" s="1"/>
      <c r="M211" s="1"/>
      <c r="N211" s="1"/>
      <c r="O211" s="1"/>
      <c r="P211" s="1"/>
      <c r="Q211" s="1"/>
      <c r="R211" s="1"/>
      <c r="S211" s="1"/>
      <c r="T211" s="1"/>
      <c r="U211" s="1"/>
      <c r="V211" s="1"/>
      <c r="W211" s="46"/>
      <c r="X211" s="8"/>
      <c r="Y211" s="8"/>
      <c r="Z211" s="8"/>
      <c r="AA211" s="8"/>
      <c r="AB211" s="8"/>
      <c r="AC211" s="8"/>
      <c r="AD211" s="8"/>
      <c r="AE211" s="8"/>
      <c r="AF211" s="8"/>
      <c r="AG211" s="8"/>
      <c r="AH211" s="45"/>
      <c r="AI211" s="8"/>
      <c r="AJ211" s="8"/>
      <c r="AK211" s="8"/>
      <c r="AL211" s="8"/>
      <c r="AM211" s="8"/>
      <c r="AN211" s="8"/>
      <c r="AO211" s="8"/>
      <c r="AP211" s="8"/>
      <c r="AQ211" s="8"/>
      <c r="AR211" s="8"/>
      <c r="AS211" s="1"/>
      <c r="AT211" s="1"/>
      <c r="AU211" s="1"/>
      <c r="AV211" s="1"/>
      <c r="AW211" s="1"/>
      <c r="AX211" s="1"/>
      <c r="AY211" s="1"/>
      <c r="AZ211" s="1"/>
    </row>
    <row r="212" spans="1:52" x14ac:dyDescent="0.25">
      <c r="A212" s="1"/>
      <c r="B212" s="1"/>
      <c r="C212" s="1"/>
      <c r="D212" s="27"/>
      <c r="E212" s="38"/>
      <c r="F212" s="38"/>
      <c r="G212" s="38"/>
      <c r="H212" s="38"/>
      <c r="I212" s="38"/>
      <c r="J212" s="38"/>
      <c r="K212" s="1"/>
      <c r="L212" s="1"/>
      <c r="M212" s="1"/>
      <c r="N212" s="1"/>
      <c r="O212" s="1"/>
      <c r="P212" s="1"/>
      <c r="Q212" s="1"/>
      <c r="R212" s="1"/>
      <c r="S212" s="1"/>
      <c r="T212" s="1"/>
      <c r="U212" s="1"/>
      <c r="V212" s="1"/>
      <c r="W212" s="46"/>
      <c r="X212" s="8"/>
      <c r="Y212" s="8"/>
      <c r="Z212" s="8"/>
      <c r="AA212" s="8"/>
      <c r="AB212" s="8"/>
      <c r="AC212" s="8"/>
      <c r="AD212" s="8"/>
      <c r="AE212" s="8"/>
      <c r="AF212" s="8"/>
      <c r="AG212" s="8"/>
      <c r="AH212" s="45"/>
      <c r="AI212" s="8"/>
      <c r="AJ212" s="8"/>
      <c r="AK212" s="8"/>
      <c r="AL212" s="8"/>
      <c r="AM212" s="8"/>
      <c r="AN212" s="8"/>
      <c r="AO212" s="8"/>
      <c r="AP212" s="8"/>
      <c r="AQ212" s="8"/>
      <c r="AR212" s="8"/>
      <c r="AS212" s="1"/>
      <c r="AT212" s="1"/>
      <c r="AU212" s="1"/>
      <c r="AV212" s="1"/>
      <c r="AW212" s="1"/>
      <c r="AX212" s="1"/>
      <c r="AY212" s="1"/>
      <c r="AZ212" s="1"/>
    </row>
    <row r="213" spans="1:52" x14ac:dyDescent="0.25">
      <c r="A213" s="1"/>
      <c r="B213" s="1"/>
      <c r="C213" s="1"/>
      <c r="D213" s="27"/>
      <c r="E213" s="38"/>
      <c r="F213" s="38"/>
      <c r="G213" s="38"/>
      <c r="H213" s="38"/>
      <c r="I213" s="38"/>
      <c r="J213" s="38"/>
      <c r="K213" s="1"/>
      <c r="L213" s="1"/>
      <c r="M213" s="1"/>
      <c r="N213" s="1"/>
      <c r="O213" s="1"/>
      <c r="P213" s="1"/>
      <c r="Q213" s="1"/>
      <c r="R213" s="1"/>
      <c r="S213" s="1"/>
      <c r="T213" s="1"/>
      <c r="U213" s="1"/>
      <c r="V213" s="1"/>
      <c r="W213" s="46"/>
      <c r="X213" s="8"/>
      <c r="Y213" s="8"/>
      <c r="Z213" s="8"/>
      <c r="AA213" s="8"/>
      <c r="AB213" s="8"/>
      <c r="AC213" s="8"/>
      <c r="AD213" s="8"/>
      <c r="AE213" s="8"/>
      <c r="AF213" s="8"/>
      <c r="AG213" s="8"/>
      <c r="AH213" s="45"/>
      <c r="AI213" s="8"/>
      <c r="AJ213" s="8"/>
      <c r="AK213" s="8"/>
      <c r="AL213" s="8"/>
      <c r="AM213" s="8"/>
      <c r="AN213" s="8"/>
      <c r="AO213" s="8"/>
      <c r="AP213" s="8"/>
      <c r="AQ213" s="8"/>
      <c r="AR213" s="8"/>
      <c r="AS213" s="1"/>
      <c r="AT213" s="1"/>
      <c r="AU213" s="1"/>
      <c r="AV213" s="1"/>
      <c r="AW213" s="1"/>
      <c r="AX213" s="1"/>
      <c r="AY213" s="1"/>
      <c r="AZ213" s="1"/>
    </row>
    <row r="214" spans="1:52" x14ac:dyDescent="0.25">
      <c r="A214" s="1"/>
      <c r="B214" s="1"/>
      <c r="C214" s="1"/>
      <c r="D214" s="27"/>
      <c r="E214" s="38"/>
      <c r="F214" s="38"/>
      <c r="G214" s="38"/>
      <c r="H214" s="38"/>
      <c r="I214" s="38"/>
      <c r="J214" s="38"/>
      <c r="K214" s="1"/>
      <c r="L214" s="1"/>
      <c r="M214" s="1"/>
      <c r="N214" s="1"/>
      <c r="O214" s="1"/>
      <c r="P214" s="1"/>
      <c r="Q214" s="1"/>
      <c r="R214" s="1"/>
      <c r="S214" s="1"/>
      <c r="T214" s="1"/>
      <c r="U214" s="1"/>
      <c r="V214" s="1"/>
      <c r="W214" s="46"/>
      <c r="X214" s="8"/>
      <c r="Y214" s="8"/>
      <c r="Z214" s="8"/>
      <c r="AA214" s="8"/>
      <c r="AB214" s="8"/>
      <c r="AC214" s="8"/>
      <c r="AD214" s="8"/>
      <c r="AE214" s="8"/>
      <c r="AF214" s="8"/>
      <c r="AG214" s="8"/>
      <c r="AH214" s="45"/>
      <c r="AI214" s="8"/>
      <c r="AJ214" s="8"/>
      <c r="AK214" s="8"/>
      <c r="AL214" s="8"/>
      <c r="AM214" s="8"/>
      <c r="AN214" s="8"/>
      <c r="AO214" s="8"/>
      <c r="AP214" s="8"/>
      <c r="AQ214" s="8"/>
      <c r="AR214" s="8"/>
      <c r="AS214" s="1"/>
      <c r="AT214" s="1"/>
      <c r="AU214" s="1"/>
      <c r="AV214" s="1"/>
      <c r="AW214" s="1"/>
      <c r="AX214" s="1"/>
      <c r="AY214" s="1"/>
      <c r="AZ214" s="1"/>
    </row>
    <row r="215" spans="1:52" x14ac:dyDescent="0.25">
      <c r="A215" s="1"/>
      <c r="B215" s="1"/>
      <c r="C215" s="1"/>
      <c r="D215" s="27"/>
      <c r="E215" s="38"/>
      <c r="F215" s="38"/>
      <c r="G215" s="38"/>
      <c r="H215" s="38"/>
      <c r="I215" s="38"/>
      <c r="J215" s="38"/>
      <c r="K215" s="1"/>
      <c r="L215" s="1"/>
      <c r="M215" s="1"/>
      <c r="N215" s="1"/>
      <c r="O215" s="1"/>
      <c r="P215" s="1"/>
      <c r="Q215" s="1"/>
      <c r="R215" s="1"/>
      <c r="S215" s="1"/>
      <c r="T215" s="1"/>
      <c r="U215" s="1"/>
      <c r="V215" s="1"/>
      <c r="W215" s="46"/>
      <c r="X215" s="8"/>
      <c r="Y215" s="8"/>
      <c r="Z215" s="8"/>
      <c r="AA215" s="8"/>
      <c r="AB215" s="8"/>
      <c r="AC215" s="8"/>
      <c r="AD215" s="8"/>
      <c r="AE215" s="8"/>
      <c r="AF215" s="8"/>
      <c r="AG215" s="8"/>
      <c r="AH215" s="45"/>
      <c r="AI215" s="8"/>
      <c r="AJ215" s="8"/>
      <c r="AK215" s="8"/>
      <c r="AL215" s="8"/>
      <c r="AM215" s="8"/>
      <c r="AN215" s="8"/>
      <c r="AO215" s="8"/>
      <c r="AP215" s="8"/>
      <c r="AQ215" s="8"/>
      <c r="AR215" s="8"/>
      <c r="AS215" s="1"/>
      <c r="AT215" s="1"/>
      <c r="AU215" s="1"/>
      <c r="AV215" s="1"/>
      <c r="AW215" s="1"/>
      <c r="AX215" s="1"/>
      <c r="AY215" s="1"/>
      <c r="AZ215" s="1"/>
    </row>
    <row r="216" spans="1:52" x14ac:dyDescent="0.25">
      <c r="A216" s="1"/>
      <c r="B216" s="1"/>
      <c r="C216" s="1"/>
      <c r="D216" s="27"/>
      <c r="E216" s="38"/>
      <c r="F216" s="38"/>
      <c r="G216" s="38"/>
      <c r="H216" s="38"/>
      <c r="I216" s="38"/>
      <c r="J216" s="38"/>
      <c r="K216" s="1"/>
      <c r="L216" s="1"/>
      <c r="M216" s="1"/>
      <c r="N216" s="1"/>
      <c r="O216" s="1"/>
      <c r="P216" s="1"/>
      <c r="Q216" s="1"/>
      <c r="R216" s="1"/>
      <c r="S216" s="1"/>
      <c r="T216" s="1"/>
      <c r="U216" s="1"/>
      <c r="V216" s="1"/>
      <c r="W216" s="46"/>
      <c r="X216" s="8"/>
      <c r="Y216" s="8"/>
      <c r="Z216" s="8"/>
      <c r="AA216" s="8"/>
      <c r="AB216" s="8"/>
      <c r="AC216" s="8"/>
      <c r="AD216" s="8"/>
      <c r="AE216" s="8"/>
      <c r="AF216" s="8"/>
      <c r="AG216" s="8"/>
      <c r="AH216" s="45"/>
      <c r="AI216" s="8"/>
      <c r="AJ216" s="8"/>
      <c r="AK216" s="8"/>
      <c r="AL216" s="8"/>
      <c r="AM216" s="8"/>
      <c r="AN216" s="8"/>
      <c r="AO216" s="8"/>
      <c r="AP216" s="8"/>
      <c r="AQ216" s="8"/>
      <c r="AR216" s="8"/>
      <c r="AS216" s="1"/>
      <c r="AT216" s="1"/>
      <c r="AU216" s="1"/>
      <c r="AV216" s="1"/>
      <c r="AW216" s="1"/>
      <c r="AX216" s="1"/>
      <c r="AY216" s="1"/>
      <c r="AZ216" s="1"/>
    </row>
    <row r="217" spans="1:52" x14ac:dyDescent="0.25">
      <c r="A217" s="1"/>
      <c r="B217" s="1"/>
      <c r="C217" s="1"/>
      <c r="D217" s="27"/>
      <c r="E217" s="38"/>
      <c r="F217" s="38"/>
      <c r="G217" s="38"/>
      <c r="H217" s="38"/>
      <c r="I217" s="38"/>
      <c r="J217" s="38"/>
      <c r="K217" s="1"/>
      <c r="L217" s="1"/>
      <c r="M217" s="1"/>
      <c r="N217" s="1"/>
      <c r="O217" s="1"/>
      <c r="P217" s="1"/>
      <c r="Q217" s="1"/>
      <c r="R217" s="1"/>
      <c r="S217" s="1"/>
      <c r="T217" s="1"/>
      <c r="U217" s="1"/>
      <c r="V217" s="1"/>
      <c r="W217" s="46"/>
      <c r="X217" s="8"/>
      <c r="Y217" s="8"/>
      <c r="Z217" s="8"/>
      <c r="AA217" s="8"/>
      <c r="AB217" s="8"/>
      <c r="AC217" s="8"/>
      <c r="AD217" s="8"/>
      <c r="AE217" s="8"/>
      <c r="AF217" s="8"/>
      <c r="AG217" s="8"/>
      <c r="AH217" s="45"/>
      <c r="AI217" s="8"/>
      <c r="AJ217" s="8"/>
      <c r="AK217" s="8"/>
      <c r="AL217" s="8"/>
      <c r="AM217" s="8"/>
      <c r="AN217" s="8"/>
      <c r="AO217" s="8"/>
      <c r="AP217" s="8"/>
      <c r="AQ217" s="8"/>
      <c r="AR217" s="8"/>
      <c r="AS217" s="1"/>
      <c r="AT217" s="1"/>
      <c r="AU217" s="1"/>
      <c r="AV217" s="1"/>
      <c r="AW217" s="1"/>
      <c r="AX217" s="1"/>
      <c r="AY217" s="1"/>
      <c r="AZ217" s="1"/>
    </row>
    <row r="218" spans="1:52" x14ac:dyDescent="0.25">
      <c r="A218" s="1"/>
      <c r="B218" s="1"/>
      <c r="C218" s="1"/>
      <c r="D218" s="27"/>
      <c r="E218" s="38"/>
      <c r="F218" s="38"/>
      <c r="G218" s="38"/>
      <c r="H218" s="38"/>
      <c r="I218" s="38"/>
      <c r="J218" s="38"/>
      <c r="K218" s="1"/>
      <c r="L218" s="1"/>
      <c r="M218" s="1"/>
      <c r="N218" s="1"/>
      <c r="O218" s="1"/>
      <c r="P218" s="1"/>
      <c r="Q218" s="1"/>
      <c r="R218" s="1"/>
      <c r="S218" s="1"/>
      <c r="T218" s="1"/>
      <c r="U218" s="1"/>
      <c r="V218" s="1"/>
      <c r="W218" s="46"/>
      <c r="X218" s="8"/>
      <c r="Y218" s="8"/>
      <c r="Z218" s="8"/>
      <c r="AA218" s="8"/>
      <c r="AB218" s="8"/>
      <c r="AC218" s="8"/>
      <c r="AD218" s="8"/>
      <c r="AE218" s="8"/>
      <c r="AF218" s="8"/>
      <c r="AG218" s="8"/>
      <c r="AH218" s="45"/>
      <c r="AI218" s="8"/>
      <c r="AJ218" s="8"/>
      <c r="AK218" s="8"/>
      <c r="AL218" s="8"/>
      <c r="AM218" s="8"/>
      <c r="AN218" s="8"/>
      <c r="AO218" s="8"/>
      <c r="AP218" s="8"/>
      <c r="AQ218" s="8"/>
      <c r="AR218" s="8"/>
      <c r="AS218" s="1"/>
      <c r="AT218" s="1"/>
      <c r="AU218" s="1"/>
      <c r="AV218" s="1"/>
      <c r="AW218" s="1"/>
      <c r="AX218" s="1"/>
      <c r="AY218" s="1"/>
      <c r="AZ218" s="1"/>
    </row>
    <row r="219" spans="1:52" x14ac:dyDescent="0.25">
      <c r="A219" s="1"/>
      <c r="B219" s="1"/>
      <c r="C219" s="1"/>
      <c r="D219" s="27"/>
      <c r="E219" s="38"/>
      <c r="F219" s="38"/>
      <c r="G219" s="38"/>
      <c r="H219" s="38"/>
      <c r="I219" s="38"/>
      <c r="J219" s="38"/>
      <c r="K219" s="1"/>
      <c r="L219" s="1"/>
      <c r="M219" s="1"/>
      <c r="N219" s="1"/>
      <c r="O219" s="1"/>
      <c r="P219" s="1"/>
      <c r="Q219" s="1"/>
      <c r="R219" s="1"/>
      <c r="S219" s="1"/>
      <c r="T219" s="1"/>
      <c r="U219" s="1"/>
      <c r="V219" s="1"/>
      <c r="W219" s="46"/>
      <c r="X219" s="8"/>
      <c r="Y219" s="8"/>
      <c r="Z219" s="8"/>
      <c r="AA219" s="8"/>
      <c r="AB219" s="8"/>
      <c r="AC219" s="8"/>
      <c r="AD219" s="8"/>
      <c r="AE219" s="8"/>
      <c r="AF219" s="8"/>
      <c r="AG219" s="8"/>
      <c r="AH219" s="45"/>
      <c r="AI219" s="8"/>
      <c r="AJ219" s="8"/>
      <c r="AK219" s="8"/>
      <c r="AL219" s="8"/>
      <c r="AM219" s="8"/>
      <c r="AN219" s="8"/>
      <c r="AO219" s="8"/>
      <c r="AP219" s="8"/>
      <c r="AQ219" s="8"/>
      <c r="AR219" s="8"/>
      <c r="AS219" s="1"/>
      <c r="AT219" s="1"/>
      <c r="AU219" s="1"/>
      <c r="AV219" s="1"/>
      <c r="AW219" s="1"/>
      <c r="AX219" s="1"/>
      <c r="AY219" s="1"/>
      <c r="AZ219" s="1"/>
    </row>
    <row r="220" spans="1:52" x14ac:dyDescent="0.25">
      <c r="A220" s="1"/>
      <c r="B220" s="1"/>
      <c r="C220" s="1"/>
      <c r="D220" s="27"/>
      <c r="E220" s="38"/>
      <c r="F220" s="38"/>
      <c r="G220" s="38"/>
      <c r="H220" s="38"/>
      <c r="I220" s="38"/>
      <c r="J220" s="38"/>
      <c r="K220" s="1"/>
      <c r="L220" s="1"/>
      <c r="M220" s="1"/>
      <c r="N220" s="1"/>
      <c r="O220" s="1"/>
      <c r="P220" s="1"/>
      <c r="Q220" s="1"/>
      <c r="R220" s="1"/>
      <c r="S220" s="1"/>
      <c r="T220" s="1"/>
      <c r="U220" s="1"/>
      <c r="V220" s="1"/>
      <c r="W220" s="46"/>
      <c r="X220" s="8"/>
      <c r="Y220" s="8"/>
      <c r="Z220" s="8"/>
      <c r="AA220" s="8"/>
      <c r="AB220" s="8"/>
      <c r="AC220" s="8"/>
      <c r="AD220" s="8"/>
      <c r="AE220" s="8"/>
      <c r="AF220" s="8"/>
      <c r="AG220" s="8"/>
      <c r="AH220" s="45"/>
      <c r="AI220" s="8"/>
      <c r="AJ220" s="8"/>
      <c r="AK220" s="8"/>
      <c r="AL220" s="8"/>
      <c r="AM220" s="8"/>
      <c r="AN220" s="8"/>
      <c r="AO220" s="8"/>
      <c r="AP220" s="8"/>
      <c r="AQ220" s="8"/>
      <c r="AR220" s="8"/>
      <c r="AS220" s="1"/>
      <c r="AT220" s="1"/>
      <c r="AU220" s="1"/>
      <c r="AV220" s="1"/>
      <c r="AW220" s="1"/>
      <c r="AX220" s="1"/>
      <c r="AY220" s="1"/>
      <c r="AZ220" s="1"/>
    </row>
    <row r="221" spans="1:52" x14ac:dyDescent="0.25">
      <c r="A221" s="1"/>
      <c r="B221" s="1"/>
      <c r="C221" s="1"/>
      <c r="D221" s="27"/>
      <c r="E221" s="38"/>
      <c r="F221" s="38"/>
      <c r="G221" s="38"/>
      <c r="H221" s="38"/>
      <c r="I221" s="38"/>
      <c r="J221" s="38"/>
      <c r="K221" s="1"/>
      <c r="L221" s="1"/>
      <c r="M221" s="1"/>
      <c r="N221" s="1"/>
      <c r="O221" s="1"/>
      <c r="P221" s="1"/>
      <c r="Q221" s="1"/>
      <c r="R221" s="1"/>
      <c r="S221" s="1"/>
      <c r="T221" s="1"/>
      <c r="U221" s="1"/>
      <c r="V221" s="1"/>
      <c r="W221" s="46"/>
      <c r="X221" s="8"/>
      <c r="Y221" s="8"/>
      <c r="Z221" s="8"/>
      <c r="AA221" s="8"/>
      <c r="AB221" s="8"/>
      <c r="AC221" s="8"/>
      <c r="AD221" s="8"/>
      <c r="AE221" s="8"/>
      <c r="AF221" s="8"/>
      <c r="AG221" s="8"/>
      <c r="AH221" s="45"/>
      <c r="AI221" s="8"/>
      <c r="AJ221" s="8"/>
      <c r="AK221" s="8"/>
      <c r="AL221" s="8"/>
      <c r="AM221" s="8"/>
      <c r="AN221" s="8"/>
      <c r="AO221" s="8"/>
      <c r="AP221" s="8"/>
      <c r="AQ221" s="8"/>
      <c r="AR221" s="8"/>
      <c r="AS221" s="1"/>
      <c r="AT221" s="1"/>
      <c r="AU221" s="1"/>
      <c r="AV221" s="1"/>
      <c r="AW221" s="1"/>
      <c r="AX221" s="1"/>
      <c r="AY221" s="1"/>
      <c r="AZ221" s="1"/>
    </row>
    <row r="222" spans="1:52" x14ac:dyDescent="0.25">
      <c r="A222" s="1"/>
      <c r="B222" s="1"/>
      <c r="C222" s="1"/>
      <c r="D222" s="27"/>
      <c r="E222" s="38"/>
      <c r="F222" s="38"/>
      <c r="G222" s="38"/>
      <c r="H222" s="38"/>
      <c r="I222" s="38"/>
      <c r="J222" s="38"/>
      <c r="K222" s="1"/>
      <c r="L222" s="1"/>
      <c r="M222" s="1"/>
      <c r="N222" s="1"/>
      <c r="O222" s="1"/>
      <c r="P222" s="1"/>
      <c r="Q222" s="1"/>
      <c r="R222" s="1"/>
      <c r="S222" s="1"/>
      <c r="T222" s="1"/>
      <c r="U222" s="1"/>
      <c r="V222" s="1"/>
      <c r="W222" s="46"/>
      <c r="X222" s="8"/>
      <c r="Y222" s="8"/>
      <c r="Z222" s="8"/>
      <c r="AA222" s="8"/>
      <c r="AB222" s="8"/>
      <c r="AC222" s="8"/>
      <c r="AD222" s="8"/>
      <c r="AE222" s="8"/>
      <c r="AF222" s="8"/>
      <c r="AG222" s="8"/>
      <c r="AH222" s="45"/>
      <c r="AI222" s="8"/>
      <c r="AJ222" s="8"/>
      <c r="AK222" s="8"/>
      <c r="AL222" s="8"/>
      <c r="AM222" s="8"/>
      <c r="AN222" s="8"/>
      <c r="AO222" s="8"/>
      <c r="AP222" s="8"/>
      <c r="AQ222" s="8"/>
      <c r="AR222" s="8"/>
      <c r="AS222" s="1"/>
      <c r="AT222" s="1"/>
      <c r="AU222" s="1"/>
      <c r="AV222" s="1"/>
      <c r="AW222" s="1"/>
      <c r="AX222" s="1"/>
      <c r="AY222" s="1"/>
      <c r="AZ222" s="1"/>
    </row>
    <row r="223" spans="1:52" x14ac:dyDescent="0.25">
      <c r="A223" s="1"/>
      <c r="B223" s="1"/>
      <c r="C223" s="1"/>
      <c r="D223" s="27"/>
      <c r="E223" s="38"/>
      <c r="F223" s="38"/>
      <c r="G223" s="38"/>
      <c r="H223" s="38"/>
      <c r="I223" s="38"/>
      <c r="J223" s="38"/>
      <c r="K223" s="1"/>
      <c r="L223" s="1"/>
      <c r="M223" s="1"/>
      <c r="N223" s="1"/>
      <c r="O223" s="1"/>
      <c r="P223" s="1"/>
      <c r="Q223" s="1"/>
      <c r="R223" s="1"/>
      <c r="S223" s="1"/>
      <c r="T223" s="1"/>
      <c r="U223" s="1"/>
      <c r="V223" s="1"/>
      <c r="W223" s="46"/>
      <c r="X223" s="8"/>
      <c r="Y223" s="8"/>
      <c r="Z223" s="8"/>
      <c r="AA223" s="8"/>
      <c r="AB223" s="8"/>
      <c r="AC223" s="8"/>
      <c r="AD223" s="8"/>
      <c r="AE223" s="8"/>
      <c r="AF223" s="8"/>
      <c r="AG223" s="8"/>
      <c r="AH223" s="45"/>
      <c r="AI223" s="8"/>
      <c r="AJ223" s="8"/>
      <c r="AK223" s="8"/>
      <c r="AL223" s="8"/>
      <c r="AM223" s="8"/>
      <c r="AN223" s="8"/>
      <c r="AO223" s="8"/>
      <c r="AP223" s="8"/>
      <c r="AQ223" s="8"/>
      <c r="AR223" s="8"/>
      <c r="AS223" s="1"/>
      <c r="AT223" s="1"/>
      <c r="AU223" s="1"/>
      <c r="AV223" s="1"/>
      <c r="AW223" s="1"/>
      <c r="AX223" s="1"/>
      <c r="AY223" s="1"/>
      <c r="AZ223" s="1"/>
    </row>
    <row r="224" spans="1:52" x14ac:dyDescent="0.25">
      <c r="A224" s="1"/>
      <c r="B224" s="1"/>
      <c r="C224" s="1"/>
      <c r="D224" s="27"/>
      <c r="E224" s="38"/>
      <c r="F224" s="38"/>
      <c r="G224" s="38"/>
      <c r="H224" s="38"/>
      <c r="I224" s="38"/>
      <c r="J224" s="38"/>
      <c r="K224" s="1"/>
      <c r="L224" s="1"/>
      <c r="M224" s="1"/>
      <c r="N224" s="1"/>
      <c r="O224" s="1"/>
      <c r="P224" s="1"/>
      <c r="Q224" s="1"/>
      <c r="R224" s="1"/>
      <c r="S224" s="1"/>
      <c r="T224" s="1"/>
      <c r="U224" s="1"/>
      <c r="V224" s="1"/>
      <c r="W224" s="46"/>
      <c r="X224" s="8"/>
      <c r="Y224" s="8"/>
      <c r="Z224" s="8"/>
      <c r="AA224" s="8"/>
      <c r="AB224" s="8"/>
      <c r="AC224" s="8"/>
      <c r="AD224" s="8"/>
      <c r="AE224" s="8"/>
      <c r="AF224" s="8"/>
      <c r="AG224" s="8"/>
      <c r="AH224" s="45"/>
      <c r="AI224" s="8"/>
      <c r="AJ224" s="8"/>
      <c r="AK224" s="8"/>
      <c r="AL224" s="8"/>
      <c r="AM224" s="8"/>
      <c r="AN224" s="8"/>
      <c r="AO224" s="8"/>
      <c r="AP224" s="8"/>
      <c r="AQ224" s="8"/>
      <c r="AR224" s="8"/>
      <c r="AS224" s="1"/>
      <c r="AT224" s="1"/>
      <c r="AU224" s="1"/>
      <c r="AV224" s="1"/>
      <c r="AW224" s="1"/>
      <c r="AX224" s="1"/>
      <c r="AY224" s="1"/>
      <c r="AZ224" s="1"/>
    </row>
    <row r="225" spans="1:52" x14ac:dyDescent="0.25">
      <c r="A225" s="1"/>
      <c r="B225" s="1"/>
      <c r="C225" s="1"/>
      <c r="D225" s="27"/>
      <c r="E225" s="38"/>
      <c r="F225" s="38"/>
      <c r="G225" s="38"/>
      <c r="H225" s="38"/>
      <c r="I225" s="38"/>
      <c r="J225" s="38"/>
      <c r="K225" s="1"/>
      <c r="L225" s="1"/>
      <c r="M225" s="1"/>
      <c r="N225" s="1"/>
      <c r="O225" s="1"/>
      <c r="P225" s="1"/>
      <c r="Q225" s="1"/>
      <c r="R225" s="1"/>
      <c r="S225" s="1"/>
      <c r="T225" s="1"/>
      <c r="U225" s="1"/>
      <c r="V225" s="1"/>
      <c r="W225" s="46"/>
      <c r="X225" s="8"/>
      <c r="Y225" s="8"/>
      <c r="Z225" s="8"/>
      <c r="AA225" s="8"/>
      <c r="AB225" s="8"/>
      <c r="AC225" s="8"/>
      <c r="AD225" s="8"/>
      <c r="AE225" s="8"/>
      <c r="AF225" s="8"/>
      <c r="AG225" s="8"/>
      <c r="AH225" s="45"/>
      <c r="AI225" s="8"/>
      <c r="AJ225" s="8"/>
      <c r="AK225" s="8"/>
      <c r="AL225" s="8"/>
      <c r="AM225" s="8"/>
      <c r="AN225" s="8"/>
      <c r="AO225" s="8"/>
      <c r="AP225" s="8"/>
      <c r="AQ225" s="8"/>
      <c r="AR225" s="8"/>
      <c r="AS225" s="1"/>
      <c r="AT225" s="1"/>
      <c r="AU225" s="1"/>
      <c r="AV225" s="1"/>
      <c r="AW225" s="1"/>
      <c r="AX225" s="1"/>
      <c r="AY225" s="1"/>
      <c r="AZ225" s="1"/>
    </row>
    <row r="226" spans="1:52" x14ac:dyDescent="0.25">
      <c r="A226" s="1"/>
      <c r="B226" s="1"/>
      <c r="C226" s="1"/>
      <c r="D226" s="27"/>
      <c r="E226" s="38"/>
      <c r="F226" s="38"/>
      <c r="G226" s="38"/>
      <c r="H226" s="38"/>
      <c r="I226" s="38"/>
      <c r="J226" s="38"/>
      <c r="K226" s="1"/>
      <c r="L226" s="1"/>
      <c r="M226" s="1"/>
      <c r="N226" s="1"/>
      <c r="O226" s="1"/>
      <c r="P226" s="1"/>
      <c r="Q226" s="1"/>
      <c r="R226" s="1"/>
      <c r="S226" s="1"/>
      <c r="T226" s="1"/>
      <c r="U226" s="1"/>
      <c r="V226" s="1"/>
      <c r="W226" s="46"/>
      <c r="X226" s="8"/>
      <c r="Y226" s="8"/>
      <c r="Z226" s="8"/>
      <c r="AA226" s="8"/>
      <c r="AB226" s="8"/>
      <c r="AC226" s="8"/>
      <c r="AD226" s="8"/>
      <c r="AE226" s="8"/>
      <c r="AF226" s="8"/>
      <c r="AG226" s="8"/>
      <c r="AH226" s="45"/>
      <c r="AI226" s="8"/>
      <c r="AJ226" s="8"/>
      <c r="AK226" s="8"/>
      <c r="AL226" s="8"/>
      <c r="AM226" s="8"/>
      <c r="AN226" s="8"/>
      <c r="AO226" s="8"/>
      <c r="AP226" s="8"/>
      <c r="AQ226" s="8"/>
      <c r="AR226" s="8"/>
      <c r="AS226" s="1"/>
      <c r="AT226" s="1"/>
      <c r="AU226" s="1"/>
      <c r="AV226" s="1"/>
      <c r="AW226" s="1"/>
      <c r="AX226" s="1"/>
      <c r="AY226" s="1"/>
      <c r="AZ226" s="1"/>
    </row>
    <row r="227" spans="1:52" x14ac:dyDescent="0.25">
      <c r="A227" s="1"/>
      <c r="B227" s="1"/>
      <c r="C227" s="1"/>
      <c r="D227" s="27"/>
      <c r="E227" s="38"/>
      <c r="F227" s="38"/>
      <c r="G227" s="38"/>
      <c r="H227" s="38"/>
      <c r="I227" s="38"/>
      <c r="J227" s="38"/>
      <c r="K227" s="1"/>
      <c r="L227" s="1"/>
      <c r="M227" s="1"/>
      <c r="N227" s="1"/>
      <c r="O227" s="1"/>
      <c r="P227" s="1"/>
      <c r="Q227" s="1"/>
      <c r="R227" s="1"/>
      <c r="S227" s="1"/>
      <c r="T227" s="1"/>
      <c r="U227" s="1"/>
      <c r="V227" s="1"/>
      <c r="W227" s="46"/>
      <c r="X227" s="8"/>
      <c r="Y227" s="8"/>
      <c r="Z227" s="8"/>
      <c r="AA227" s="8"/>
      <c r="AB227" s="8"/>
      <c r="AC227" s="8"/>
      <c r="AD227" s="8"/>
      <c r="AE227" s="8"/>
      <c r="AF227" s="8"/>
      <c r="AG227" s="8"/>
      <c r="AH227" s="45"/>
      <c r="AI227" s="8"/>
      <c r="AJ227" s="8"/>
      <c r="AK227" s="8"/>
      <c r="AL227" s="8"/>
      <c r="AM227" s="8"/>
      <c r="AN227" s="8"/>
      <c r="AO227" s="8"/>
      <c r="AP227" s="8"/>
      <c r="AQ227" s="8"/>
      <c r="AR227" s="8"/>
      <c r="AS227" s="1"/>
      <c r="AT227" s="1"/>
      <c r="AU227" s="1"/>
      <c r="AV227" s="1"/>
      <c r="AW227" s="1"/>
      <c r="AX227" s="1"/>
      <c r="AY227" s="1"/>
      <c r="AZ227" s="1"/>
    </row>
    <row r="228" spans="1:52" x14ac:dyDescent="0.25">
      <c r="A228" s="1"/>
      <c r="B228" s="1"/>
      <c r="C228" s="1"/>
      <c r="D228" s="27"/>
      <c r="E228" s="38"/>
      <c r="F228" s="38"/>
      <c r="G228" s="38"/>
      <c r="H228" s="38"/>
      <c r="I228" s="38"/>
      <c r="J228" s="38"/>
      <c r="K228" s="1"/>
      <c r="L228" s="1"/>
      <c r="M228" s="1"/>
      <c r="N228" s="1"/>
      <c r="O228" s="1"/>
      <c r="P228" s="1"/>
      <c r="Q228" s="1"/>
      <c r="R228" s="1"/>
      <c r="S228" s="1"/>
      <c r="T228" s="1"/>
      <c r="U228" s="1"/>
      <c r="V228" s="1"/>
      <c r="W228" s="46"/>
      <c r="X228" s="8"/>
      <c r="Y228" s="8"/>
      <c r="Z228" s="8"/>
      <c r="AA228" s="8"/>
      <c r="AB228" s="8"/>
      <c r="AC228" s="8"/>
      <c r="AD228" s="8"/>
      <c r="AE228" s="8"/>
      <c r="AF228" s="8"/>
      <c r="AG228" s="8"/>
      <c r="AH228" s="45"/>
      <c r="AI228" s="8"/>
      <c r="AJ228" s="8"/>
      <c r="AK228" s="8"/>
      <c r="AL228" s="8"/>
      <c r="AM228" s="8"/>
      <c r="AN228" s="8"/>
      <c r="AO228" s="8"/>
      <c r="AP228" s="8"/>
      <c r="AQ228" s="8"/>
      <c r="AR228" s="8"/>
      <c r="AS228" s="1"/>
      <c r="AT228" s="1"/>
      <c r="AU228" s="1"/>
      <c r="AV228" s="1"/>
      <c r="AW228" s="1"/>
      <c r="AX228" s="1"/>
      <c r="AY228" s="1"/>
      <c r="AZ228" s="1"/>
    </row>
    <row r="229" spans="1:52" x14ac:dyDescent="0.25">
      <c r="A229" s="1"/>
      <c r="B229" s="1"/>
      <c r="C229" s="1"/>
      <c r="D229" s="27"/>
      <c r="E229" s="38"/>
      <c r="F229" s="38"/>
      <c r="G229" s="38"/>
      <c r="H229" s="38"/>
      <c r="I229" s="38"/>
      <c r="J229" s="38"/>
      <c r="K229" s="1"/>
      <c r="L229" s="1"/>
      <c r="M229" s="1"/>
      <c r="N229" s="1"/>
      <c r="O229" s="1"/>
      <c r="P229" s="1"/>
      <c r="Q229" s="1"/>
      <c r="R229" s="1"/>
      <c r="S229" s="1"/>
      <c r="T229" s="1"/>
      <c r="U229" s="1"/>
      <c r="V229" s="1"/>
      <c r="W229" s="46"/>
      <c r="X229" s="8"/>
      <c r="Y229" s="8"/>
      <c r="Z229" s="8"/>
      <c r="AA229" s="8"/>
      <c r="AB229" s="8"/>
      <c r="AC229" s="8"/>
      <c r="AD229" s="8"/>
      <c r="AE229" s="8"/>
      <c r="AF229" s="8"/>
      <c r="AG229" s="8"/>
      <c r="AH229" s="45"/>
      <c r="AI229" s="8"/>
      <c r="AJ229" s="8"/>
      <c r="AK229" s="8"/>
      <c r="AL229" s="8"/>
      <c r="AM229" s="8"/>
      <c r="AN229" s="8"/>
      <c r="AO229" s="8"/>
      <c r="AP229" s="8"/>
      <c r="AQ229" s="8"/>
      <c r="AR229" s="8"/>
      <c r="AS229" s="1"/>
      <c r="AT229" s="1"/>
      <c r="AU229" s="1"/>
      <c r="AV229" s="1"/>
      <c r="AW229" s="1"/>
      <c r="AX229" s="1"/>
      <c r="AY229" s="1"/>
      <c r="AZ229" s="1"/>
    </row>
    <row r="230" spans="1:52" x14ac:dyDescent="0.25">
      <c r="A230" s="1"/>
      <c r="B230" s="1"/>
      <c r="C230" s="1"/>
      <c r="D230" s="27"/>
      <c r="E230" s="38"/>
      <c r="F230" s="38"/>
      <c r="G230" s="38"/>
      <c r="H230" s="38"/>
      <c r="I230" s="38"/>
      <c r="J230" s="38"/>
      <c r="K230" s="1"/>
      <c r="L230" s="1"/>
      <c r="M230" s="1"/>
      <c r="N230" s="1"/>
      <c r="O230" s="1"/>
      <c r="P230" s="1"/>
      <c r="Q230" s="1"/>
      <c r="R230" s="1"/>
      <c r="S230" s="1"/>
      <c r="T230" s="1"/>
      <c r="U230" s="1"/>
      <c r="V230" s="1"/>
      <c r="W230" s="46"/>
      <c r="X230" s="8"/>
      <c r="Y230" s="8"/>
      <c r="Z230" s="8"/>
      <c r="AA230" s="8"/>
      <c r="AB230" s="8"/>
      <c r="AC230" s="8"/>
      <c r="AD230" s="8"/>
      <c r="AE230" s="8"/>
      <c r="AF230" s="8"/>
      <c r="AG230" s="8"/>
      <c r="AH230" s="45"/>
      <c r="AI230" s="8"/>
      <c r="AJ230" s="8"/>
      <c r="AK230" s="8"/>
      <c r="AL230" s="8"/>
      <c r="AM230" s="8"/>
      <c r="AN230" s="8"/>
      <c r="AO230" s="8"/>
      <c r="AP230" s="8"/>
      <c r="AQ230" s="8"/>
      <c r="AR230" s="8"/>
      <c r="AS230" s="1"/>
      <c r="AT230" s="1"/>
      <c r="AU230" s="1"/>
      <c r="AV230" s="1"/>
      <c r="AW230" s="1"/>
      <c r="AX230" s="1"/>
      <c r="AY230" s="1"/>
      <c r="AZ230" s="1"/>
    </row>
    <row r="231" spans="1:52" x14ac:dyDescent="0.25">
      <c r="A231" s="1"/>
      <c r="B231" s="1"/>
      <c r="C231" s="1"/>
      <c r="D231" s="27"/>
      <c r="E231" s="38"/>
      <c r="F231" s="38"/>
      <c r="G231" s="38"/>
      <c r="H231" s="38"/>
      <c r="I231" s="38"/>
      <c r="J231" s="38"/>
      <c r="K231" s="1"/>
      <c r="L231" s="1"/>
      <c r="M231" s="1"/>
      <c r="N231" s="1"/>
      <c r="O231" s="1"/>
      <c r="P231" s="1"/>
      <c r="Q231" s="1"/>
      <c r="R231" s="1"/>
      <c r="S231" s="1"/>
      <c r="T231" s="1"/>
      <c r="U231" s="1"/>
      <c r="V231" s="1"/>
      <c r="W231" s="46"/>
      <c r="X231" s="8"/>
      <c r="Y231" s="8"/>
      <c r="Z231" s="8"/>
      <c r="AA231" s="8"/>
      <c r="AB231" s="8"/>
      <c r="AC231" s="8"/>
      <c r="AD231" s="8"/>
      <c r="AE231" s="8"/>
      <c r="AF231" s="8"/>
      <c r="AG231" s="8"/>
      <c r="AH231" s="45"/>
      <c r="AI231" s="8"/>
      <c r="AJ231" s="8"/>
      <c r="AK231" s="8"/>
      <c r="AL231" s="8"/>
      <c r="AM231" s="8"/>
      <c r="AN231" s="8"/>
      <c r="AO231" s="8"/>
      <c r="AP231" s="8"/>
      <c r="AQ231" s="8"/>
      <c r="AR231" s="8"/>
      <c r="AS231" s="1"/>
      <c r="AT231" s="1"/>
      <c r="AU231" s="1"/>
      <c r="AV231" s="1"/>
      <c r="AW231" s="1"/>
      <c r="AX231" s="1"/>
      <c r="AY231" s="1"/>
      <c r="AZ231" s="1"/>
    </row>
    <row r="232" spans="1:52" x14ac:dyDescent="0.25">
      <c r="A232" s="1"/>
      <c r="B232" s="1"/>
      <c r="C232" s="1"/>
      <c r="D232" s="27"/>
      <c r="E232" s="38"/>
      <c r="F232" s="38"/>
      <c r="G232" s="38"/>
      <c r="H232" s="38"/>
      <c r="I232" s="38"/>
      <c r="J232" s="38"/>
      <c r="K232" s="1"/>
      <c r="L232" s="1"/>
      <c r="M232" s="1"/>
      <c r="N232" s="1"/>
      <c r="O232" s="1"/>
      <c r="P232" s="1"/>
      <c r="Q232" s="1"/>
      <c r="R232" s="1"/>
      <c r="S232" s="1"/>
      <c r="T232" s="1"/>
      <c r="U232" s="1"/>
      <c r="V232" s="1"/>
      <c r="W232" s="46"/>
      <c r="X232" s="8"/>
      <c r="Y232" s="8"/>
      <c r="Z232" s="8"/>
      <c r="AA232" s="8"/>
      <c r="AB232" s="8"/>
      <c r="AC232" s="8"/>
      <c r="AD232" s="8"/>
      <c r="AE232" s="8"/>
      <c r="AF232" s="8"/>
      <c r="AG232" s="8"/>
      <c r="AH232" s="45"/>
      <c r="AI232" s="8"/>
      <c r="AJ232" s="8"/>
      <c r="AK232" s="8"/>
      <c r="AL232" s="8"/>
      <c r="AM232" s="8"/>
      <c r="AN232" s="8"/>
      <c r="AO232" s="8"/>
      <c r="AP232" s="8"/>
      <c r="AQ232" s="8"/>
      <c r="AR232" s="8"/>
      <c r="AS232" s="1"/>
      <c r="AT232" s="1"/>
      <c r="AU232" s="1"/>
      <c r="AV232" s="1"/>
      <c r="AW232" s="1"/>
      <c r="AX232" s="1"/>
      <c r="AY232" s="1"/>
      <c r="AZ232" s="1"/>
    </row>
    <row r="233" spans="1:52" x14ac:dyDescent="0.25">
      <c r="A233" s="1"/>
      <c r="B233" s="1"/>
      <c r="C233" s="1"/>
      <c r="D233" s="27"/>
      <c r="E233" s="38"/>
      <c r="F233" s="38"/>
      <c r="G233" s="38"/>
      <c r="H233" s="38"/>
      <c r="I233" s="38"/>
      <c r="J233" s="38"/>
      <c r="K233" s="1"/>
      <c r="L233" s="1"/>
      <c r="M233" s="1"/>
      <c r="N233" s="1"/>
      <c r="O233" s="1"/>
      <c r="P233" s="1"/>
      <c r="Q233" s="1"/>
      <c r="R233" s="1"/>
      <c r="S233" s="1"/>
      <c r="T233" s="1"/>
      <c r="U233" s="1"/>
      <c r="V233" s="1"/>
      <c r="W233" s="46"/>
      <c r="X233" s="8"/>
      <c r="Y233" s="8"/>
      <c r="Z233" s="8"/>
      <c r="AA233" s="8"/>
      <c r="AB233" s="8"/>
      <c r="AC233" s="8"/>
      <c r="AD233" s="8"/>
      <c r="AE233" s="8"/>
      <c r="AF233" s="8"/>
      <c r="AG233" s="8"/>
      <c r="AH233" s="45"/>
      <c r="AI233" s="8"/>
      <c r="AJ233" s="8"/>
      <c r="AK233" s="8"/>
      <c r="AL233" s="8"/>
      <c r="AM233" s="8"/>
      <c r="AN233" s="8"/>
      <c r="AO233" s="8"/>
      <c r="AP233" s="8"/>
      <c r="AQ233" s="8"/>
      <c r="AR233" s="8"/>
      <c r="AS233" s="1"/>
      <c r="AT233" s="1"/>
      <c r="AU233" s="1"/>
      <c r="AV233" s="1"/>
      <c r="AW233" s="1"/>
      <c r="AX233" s="1"/>
      <c r="AY233" s="1"/>
      <c r="AZ233" s="1"/>
    </row>
    <row r="234" spans="1:52" x14ac:dyDescent="0.25">
      <c r="A234" s="1"/>
      <c r="B234" s="1"/>
      <c r="C234" s="1"/>
      <c r="D234" s="27"/>
      <c r="E234" s="38"/>
      <c r="F234" s="38"/>
      <c r="G234" s="38"/>
      <c r="H234" s="38"/>
      <c r="I234" s="38"/>
      <c r="J234" s="38"/>
      <c r="K234" s="1"/>
      <c r="L234" s="1"/>
      <c r="M234" s="1"/>
      <c r="N234" s="1"/>
      <c r="O234" s="1"/>
      <c r="P234" s="1"/>
      <c r="Q234" s="1"/>
      <c r="R234" s="1"/>
      <c r="S234" s="1"/>
      <c r="T234" s="1"/>
      <c r="U234" s="1"/>
      <c r="V234" s="1"/>
      <c r="W234" s="46"/>
      <c r="X234" s="8"/>
      <c r="Y234" s="8"/>
      <c r="Z234" s="8"/>
      <c r="AA234" s="8"/>
      <c r="AB234" s="8"/>
      <c r="AC234" s="8"/>
      <c r="AD234" s="8"/>
      <c r="AE234" s="8"/>
      <c r="AF234" s="8"/>
      <c r="AG234" s="8"/>
      <c r="AH234" s="45"/>
      <c r="AI234" s="8"/>
      <c r="AJ234" s="8"/>
      <c r="AK234" s="8"/>
      <c r="AL234" s="8"/>
      <c r="AM234" s="8"/>
      <c r="AN234" s="8"/>
      <c r="AO234" s="8"/>
      <c r="AP234" s="8"/>
      <c r="AQ234" s="8"/>
      <c r="AR234" s="8"/>
      <c r="AS234" s="1"/>
      <c r="AT234" s="1"/>
      <c r="AU234" s="1"/>
      <c r="AV234" s="1"/>
      <c r="AW234" s="1"/>
      <c r="AX234" s="1"/>
      <c r="AY234" s="1"/>
      <c r="AZ234" s="1"/>
    </row>
    <row r="235" spans="1:52" x14ac:dyDescent="0.25">
      <c r="A235" s="1"/>
      <c r="B235" s="1"/>
      <c r="C235" s="1"/>
      <c r="D235" s="27"/>
      <c r="E235" s="38"/>
      <c r="F235" s="38"/>
      <c r="G235" s="38"/>
      <c r="H235" s="38"/>
      <c r="I235" s="38"/>
      <c r="J235" s="38"/>
      <c r="K235" s="1"/>
      <c r="L235" s="1"/>
      <c r="M235" s="1"/>
      <c r="N235" s="1"/>
      <c r="O235" s="1"/>
      <c r="P235" s="1"/>
      <c r="Q235" s="1"/>
      <c r="R235" s="1"/>
      <c r="S235" s="1"/>
      <c r="T235" s="1"/>
      <c r="U235" s="1"/>
      <c r="V235" s="1"/>
      <c r="W235" s="46"/>
      <c r="X235" s="8"/>
      <c r="Y235" s="8"/>
      <c r="Z235" s="8"/>
      <c r="AA235" s="8"/>
      <c r="AB235" s="8"/>
      <c r="AC235" s="8"/>
      <c r="AD235" s="8"/>
      <c r="AE235" s="8"/>
      <c r="AF235" s="8"/>
      <c r="AG235" s="8"/>
      <c r="AH235" s="45"/>
      <c r="AI235" s="8"/>
      <c r="AJ235" s="8"/>
      <c r="AK235" s="8"/>
      <c r="AL235" s="8"/>
      <c r="AM235" s="8"/>
      <c r="AN235" s="8"/>
      <c r="AO235" s="8"/>
      <c r="AP235" s="8"/>
      <c r="AQ235" s="8"/>
      <c r="AR235" s="8"/>
      <c r="AS235" s="1"/>
      <c r="AT235" s="1"/>
      <c r="AU235" s="1"/>
      <c r="AV235" s="1"/>
      <c r="AW235" s="1"/>
      <c r="AX235" s="1"/>
      <c r="AY235" s="1"/>
      <c r="AZ235" s="1"/>
    </row>
    <row r="236" spans="1:52" x14ac:dyDescent="0.25">
      <c r="A236" s="1"/>
      <c r="B236" s="1"/>
      <c r="C236" s="1"/>
      <c r="D236" s="27"/>
      <c r="E236" s="38"/>
      <c r="F236" s="38"/>
      <c r="G236" s="38"/>
      <c r="H236" s="38"/>
      <c r="I236" s="38"/>
      <c r="J236" s="38"/>
      <c r="K236" s="1"/>
      <c r="L236" s="1"/>
      <c r="M236" s="1"/>
      <c r="N236" s="1"/>
      <c r="O236" s="1"/>
      <c r="P236" s="1"/>
      <c r="Q236" s="1"/>
      <c r="R236" s="1"/>
      <c r="S236" s="1"/>
      <c r="T236" s="1"/>
      <c r="U236" s="1"/>
      <c r="V236" s="1"/>
      <c r="W236" s="46"/>
      <c r="X236" s="8"/>
      <c r="Y236" s="8"/>
      <c r="Z236" s="8"/>
      <c r="AA236" s="8"/>
      <c r="AB236" s="8"/>
      <c r="AC236" s="8"/>
      <c r="AD236" s="8"/>
      <c r="AE236" s="8"/>
      <c r="AF236" s="8"/>
      <c r="AG236" s="8"/>
      <c r="AH236" s="45"/>
      <c r="AI236" s="8"/>
      <c r="AJ236" s="8"/>
      <c r="AK236" s="8"/>
      <c r="AL236" s="8"/>
      <c r="AM236" s="8"/>
      <c r="AN236" s="8"/>
      <c r="AO236" s="8"/>
      <c r="AP236" s="8"/>
      <c r="AQ236" s="8"/>
      <c r="AR236" s="8"/>
      <c r="AS236" s="1"/>
      <c r="AT236" s="1"/>
      <c r="AU236" s="1"/>
      <c r="AV236" s="1"/>
      <c r="AW236" s="1"/>
      <c r="AX236" s="1"/>
      <c r="AY236" s="1"/>
      <c r="AZ236" s="1"/>
    </row>
    <row r="237" spans="1:52" x14ac:dyDescent="0.25">
      <c r="A237" s="1"/>
      <c r="B237" s="1"/>
      <c r="C237" s="1"/>
      <c r="D237" s="27"/>
      <c r="E237" s="38"/>
      <c r="F237" s="38"/>
      <c r="G237" s="38"/>
      <c r="H237" s="38"/>
      <c r="I237" s="38"/>
      <c r="J237" s="38"/>
      <c r="K237" s="1"/>
      <c r="L237" s="1"/>
      <c r="M237" s="1"/>
      <c r="N237" s="1"/>
      <c r="O237" s="1"/>
      <c r="P237" s="1"/>
      <c r="Q237" s="1"/>
      <c r="R237" s="1"/>
      <c r="S237" s="1"/>
      <c r="T237" s="1"/>
      <c r="U237" s="1"/>
      <c r="V237" s="1"/>
      <c r="W237" s="46"/>
      <c r="X237" s="8"/>
      <c r="Y237" s="8"/>
      <c r="Z237" s="8"/>
      <c r="AA237" s="8"/>
      <c r="AB237" s="8"/>
      <c r="AC237" s="8"/>
      <c r="AD237" s="8"/>
      <c r="AE237" s="8"/>
      <c r="AF237" s="8"/>
      <c r="AG237" s="8"/>
      <c r="AH237" s="45"/>
      <c r="AI237" s="8"/>
      <c r="AJ237" s="8"/>
      <c r="AK237" s="8"/>
      <c r="AL237" s="8"/>
      <c r="AM237" s="8"/>
      <c r="AN237" s="8"/>
      <c r="AO237" s="8"/>
      <c r="AP237" s="8"/>
      <c r="AQ237" s="8"/>
      <c r="AR237" s="8"/>
      <c r="AS237" s="1"/>
      <c r="AT237" s="1"/>
      <c r="AU237" s="1"/>
      <c r="AV237" s="1"/>
      <c r="AW237" s="1"/>
      <c r="AX237" s="1"/>
      <c r="AY237" s="1"/>
      <c r="AZ237" s="1"/>
    </row>
    <row r="238" spans="1:52" x14ac:dyDescent="0.25">
      <c r="A238" s="1"/>
      <c r="B238" s="1"/>
      <c r="C238" s="1"/>
      <c r="D238" s="27"/>
      <c r="E238" s="38"/>
      <c r="F238" s="38"/>
      <c r="G238" s="38"/>
      <c r="H238" s="38"/>
      <c r="I238" s="38"/>
      <c r="J238" s="38"/>
      <c r="K238" s="1"/>
      <c r="L238" s="1"/>
      <c r="M238" s="1"/>
      <c r="N238" s="1"/>
      <c r="O238" s="1"/>
      <c r="P238" s="1"/>
      <c r="Q238" s="1"/>
      <c r="R238" s="1"/>
      <c r="S238" s="1"/>
      <c r="T238" s="1"/>
      <c r="U238" s="1"/>
      <c r="V238" s="1"/>
      <c r="W238" s="46"/>
      <c r="X238" s="8"/>
      <c r="Y238" s="8"/>
      <c r="Z238" s="8"/>
      <c r="AA238" s="8"/>
      <c r="AB238" s="8"/>
      <c r="AC238" s="8"/>
      <c r="AD238" s="8"/>
      <c r="AE238" s="8"/>
      <c r="AF238" s="8"/>
      <c r="AG238" s="8"/>
      <c r="AH238" s="45"/>
      <c r="AI238" s="8"/>
      <c r="AJ238" s="8"/>
      <c r="AK238" s="8"/>
      <c r="AL238" s="8"/>
      <c r="AM238" s="8"/>
      <c r="AN238" s="8"/>
      <c r="AO238" s="8"/>
      <c r="AP238" s="8"/>
      <c r="AQ238" s="8"/>
      <c r="AR238" s="8"/>
      <c r="AS238" s="1"/>
      <c r="AT238" s="1"/>
      <c r="AU238" s="1"/>
      <c r="AV238" s="1"/>
      <c r="AW238" s="1"/>
      <c r="AX238" s="1"/>
      <c r="AY238" s="1"/>
      <c r="AZ238" s="1"/>
    </row>
    <row r="239" spans="1:52" x14ac:dyDescent="0.25">
      <c r="A239" s="1"/>
      <c r="B239" s="1"/>
      <c r="C239" s="1"/>
      <c r="D239" s="27"/>
      <c r="E239" s="38"/>
      <c r="F239" s="38"/>
      <c r="G239" s="38"/>
      <c r="H239" s="38"/>
      <c r="I239" s="38"/>
      <c r="J239" s="38"/>
      <c r="K239" s="1"/>
      <c r="L239" s="1"/>
      <c r="M239" s="1"/>
      <c r="N239" s="1"/>
      <c r="O239" s="1"/>
      <c r="P239" s="1"/>
      <c r="Q239" s="1"/>
      <c r="R239" s="1"/>
      <c r="S239" s="1"/>
      <c r="T239" s="1"/>
      <c r="U239" s="1"/>
      <c r="V239" s="1"/>
      <c r="W239" s="46"/>
      <c r="X239" s="8"/>
      <c r="Y239" s="8"/>
      <c r="Z239" s="8"/>
      <c r="AA239" s="8"/>
      <c r="AB239" s="8"/>
      <c r="AC239" s="8"/>
      <c r="AD239" s="8"/>
      <c r="AE239" s="8"/>
      <c r="AF239" s="8"/>
      <c r="AG239" s="8"/>
      <c r="AH239" s="45"/>
      <c r="AI239" s="8"/>
      <c r="AJ239" s="8"/>
      <c r="AK239" s="8"/>
      <c r="AL239" s="8"/>
      <c r="AM239" s="8"/>
      <c r="AN239" s="8"/>
      <c r="AO239" s="8"/>
      <c r="AP239" s="8"/>
      <c r="AQ239" s="8"/>
      <c r="AR239" s="8"/>
      <c r="AS239" s="1"/>
      <c r="AT239" s="1"/>
      <c r="AU239" s="1"/>
      <c r="AV239" s="1"/>
      <c r="AW239" s="1"/>
      <c r="AX239" s="1"/>
      <c r="AY239" s="1"/>
      <c r="AZ239" s="1"/>
    </row>
    <row r="240" spans="1:52" x14ac:dyDescent="0.25">
      <c r="A240" s="1"/>
      <c r="B240" s="1"/>
      <c r="C240" s="1"/>
      <c r="D240" s="27"/>
      <c r="E240" s="38"/>
      <c r="F240" s="38"/>
      <c r="G240" s="38"/>
      <c r="H240" s="38"/>
      <c r="I240" s="38"/>
      <c r="J240" s="38"/>
      <c r="K240" s="1"/>
      <c r="L240" s="1"/>
      <c r="M240" s="1"/>
      <c r="N240" s="1"/>
      <c r="O240" s="1"/>
      <c r="P240" s="1"/>
      <c r="Q240" s="1"/>
      <c r="R240" s="1"/>
      <c r="S240" s="1"/>
      <c r="T240" s="1"/>
      <c r="U240" s="1"/>
      <c r="V240" s="1"/>
      <c r="W240" s="46"/>
      <c r="X240" s="8"/>
      <c r="Y240" s="8"/>
      <c r="Z240" s="8"/>
      <c r="AA240" s="8"/>
      <c r="AB240" s="8"/>
      <c r="AC240" s="8"/>
      <c r="AD240" s="8"/>
      <c r="AE240" s="8"/>
      <c r="AF240" s="8"/>
      <c r="AG240" s="8"/>
      <c r="AH240" s="45"/>
      <c r="AI240" s="8"/>
      <c r="AJ240" s="8"/>
      <c r="AK240" s="8"/>
      <c r="AL240" s="8"/>
      <c r="AM240" s="8"/>
      <c r="AN240" s="8"/>
      <c r="AO240" s="8"/>
      <c r="AP240" s="8"/>
      <c r="AQ240" s="8"/>
      <c r="AR240" s="8"/>
      <c r="AS240" s="1"/>
      <c r="AT240" s="1"/>
      <c r="AU240" s="1"/>
      <c r="AV240" s="1"/>
      <c r="AW240" s="1"/>
      <c r="AX240" s="1"/>
      <c r="AY240" s="1"/>
      <c r="AZ240" s="1"/>
    </row>
    <row r="241" spans="1:52" x14ac:dyDescent="0.25">
      <c r="A241" s="1"/>
      <c r="B241" s="1"/>
      <c r="C241" s="1"/>
      <c r="D241" s="27"/>
      <c r="E241" s="38"/>
      <c r="F241" s="38"/>
      <c r="G241" s="38"/>
      <c r="H241" s="38"/>
      <c r="I241" s="38"/>
      <c r="J241" s="38"/>
      <c r="K241" s="1"/>
      <c r="L241" s="1"/>
      <c r="M241" s="1"/>
      <c r="N241" s="1"/>
      <c r="O241" s="1"/>
      <c r="P241" s="1"/>
      <c r="Q241" s="1"/>
      <c r="R241" s="1"/>
      <c r="S241" s="1"/>
      <c r="T241" s="1"/>
      <c r="U241" s="1"/>
      <c r="V241" s="1"/>
      <c r="W241" s="46"/>
      <c r="X241" s="8"/>
      <c r="Y241" s="8"/>
      <c r="Z241" s="8"/>
      <c r="AA241" s="8"/>
      <c r="AB241" s="8"/>
      <c r="AC241" s="8"/>
      <c r="AD241" s="8"/>
      <c r="AE241" s="8"/>
      <c r="AF241" s="8"/>
      <c r="AG241" s="8"/>
      <c r="AH241" s="45"/>
      <c r="AI241" s="8"/>
      <c r="AJ241" s="8"/>
      <c r="AK241" s="8"/>
      <c r="AL241" s="8"/>
      <c r="AM241" s="8"/>
      <c r="AN241" s="8"/>
      <c r="AO241" s="8"/>
      <c r="AP241" s="8"/>
      <c r="AQ241" s="8"/>
      <c r="AR241" s="8"/>
      <c r="AS241" s="1"/>
      <c r="AT241" s="1"/>
      <c r="AU241" s="1"/>
      <c r="AV241" s="1"/>
      <c r="AW241" s="1"/>
      <c r="AX241" s="1"/>
      <c r="AY241" s="1"/>
      <c r="AZ241" s="1"/>
    </row>
    <row r="242" spans="1:52" x14ac:dyDescent="0.25">
      <c r="A242" s="1"/>
      <c r="B242" s="1"/>
      <c r="C242" s="1"/>
      <c r="D242" s="27"/>
      <c r="E242" s="38"/>
      <c r="F242" s="38"/>
      <c r="G242" s="38"/>
      <c r="H242" s="38"/>
      <c r="I242" s="38"/>
      <c r="J242" s="38"/>
      <c r="K242" s="1"/>
      <c r="L242" s="1"/>
      <c r="M242" s="1"/>
      <c r="N242" s="1"/>
      <c r="O242" s="1"/>
      <c r="P242" s="1"/>
      <c r="Q242" s="1"/>
      <c r="R242" s="1"/>
      <c r="S242" s="1"/>
      <c r="T242" s="1"/>
      <c r="U242" s="1"/>
      <c r="V242" s="1"/>
      <c r="W242" s="46"/>
      <c r="X242" s="8"/>
      <c r="Y242" s="8"/>
      <c r="Z242" s="8"/>
      <c r="AA242" s="8"/>
      <c r="AB242" s="8"/>
      <c r="AC242" s="8"/>
      <c r="AD242" s="8"/>
      <c r="AE242" s="8"/>
      <c r="AF242" s="8"/>
      <c r="AG242" s="8"/>
      <c r="AH242" s="45"/>
      <c r="AI242" s="8"/>
      <c r="AJ242" s="8"/>
      <c r="AK242" s="8"/>
      <c r="AL242" s="8"/>
      <c r="AM242" s="8"/>
      <c r="AN242" s="8"/>
      <c r="AO242" s="8"/>
      <c r="AP242" s="8"/>
      <c r="AQ242" s="8"/>
      <c r="AR242" s="8"/>
      <c r="AS242" s="1"/>
      <c r="AT242" s="1"/>
      <c r="AU242" s="1"/>
      <c r="AV242" s="1"/>
      <c r="AW242" s="1"/>
      <c r="AX242" s="1"/>
      <c r="AY242" s="1"/>
      <c r="AZ242" s="1"/>
    </row>
    <row r="243" spans="1:52" x14ac:dyDescent="0.25">
      <c r="A243" s="1"/>
      <c r="B243" s="1"/>
      <c r="C243" s="1"/>
      <c r="D243" s="27"/>
      <c r="E243" s="38"/>
      <c r="F243" s="38"/>
      <c r="G243" s="38"/>
      <c r="H243" s="38"/>
      <c r="I243" s="38"/>
      <c r="J243" s="38"/>
      <c r="K243" s="1"/>
      <c r="L243" s="1"/>
      <c r="M243" s="1"/>
      <c r="N243" s="1"/>
      <c r="O243" s="1"/>
      <c r="P243" s="1"/>
      <c r="Q243" s="1"/>
      <c r="R243" s="1"/>
      <c r="S243" s="1"/>
      <c r="T243" s="1"/>
      <c r="U243" s="1"/>
      <c r="V243" s="1"/>
      <c r="W243" s="46"/>
      <c r="X243" s="8"/>
      <c r="Y243" s="8"/>
      <c r="Z243" s="8"/>
      <c r="AA243" s="8"/>
      <c r="AB243" s="8"/>
      <c r="AC243" s="8"/>
      <c r="AD243" s="8"/>
      <c r="AE243" s="8"/>
      <c r="AF243" s="8"/>
      <c r="AG243" s="8"/>
      <c r="AH243" s="45"/>
      <c r="AI243" s="8"/>
      <c r="AJ243" s="8"/>
      <c r="AK243" s="8"/>
      <c r="AL243" s="8"/>
      <c r="AM243" s="8"/>
      <c r="AN243" s="8"/>
      <c r="AO243" s="8"/>
      <c r="AP243" s="8"/>
      <c r="AQ243" s="8"/>
      <c r="AR243" s="8"/>
      <c r="AS243" s="1"/>
      <c r="AT243" s="1"/>
      <c r="AU243" s="1"/>
      <c r="AV243" s="1"/>
      <c r="AW243" s="1"/>
      <c r="AX243" s="1"/>
      <c r="AY243" s="1"/>
      <c r="AZ243" s="1"/>
    </row>
    <row r="244" spans="1:52" x14ac:dyDescent="0.25">
      <c r="A244" s="1"/>
      <c r="B244" s="1"/>
      <c r="C244" s="1"/>
      <c r="D244" s="27"/>
      <c r="E244" s="38"/>
      <c r="F244" s="38"/>
      <c r="G244" s="38"/>
      <c r="H244" s="38"/>
      <c r="I244" s="38"/>
      <c r="J244" s="38"/>
      <c r="K244" s="1"/>
      <c r="L244" s="1"/>
      <c r="M244" s="1"/>
      <c r="N244" s="1"/>
      <c r="O244" s="1"/>
      <c r="P244" s="1"/>
      <c r="Q244" s="1"/>
      <c r="R244" s="1"/>
      <c r="S244" s="1"/>
      <c r="T244" s="1"/>
      <c r="U244" s="1"/>
      <c r="V244" s="1"/>
      <c r="W244" s="46"/>
      <c r="X244" s="8"/>
      <c r="Y244" s="8"/>
      <c r="Z244" s="8"/>
      <c r="AA244" s="8"/>
      <c r="AB244" s="8"/>
      <c r="AC244" s="8"/>
      <c r="AD244" s="8"/>
      <c r="AE244" s="8"/>
      <c r="AF244" s="8"/>
      <c r="AG244" s="8"/>
      <c r="AH244" s="45"/>
      <c r="AI244" s="8"/>
      <c r="AJ244" s="8"/>
      <c r="AK244" s="8"/>
      <c r="AL244" s="8"/>
      <c r="AM244" s="8"/>
      <c r="AN244" s="8"/>
      <c r="AO244" s="8"/>
      <c r="AP244" s="8"/>
      <c r="AQ244" s="8"/>
      <c r="AR244" s="8"/>
      <c r="AS244" s="1"/>
      <c r="AT244" s="1"/>
      <c r="AU244" s="1"/>
      <c r="AV244" s="1"/>
      <c r="AW244" s="1"/>
      <c r="AX244" s="1"/>
      <c r="AY244" s="1"/>
      <c r="AZ244" s="1"/>
    </row>
    <row r="245" spans="1:52" x14ac:dyDescent="0.25">
      <c r="A245" s="1"/>
      <c r="B245" s="1"/>
      <c r="C245" s="1"/>
      <c r="D245" s="27"/>
      <c r="E245" s="38"/>
      <c r="F245" s="38"/>
      <c r="G245" s="38"/>
      <c r="H245" s="38"/>
      <c r="I245" s="38"/>
      <c r="J245" s="38"/>
      <c r="K245" s="1"/>
      <c r="L245" s="1"/>
      <c r="M245" s="1"/>
      <c r="N245" s="1"/>
      <c r="O245" s="1"/>
      <c r="P245" s="1"/>
      <c r="Q245" s="1"/>
      <c r="R245" s="1"/>
      <c r="S245" s="1"/>
      <c r="T245" s="1"/>
      <c r="U245" s="1"/>
      <c r="V245" s="1"/>
      <c r="W245" s="46"/>
      <c r="X245" s="8"/>
      <c r="Y245" s="8"/>
      <c r="Z245" s="8"/>
      <c r="AA245" s="8"/>
      <c r="AB245" s="8"/>
      <c r="AC245" s="8"/>
      <c r="AD245" s="8"/>
      <c r="AE245" s="8"/>
      <c r="AF245" s="8"/>
      <c r="AG245" s="8"/>
      <c r="AH245" s="45"/>
      <c r="AI245" s="8"/>
      <c r="AJ245" s="8"/>
      <c r="AK245" s="8"/>
      <c r="AL245" s="8"/>
      <c r="AM245" s="8"/>
      <c r="AN245" s="8"/>
      <c r="AO245" s="8"/>
      <c r="AP245" s="8"/>
      <c r="AQ245" s="8"/>
      <c r="AR245" s="8"/>
      <c r="AS245" s="1"/>
      <c r="AT245" s="1"/>
      <c r="AU245" s="1"/>
      <c r="AV245" s="1"/>
      <c r="AW245" s="1"/>
      <c r="AX245" s="1"/>
      <c r="AY245" s="1"/>
      <c r="AZ245" s="1"/>
    </row>
    <row r="246" spans="1:52" x14ac:dyDescent="0.25">
      <c r="A246" s="1"/>
      <c r="B246" s="1"/>
      <c r="C246" s="1"/>
      <c r="D246" s="27"/>
      <c r="E246" s="38"/>
      <c r="F246" s="38"/>
      <c r="G246" s="38"/>
      <c r="H246" s="38"/>
      <c r="I246" s="38"/>
      <c r="J246" s="38"/>
      <c r="K246" s="1"/>
      <c r="L246" s="1"/>
      <c r="M246" s="1"/>
      <c r="N246" s="1"/>
      <c r="O246" s="1"/>
      <c r="P246" s="1"/>
      <c r="Q246" s="1"/>
      <c r="R246" s="1"/>
      <c r="S246" s="1"/>
      <c r="T246" s="1"/>
      <c r="U246" s="1"/>
      <c r="V246" s="1"/>
      <c r="W246" s="46"/>
      <c r="X246" s="8"/>
      <c r="Y246" s="8"/>
      <c r="Z246" s="8"/>
      <c r="AA246" s="8"/>
      <c r="AB246" s="8"/>
      <c r="AC246" s="8"/>
      <c r="AD246" s="8"/>
      <c r="AE246" s="8"/>
      <c r="AF246" s="8"/>
      <c r="AG246" s="8"/>
      <c r="AH246" s="45"/>
      <c r="AI246" s="8"/>
      <c r="AJ246" s="8"/>
      <c r="AK246" s="8"/>
      <c r="AL246" s="8"/>
      <c r="AM246" s="8"/>
      <c r="AN246" s="8"/>
      <c r="AO246" s="8"/>
      <c r="AP246" s="8"/>
      <c r="AQ246" s="8"/>
      <c r="AR246" s="8"/>
      <c r="AS246" s="1"/>
      <c r="AT246" s="1"/>
      <c r="AU246" s="1"/>
      <c r="AV246" s="1"/>
      <c r="AW246" s="1"/>
      <c r="AX246" s="1"/>
      <c r="AY246" s="1"/>
      <c r="AZ246" s="1"/>
    </row>
    <row r="247" spans="1:52" x14ac:dyDescent="0.25">
      <c r="A247" s="1"/>
      <c r="B247" s="1"/>
      <c r="C247" s="1"/>
      <c r="D247" s="27"/>
      <c r="E247" s="38"/>
      <c r="F247" s="38"/>
      <c r="G247" s="38"/>
      <c r="H247" s="38"/>
      <c r="I247" s="38"/>
      <c r="J247" s="38"/>
      <c r="K247" s="1"/>
      <c r="L247" s="1"/>
      <c r="M247" s="1"/>
      <c r="N247" s="1"/>
      <c r="O247" s="1"/>
      <c r="P247" s="1"/>
      <c r="Q247" s="1"/>
      <c r="R247" s="1"/>
      <c r="S247" s="1"/>
      <c r="T247" s="1"/>
      <c r="U247" s="1"/>
      <c r="V247" s="1"/>
      <c r="W247" s="46"/>
      <c r="X247" s="8"/>
      <c r="Y247" s="8"/>
      <c r="Z247" s="8"/>
      <c r="AA247" s="8"/>
      <c r="AB247" s="8"/>
      <c r="AC247" s="8"/>
      <c r="AD247" s="8"/>
      <c r="AE247" s="8"/>
      <c r="AF247" s="8"/>
      <c r="AG247" s="8"/>
      <c r="AH247" s="45"/>
      <c r="AI247" s="8"/>
      <c r="AJ247" s="8"/>
      <c r="AK247" s="8"/>
      <c r="AL247" s="8"/>
      <c r="AM247" s="8"/>
      <c r="AN247" s="8"/>
      <c r="AO247" s="8"/>
      <c r="AP247" s="8"/>
      <c r="AQ247" s="8"/>
      <c r="AR247" s="8"/>
      <c r="AS247" s="1"/>
      <c r="AT247" s="1"/>
      <c r="AU247" s="1"/>
      <c r="AV247" s="1"/>
      <c r="AW247" s="1"/>
      <c r="AX247" s="1"/>
      <c r="AY247" s="1"/>
      <c r="AZ247" s="1"/>
    </row>
    <row r="248" spans="1:52" x14ac:dyDescent="0.25">
      <c r="A248" s="1"/>
      <c r="B248" s="1"/>
      <c r="C248" s="1"/>
      <c r="D248" s="27"/>
      <c r="E248" s="38"/>
      <c r="F248" s="38"/>
      <c r="G248" s="38"/>
      <c r="H248" s="38"/>
      <c r="I248" s="38"/>
      <c r="J248" s="38"/>
      <c r="K248" s="1"/>
      <c r="L248" s="1"/>
      <c r="M248" s="1"/>
      <c r="N248" s="1"/>
      <c r="O248" s="1"/>
      <c r="P248" s="1"/>
      <c r="Q248" s="1"/>
      <c r="R248" s="1"/>
      <c r="S248" s="1"/>
      <c r="T248" s="1"/>
      <c r="U248" s="1"/>
      <c r="V248" s="1"/>
      <c r="W248" s="46"/>
      <c r="X248" s="8"/>
      <c r="Y248" s="8"/>
      <c r="Z248" s="8"/>
      <c r="AA248" s="8"/>
      <c r="AB248" s="8"/>
      <c r="AC248" s="8"/>
      <c r="AD248" s="8"/>
      <c r="AE248" s="8"/>
      <c r="AF248" s="8"/>
      <c r="AG248" s="8"/>
      <c r="AH248" s="45"/>
      <c r="AI248" s="8"/>
      <c r="AJ248" s="8"/>
      <c r="AK248" s="8"/>
      <c r="AL248" s="8"/>
      <c r="AM248" s="8"/>
      <c r="AN248" s="8"/>
      <c r="AO248" s="8"/>
      <c r="AP248" s="8"/>
      <c r="AQ248" s="8"/>
      <c r="AR248" s="8"/>
      <c r="AS248" s="1"/>
      <c r="AT248" s="1"/>
      <c r="AU248" s="1"/>
      <c r="AV248" s="1"/>
      <c r="AW248" s="1"/>
      <c r="AX248" s="1"/>
      <c r="AY248" s="1"/>
      <c r="AZ248" s="1"/>
    </row>
    <row r="249" spans="1:52" x14ac:dyDescent="0.25">
      <c r="A249" s="1"/>
      <c r="B249" s="1"/>
      <c r="C249" s="1"/>
      <c r="D249" s="27"/>
      <c r="E249" s="38"/>
      <c r="F249" s="38"/>
      <c r="G249" s="38"/>
      <c r="H249" s="38"/>
      <c r="I249" s="38"/>
      <c r="J249" s="38"/>
      <c r="K249" s="1"/>
      <c r="L249" s="1"/>
      <c r="M249" s="1"/>
      <c r="N249" s="1"/>
      <c r="O249" s="1"/>
      <c r="P249" s="1"/>
      <c r="Q249" s="1"/>
      <c r="R249" s="1"/>
      <c r="S249" s="1"/>
      <c r="T249" s="1"/>
      <c r="U249" s="1"/>
      <c r="V249" s="1"/>
      <c r="W249" s="46"/>
      <c r="X249" s="8"/>
      <c r="Y249" s="8"/>
      <c r="Z249" s="8"/>
      <c r="AA249" s="8"/>
      <c r="AB249" s="8"/>
      <c r="AC249" s="8"/>
      <c r="AD249" s="8"/>
      <c r="AE249" s="8"/>
      <c r="AF249" s="8"/>
      <c r="AG249" s="8"/>
      <c r="AH249" s="45"/>
      <c r="AI249" s="8"/>
      <c r="AJ249" s="8"/>
      <c r="AK249" s="8"/>
      <c r="AL249" s="8"/>
      <c r="AM249" s="8"/>
      <c r="AN249" s="8"/>
      <c r="AO249" s="8"/>
      <c r="AP249" s="8"/>
      <c r="AQ249" s="8"/>
      <c r="AR249" s="8"/>
      <c r="AS249" s="1"/>
      <c r="AT249" s="1"/>
      <c r="AU249" s="1"/>
      <c r="AV249" s="1"/>
      <c r="AW249" s="1"/>
      <c r="AX249" s="1"/>
      <c r="AY249" s="1"/>
      <c r="AZ249" s="1"/>
    </row>
    <row r="250" spans="1:52" x14ac:dyDescent="0.25">
      <c r="A250" s="1"/>
      <c r="B250" s="1"/>
      <c r="C250" s="1"/>
      <c r="D250" s="27"/>
      <c r="E250" s="38"/>
      <c r="F250" s="38"/>
      <c r="G250" s="38"/>
      <c r="H250" s="38"/>
      <c r="I250" s="38"/>
      <c r="J250" s="38"/>
      <c r="K250" s="1"/>
      <c r="L250" s="1"/>
      <c r="M250" s="1"/>
      <c r="N250" s="1"/>
      <c r="O250" s="1"/>
      <c r="P250" s="1"/>
      <c r="Q250" s="1"/>
      <c r="R250" s="1"/>
      <c r="S250" s="1"/>
      <c r="T250" s="1"/>
      <c r="U250" s="1"/>
      <c r="V250" s="1"/>
      <c r="W250" s="46"/>
      <c r="X250" s="8"/>
      <c r="Y250" s="8"/>
      <c r="Z250" s="8"/>
      <c r="AA250" s="8"/>
      <c r="AB250" s="8"/>
      <c r="AC250" s="8"/>
      <c r="AD250" s="8"/>
      <c r="AE250" s="8"/>
      <c r="AF250" s="8"/>
      <c r="AG250" s="8"/>
      <c r="AH250" s="45"/>
      <c r="AI250" s="8"/>
      <c r="AJ250" s="8"/>
      <c r="AK250" s="8"/>
      <c r="AL250" s="8"/>
      <c r="AM250" s="8"/>
      <c r="AN250" s="8"/>
      <c r="AO250" s="8"/>
      <c r="AP250" s="8"/>
      <c r="AQ250" s="8"/>
      <c r="AR250" s="8"/>
      <c r="AS250" s="1"/>
      <c r="AT250" s="1"/>
      <c r="AU250" s="1"/>
      <c r="AV250" s="1"/>
      <c r="AW250" s="1"/>
      <c r="AX250" s="1"/>
      <c r="AY250" s="1"/>
      <c r="AZ250" s="1"/>
    </row>
    <row r="251" spans="1:52" x14ac:dyDescent="0.25">
      <c r="A251" s="1"/>
      <c r="B251" s="1"/>
      <c r="C251" s="1"/>
      <c r="D251" s="27"/>
      <c r="E251" s="38"/>
      <c r="F251" s="38"/>
      <c r="G251" s="38"/>
      <c r="H251" s="38"/>
      <c r="I251" s="38"/>
      <c r="J251" s="38"/>
      <c r="K251" s="1"/>
      <c r="L251" s="1"/>
      <c r="M251" s="1"/>
      <c r="N251" s="1"/>
      <c r="O251" s="1"/>
      <c r="P251" s="1"/>
      <c r="Q251" s="1"/>
      <c r="R251" s="1"/>
      <c r="S251" s="1"/>
      <c r="T251" s="1"/>
      <c r="U251" s="1"/>
      <c r="V251" s="1"/>
      <c r="W251" s="46"/>
      <c r="X251" s="8"/>
      <c r="Y251" s="8"/>
      <c r="Z251" s="8"/>
      <c r="AA251" s="8"/>
      <c r="AB251" s="8"/>
      <c r="AC251" s="8"/>
      <c r="AD251" s="8"/>
      <c r="AE251" s="8"/>
      <c r="AF251" s="8"/>
      <c r="AG251" s="8"/>
      <c r="AH251" s="45"/>
      <c r="AI251" s="8"/>
      <c r="AJ251" s="8"/>
      <c r="AK251" s="8"/>
      <c r="AL251" s="8"/>
      <c r="AM251" s="8"/>
      <c r="AN251" s="8"/>
      <c r="AO251" s="8"/>
      <c r="AP251" s="8"/>
      <c r="AQ251" s="8"/>
      <c r="AR251" s="8"/>
      <c r="AS251" s="1"/>
      <c r="AT251" s="1"/>
      <c r="AU251" s="1"/>
      <c r="AV251" s="1"/>
      <c r="AW251" s="1"/>
      <c r="AX251" s="1"/>
      <c r="AY251" s="1"/>
      <c r="AZ251" s="1"/>
    </row>
    <row r="252" spans="1:52" x14ac:dyDescent="0.25">
      <c r="A252" s="1"/>
      <c r="B252" s="1"/>
      <c r="C252" s="1"/>
      <c r="D252" s="27"/>
      <c r="E252" s="38"/>
      <c r="F252" s="38"/>
      <c r="G252" s="38"/>
      <c r="H252" s="38"/>
      <c r="I252" s="38"/>
      <c r="J252" s="38"/>
      <c r="K252" s="1"/>
      <c r="L252" s="1"/>
      <c r="M252" s="1"/>
      <c r="N252" s="1"/>
      <c r="O252" s="1"/>
      <c r="P252" s="1"/>
      <c r="Q252" s="1"/>
      <c r="R252" s="1"/>
      <c r="S252" s="1"/>
      <c r="T252" s="1"/>
      <c r="U252" s="1"/>
      <c r="V252" s="1"/>
      <c r="W252" s="46"/>
      <c r="X252" s="8"/>
      <c r="Y252" s="8"/>
      <c r="Z252" s="8"/>
      <c r="AA252" s="8"/>
      <c r="AB252" s="8"/>
      <c r="AC252" s="8"/>
      <c r="AD252" s="8"/>
      <c r="AE252" s="8"/>
      <c r="AF252" s="8"/>
      <c r="AG252" s="8"/>
      <c r="AH252" s="45"/>
      <c r="AI252" s="8"/>
      <c r="AJ252" s="8"/>
      <c r="AK252" s="8"/>
      <c r="AL252" s="8"/>
      <c r="AM252" s="8"/>
      <c r="AN252" s="8"/>
      <c r="AO252" s="8"/>
      <c r="AP252" s="8"/>
      <c r="AQ252" s="8"/>
      <c r="AR252" s="8"/>
      <c r="AS252" s="1"/>
      <c r="AT252" s="1"/>
      <c r="AU252" s="1"/>
      <c r="AV252" s="1"/>
      <c r="AW252" s="1"/>
      <c r="AX252" s="1"/>
      <c r="AY252" s="1"/>
      <c r="AZ252" s="1"/>
    </row>
    <row r="253" spans="1:52" x14ac:dyDescent="0.25">
      <c r="A253" s="1"/>
      <c r="B253" s="1"/>
      <c r="C253" s="1"/>
      <c r="D253" s="27"/>
      <c r="E253" s="38"/>
      <c r="F253" s="38"/>
      <c r="G253" s="38"/>
      <c r="H253" s="38"/>
      <c r="I253" s="38"/>
      <c r="J253" s="38"/>
      <c r="K253" s="1"/>
      <c r="L253" s="1"/>
      <c r="M253" s="1"/>
      <c r="N253" s="1"/>
      <c r="O253" s="1"/>
      <c r="P253" s="1"/>
      <c r="Q253" s="1"/>
      <c r="R253" s="1"/>
      <c r="S253" s="1"/>
      <c r="T253" s="1"/>
      <c r="U253" s="1"/>
      <c r="V253" s="1"/>
      <c r="W253" s="46"/>
      <c r="X253" s="8"/>
      <c r="Y253" s="8"/>
      <c r="Z253" s="8"/>
      <c r="AA253" s="8"/>
      <c r="AB253" s="8"/>
      <c r="AC253" s="8"/>
      <c r="AD253" s="8"/>
      <c r="AE253" s="8"/>
      <c r="AF253" s="8"/>
      <c r="AG253" s="8"/>
      <c r="AH253" s="45"/>
      <c r="AI253" s="8"/>
      <c r="AJ253" s="8"/>
      <c r="AK253" s="8"/>
      <c r="AL253" s="8"/>
      <c r="AM253" s="8"/>
      <c r="AN253" s="8"/>
      <c r="AO253" s="8"/>
      <c r="AP253" s="8"/>
      <c r="AQ253" s="8"/>
      <c r="AR253" s="8"/>
      <c r="AS253" s="1"/>
      <c r="AT253" s="1"/>
      <c r="AU253" s="1"/>
      <c r="AV253" s="1"/>
      <c r="AW253" s="1"/>
      <c r="AX253" s="1"/>
      <c r="AY253" s="1"/>
      <c r="AZ253" s="1"/>
    </row>
    <row r="254" spans="1:52" x14ac:dyDescent="0.25">
      <c r="A254" s="1"/>
      <c r="B254" s="1"/>
      <c r="C254" s="1"/>
      <c r="D254" s="27"/>
      <c r="E254" s="38"/>
      <c r="F254" s="38"/>
      <c r="G254" s="38"/>
      <c r="H254" s="38"/>
      <c r="I254" s="38"/>
      <c r="J254" s="38"/>
      <c r="K254" s="1"/>
      <c r="L254" s="1"/>
      <c r="M254" s="1"/>
      <c r="N254" s="1"/>
      <c r="O254" s="1"/>
      <c r="P254" s="1"/>
      <c r="Q254" s="1"/>
      <c r="R254" s="1"/>
      <c r="S254" s="1"/>
      <c r="T254" s="1"/>
      <c r="U254" s="1"/>
      <c r="V254" s="1"/>
      <c r="W254" s="46"/>
      <c r="X254" s="8"/>
      <c r="Y254" s="8"/>
      <c r="Z254" s="8"/>
      <c r="AA254" s="8"/>
      <c r="AB254" s="8"/>
      <c r="AC254" s="8"/>
      <c r="AD254" s="8"/>
      <c r="AE254" s="8"/>
      <c r="AF254" s="8"/>
      <c r="AG254" s="8"/>
      <c r="AH254" s="45"/>
      <c r="AI254" s="8"/>
      <c r="AJ254" s="8"/>
      <c r="AK254" s="8"/>
      <c r="AL254" s="8"/>
      <c r="AM254" s="8"/>
      <c r="AN254" s="8"/>
      <c r="AO254" s="8"/>
      <c r="AP254" s="8"/>
      <c r="AQ254" s="8"/>
      <c r="AR254" s="8"/>
      <c r="AS254" s="1"/>
      <c r="AT254" s="1"/>
      <c r="AU254" s="1"/>
      <c r="AV254" s="1"/>
      <c r="AW254" s="1"/>
      <c r="AX254" s="1"/>
      <c r="AY254" s="1"/>
      <c r="AZ254" s="1"/>
    </row>
    <row r="255" spans="1:52" x14ac:dyDescent="0.25">
      <c r="A255" s="1"/>
      <c r="B255" s="1"/>
      <c r="C255" s="1"/>
      <c r="D255" s="27"/>
      <c r="E255" s="38"/>
      <c r="F255" s="38"/>
      <c r="G255" s="38"/>
      <c r="H255" s="38"/>
      <c r="I255" s="38"/>
      <c r="J255" s="38"/>
      <c r="K255" s="1"/>
      <c r="L255" s="1"/>
      <c r="M255" s="1"/>
      <c r="N255" s="1"/>
      <c r="O255" s="1"/>
      <c r="P255" s="1"/>
      <c r="Q255" s="1"/>
      <c r="R255" s="1"/>
      <c r="S255" s="1"/>
      <c r="T255" s="1"/>
      <c r="U255" s="1"/>
      <c r="V255" s="1"/>
      <c r="W255" s="46"/>
      <c r="X255" s="8"/>
      <c r="Y255" s="8"/>
      <c r="Z255" s="8"/>
      <c r="AA255" s="8"/>
      <c r="AB255" s="8"/>
      <c r="AC255" s="8"/>
      <c r="AD255" s="8"/>
      <c r="AE255" s="8"/>
      <c r="AF255" s="8"/>
      <c r="AG255" s="8"/>
      <c r="AH255" s="45"/>
      <c r="AI255" s="8"/>
      <c r="AJ255" s="8"/>
      <c r="AK255" s="8"/>
      <c r="AL255" s="8"/>
      <c r="AM255" s="8"/>
      <c r="AN255" s="8"/>
      <c r="AO255" s="8"/>
      <c r="AP255" s="8"/>
      <c r="AQ255" s="8"/>
      <c r="AR255" s="8"/>
      <c r="AS255" s="1"/>
      <c r="AT255" s="1"/>
      <c r="AU255" s="1"/>
      <c r="AV255" s="1"/>
      <c r="AW255" s="1"/>
      <c r="AX255" s="1"/>
      <c r="AY255" s="1"/>
      <c r="AZ255" s="1"/>
    </row>
    <row r="256" spans="1:52" x14ac:dyDescent="0.25">
      <c r="A256" s="1"/>
      <c r="B256" s="1"/>
      <c r="C256" s="1"/>
      <c r="D256" s="27"/>
      <c r="E256" s="38"/>
      <c r="F256" s="38"/>
      <c r="G256" s="38"/>
      <c r="H256" s="38"/>
      <c r="I256" s="38"/>
      <c r="J256" s="38"/>
      <c r="K256" s="1"/>
      <c r="L256" s="1"/>
      <c r="M256" s="1"/>
      <c r="N256" s="1"/>
      <c r="O256" s="1"/>
      <c r="P256" s="1"/>
      <c r="Q256" s="1"/>
      <c r="R256" s="1"/>
      <c r="S256" s="1"/>
      <c r="T256" s="1"/>
      <c r="U256" s="1"/>
      <c r="V256" s="1"/>
      <c r="W256" s="46"/>
      <c r="X256" s="8"/>
      <c r="Y256" s="8"/>
      <c r="Z256" s="8"/>
      <c r="AA256" s="8"/>
      <c r="AB256" s="8"/>
      <c r="AC256" s="8"/>
      <c r="AD256" s="8"/>
      <c r="AE256" s="8"/>
      <c r="AF256" s="8"/>
      <c r="AG256" s="8"/>
      <c r="AH256" s="45"/>
      <c r="AI256" s="8"/>
      <c r="AJ256" s="8"/>
      <c r="AK256" s="8"/>
      <c r="AL256" s="8"/>
      <c r="AM256" s="8"/>
      <c r="AN256" s="8"/>
      <c r="AO256" s="8"/>
      <c r="AP256" s="8"/>
      <c r="AQ256" s="8"/>
      <c r="AR256" s="8"/>
      <c r="AS256" s="1"/>
      <c r="AT256" s="1"/>
      <c r="AU256" s="1"/>
      <c r="AV256" s="1"/>
      <c r="AW256" s="1"/>
      <c r="AX256" s="1"/>
      <c r="AY256" s="1"/>
      <c r="AZ256" s="1"/>
    </row>
    <row r="257" spans="1:52" x14ac:dyDescent="0.25">
      <c r="A257" s="1"/>
      <c r="B257" s="1"/>
      <c r="C257" s="1"/>
      <c r="D257" s="27"/>
      <c r="E257" s="38"/>
      <c r="F257" s="38"/>
      <c r="G257" s="38"/>
      <c r="H257" s="38"/>
      <c r="I257" s="38"/>
      <c r="J257" s="38"/>
      <c r="K257" s="1"/>
      <c r="L257" s="1"/>
      <c r="M257" s="1"/>
      <c r="N257" s="1"/>
      <c r="O257" s="1"/>
      <c r="P257" s="1"/>
      <c r="Q257" s="1"/>
      <c r="R257" s="1"/>
      <c r="S257" s="1"/>
      <c r="T257" s="1"/>
      <c r="U257" s="1"/>
      <c r="V257" s="1"/>
      <c r="W257" s="46"/>
      <c r="X257" s="8"/>
      <c r="Y257" s="8"/>
      <c r="Z257" s="8"/>
      <c r="AA257" s="8"/>
      <c r="AB257" s="8"/>
      <c r="AC257" s="8"/>
      <c r="AD257" s="8"/>
      <c r="AE257" s="8"/>
      <c r="AF257" s="8"/>
      <c r="AG257" s="8"/>
      <c r="AH257" s="45"/>
      <c r="AI257" s="8"/>
      <c r="AJ257" s="8"/>
      <c r="AK257" s="8"/>
      <c r="AL257" s="8"/>
      <c r="AM257" s="8"/>
      <c r="AN257" s="8"/>
      <c r="AO257" s="8"/>
      <c r="AP257" s="8"/>
      <c r="AQ257" s="8"/>
      <c r="AR257" s="8"/>
      <c r="AS257" s="1"/>
      <c r="AT257" s="1"/>
      <c r="AU257" s="1"/>
      <c r="AV257" s="1"/>
      <c r="AW257" s="1"/>
      <c r="AX257" s="1"/>
      <c r="AY257" s="1"/>
      <c r="AZ257" s="1"/>
    </row>
    <row r="258" spans="1:52" x14ac:dyDescent="0.25">
      <c r="A258" s="1"/>
      <c r="B258" s="1"/>
      <c r="C258" s="1"/>
      <c r="D258" s="27"/>
      <c r="E258" s="38"/>
      <c r="F258" s="38"/>
      <c r="G258" s="38"/>
      <c r="H258" s="38"/>
      <c r="I258" s="38"/>
      <c r="J258" s="38"/>
      <c r="K258" s="1"/>
      <c r="L258" s="1"/>
      <c r="M258" s="1"/>
      <c r="N258" s="1"/>
      <c r="O258" s="1"/>
      <c r="P258" s="1"/>
      <c r="Q258" s="1"/>
      <c r="R258" s="1"/>
      <c r="S258" s="1"/>
      <c r="T258" s="1"/>
      <c r="U258" s="1"/>
      <c r="V258" s="1"/>
      <c r="W258" s="46"/>
      <c r="X258" s="8"/>
      <c r="Y258" s="8"/>
      <c r="Z258" s="8"/>
      <c r="AA258" s="8"/>
      <c r="AB258" s="8"/>
      <c r="AC258" s="8"/>
      <c r="AD258" s="8"/>
      <c r="AE258" s="8"/>
      <c r="AF258" s="8"/>
      <c r="AG258" s="8"/>
      <c r="AH258" s="45"/>
      <c r="AI258" s="8"/>
      <c r="AJ258" s="8"/>
      <c r="AK258" s="8"/>
      <c r="AL258" s="8"/>
      <c r="AM258" s="8"/>
      <c r="AN258" s="8"/>
      <c r="AO258" s="8"/>
      <c r="AP258" s="8"/>
      <c r="AQ258" s="8"/>
      <c r="AR258" s="8"/>
      <c r="AS258" s="1"/>
      <c r="AT258" s="1"/>
      <c r="AU258" s="1"/>
      <c r="AV258" s="1"/>
      <c r="AW258" s="1"/>
      <c r="AX258" s="1"/>
      <c r="AY258" s="1"/>
      <c r="AZ258" s="1"/>
    </row>
    <row r="259" spans="1:52" x14ac:dyDescent="0.25">
      <c r="A259" s="1"/>
      <c r="B259" s="1"/>
      <c r="C259" s="1"/>
      <c r="D259" s="27"/>
      <c r="E259" s="38"/>
      <c r="F259" s="38"/>
      <c r="G259" s="38"/>
      <c r="H259" s="38"/>
      <c r="I259" s="38"/>
      <c r="J259" s="38"/>
      <c r="K259" s="1"/>
      <c r="L259" s="1"/>
      <c r="M259" s="1"/>
      <c r="N259" s="1"/>
      <c r="O259" s="1"/>
      <c r="P259" s="1"/>
      <c r="Q259" s="1"/>
      <c r="R259" s="1"/>
      <c r="S259" s="1"/>
      <c r="T259" s="1"/>
      <c r="U259" s="1"/>
      <c r="V259" s="1"/>
      <c r="W259" s="46"/>
      <c r="X259" s="8"/>
      <c r="Y259" s="8"/>
      <c r="Z259" s="8"/>
      <c r="AA259" s="8"/>
      <c r="AB259" s="8"/>
      <c r="AC259" s="8"/>
      <c r="AD259" s="8"/>
      <c r="AE259" s="8"/>
      <c r="AF259" s="8"/>
      <c r="AG259" s="8"/>
      <c r="AH259" s="45"/>
      <c r="AI259" s="8"/>
      <c r="AJ259" s="8"/>
      <c r="AK259" s="8"/>
      <c r="AL259" s="8"/>
      <c r="AM259" s="8"/>
      <c r="AN259" s="8"/>
      <c r="AO259" s="8"/>
      <c r="AP259" s="8"/>
      <c r="AQ259" s="8"/>
      <c r="AR259" s="8"/>
      <c r="AS259" s="1"/>
      <c r="AT259" s="1"/>
      <c r="AU259" s="1"/>
      <c r="AV259" s="1"/>
      <c r="AW259" s="1"/>
      <c r="AX259" s="1"/>
      <c r="AY259" s="1"/>
      <c r="AZ259" s="1"/>
    </row>
    <row r="260" spans="1:52" x14ac:dyDescent="0.25">
      <c r="A260" s="1"/>
      <c r="B260" s="1"/>
      <c r="C260" s="1"/>
      <c r="D260" s="27"/>
      <c r="E260" s="38"/>
      <c r="F260" s="38"/>
      <c r="G260" s="38"/>
      <c r="H260" s="38"/>
      <c r="I260" s="38"/>
      <c r="J260" s="38"/>
      <c r="K260" s="1"/>
      <c r="L260" s="1"/>
      <c r="M260" s="1"/>
      <c r="N260" s="1"/>
      <c r="O260" s="1"/>
      <c r="P260" s="1"/>
      <c r="Q260" s="1"/>
      <c r="R260" s="1"/>
      <c r="S260" s="1"/>
      <c r="T260" s="1"/>
      <c r="U260" s="1"/>
      <c r="V260" s="1"/>
      <c r="W260" s="46"/>
      <c r="X260" s="8"/>
      <c r="Y260" s="8"/>
      <c r="Z260" s="8"/>
      <c r="AA260" s="8"/>
      <c r="AB260" s="8"/>
      <c r="AC260" s="8"/>
      <c r="AD260" s="8"/>
      <c r="AE260" s="8"/>
      <c r="AF260" s="8"/>
      <c r="AG260" s="8"/>
      <c r="AH260" s="45"/>
      <c r="AI260" s="8"/>
      <c r="AJ260" s="8"/>
      <c r="AK260" s="8"/>
      <c r="AL260" s="8"/>
      <c r="AM260" s="8"/>
      <c r="AN260" s="8"/>
      <c r="AO260" s="8"/>
      <c r="AP260" s="8"/>
      <c r="AQ260" s="8"/>
      <c r="AR260" s="8"/>
      <c r="AS260" s="1"/>
      <c r="AT260" s="1"/>
      <c r="AU260" s="1"/>
      <c r="AV260" s="1"/>
      <c r="AW260" s="1"/>
      <c r="AX260" s="1"/>
      <c r="AY260" s="1"/>
      <c r="AZ260" s="1"/>
    </row>
    <row r="261" spans="1:52" x14ac:dyDescent="0.25">
      <c r="A261" s="1"/>
      <c r="B261" s="1"/>
      <c r="C261" s="1"/>
      <c r="D261" s="27"/>
      <c r="E261" s="38"/>
      <c r="F261" s="38"/>
      <c r="G261" s="38"/>
      <c r="H261" s="38"/>
      <c r="I261" s="38"/>
      <c r="J261" s="38"/>
      <c r="K261" s="1"/>
      <c r="L261" s="1"/>
      <c r="M261" s="1"/>
      <c r="N261" s="1"/>
      <c r="O261" s="1"/>
      <c r="P261" s="1"/>
      <c r="Q261" s="1"/>
      <c r="R261" s="1"/>
      <c r="S261" s="1"/>
      <c r="T261" s="1"/>
      <c r="U261" s="1"/>
      <c r="V261" s="1"/>
      <c r="W261" s="46"/>
      <c r="X261" s="8"/>
      <c r="Y261" s="8"/>
      <c r="Z261" s="8"/>
      <c r="AA261" s="8"/>
      <c r="AB261" s="8"/>
      <c r="AC261" s="8"/>
      <c r="AD261" s="8"/>
      <c r="AE261" s="8"/>
      <c r="AF261" s="8"/>
      <c r="AG261" s="8"/>
      <c r="AH261" s="45"/>
      <c r="AI261" s="8"/>
      <c r="AJ261" s="8"/>
      <c r="AK261" s="8"/>
      <c r="AL261" s="8"/>
      <c r="AM261" s="8"/>
      <c r="AN261" s="8"/>
      <c r="AO261" s="8"/>
      <c r="AP261" s="8"/>
      <c r="AQ261" s="8"/>
      <c r="AR261" s="8"/>
      <c r="AS261" s="1"/>
      <c r="AT261" s="1"/>
      <c r="AU261" s="1"/>
      <c r="AV261" s="1"/>
      <c r="AW261" s="1"/>
      <c r="AX261" s="1"/>
      <c r="AY261" s="1"/>
      <c r="AZ261" s="1"/>
    </row>
    <row r="262" spans="1:52" x14ac:dyDescent="0.25">
      <c r="A262" s="1"/>
      <c r="B262" s="1"/>
      <c r="C262" s="1"/>
      <c r="D262" s="27"/>
      <c r="E262" s="38"/>
      <c r="F262" s="38"/>
      <c r="G262" s="38"/>
      <c r="H262" s="38"/>
      <c r="I262" s="38"/>
      <c r="J262" s="38"/>
      <c r="K262" s="1"/>
      <c r="L262" s="1"/>
      <c r="M262" s="1"/>
      <c r="N262" s="1"/>
      <c r="O262" s="1"/>
      <c r="P262" s="1"/>
      <c r="Q262" s="1"/>
      <c r="R262" s="1"/>
      <c r="S262" s="1"/>
      <c r="T262" s="1"/>
      <c r="U262" s="1"/>
      <c r="V262" s="1"/>
      <c r="W262" s="46"/>
      <c r="X262" s="8"/>
      <c r="Y262" s="8"/>
      <c r="Z262" s="8"/>
      <c r="AA262" s="8"/>
      <c r="AB262" s="8"/>
      <c r="AC262" s="8"/>
      <c r="AD262" s="8"/>
      <c r="AE262" s="8"/>
      <c r="AF262" s="8"/>
      <c r="AG262" s="8"/>
      <c r="AH262" s="45"/>
      <c r="AI262" s="8"/>
      <c r="AJ262" s="8"/>
      <c r="AK262" s="8"/>
      <c r="AL262" s="8"/>
      <c r="AM262" s="8"/>
      <c r="AN262" s="8"/>
      <c r="AO262" s="8"/>
      <c r="AP262" s="8"/>
      <c r="AQ262" s="8"/>
      <c r="AR262" s="8"/>
      <c r="AS262" s="1"/>
      <c r="AT262" s="1"/>
      <c r="AU262" s="1"/>
      <c r="AV262" s="1"/>
      <c r="AW262" s="1"/>
      <c r="AX262" s="1"/>
      <c r="AY262" s="1"/>
      <c r="AZ262" s="1"/>
    </row>
    <row r="263" spans="1:52" x14ac:dyDescent="0.25">
      <c r="A263" s="1"/>
      <c r="B263" s="1"/>
      <c r="C263" s="1"/>
      <c r="D263" s="27"/>
      <c r="E263" s="38"/>
      <c r="F263" s="38"/>
      <c r="G263" s="38"/>
      <c r="H263" s="38"/>
      <c r="I263" s="38"/>
      <c r="J263" s="38"/>
      <c r="K263" s="1"/>
      <c r="L263" s="1"/>
      <c r="M263" s="1"/>
      <c r="N263" s="1"/>
      <c r="O263" s="1"/>
      <c r="P263" s="1"/>
      <c r="Q263" s="1"/>
      <c r="R263" s="1"/>
      <c r="S263" s="1"/>
      <c r="T263" s="1"/>
      <c r="U263" s="1"/>
      <c r="V263" s="1"/>
      <c r="W263" s="46"/>
      <c r="X263" s="8"/>
      <c r="Y263" s="8"/>
      <c r="Z263" s="8"/>
      <c r="AA263" s="8"/>
      <c r="AB263" s="8"/>
      <c r="AC263" s="8"/>
      <c r="AD263" s="8"/>
      <c r="AE263" s="8"/>
      <c r="AF263" s="8"/>
      <c r="AG263" s="8"/>
      <c r="AH263" s="45"/>
      <c r="AI263" s="8"/>
      <c r="AJ263" s="8"/>
      <c r="AK263" s="8"/>
      <c r="AL263" s="8"/>
      <c r="AM263" s="8"/>
      <c r="AN263" s="8"/>
      <c r="AO263" s="8"/>
      <c r="AP263" s="8"/>
      <c r="AQ263" s="8"/>
      <c r="AR263" s="8"/>
      <c r="AS263" s="1"/>
      <c r="AT263" s="1"/>
      <c r="AU263" s="1"/>
      <c r="AV263" s="1"/>
      <c r="AW263" s="1"/>
      <c r="AX263" s="1"/>
      <c r="AY263" s="1"/>
      <c r="AZ263" s="1"/>
    </row>
    <row r="264" spans="1:52" x14ac:dyDescent="0.25">
      <c r="A264" s="1"/>
      <c r="B264" s="1"/>
      <c r="C264" s="1"/>
      <c r="D264" s="27"/>
      <c r="E264" s="38"/>
      <c r="F264" s="38"/>
      <c r="G264" s="38"/>
      <c r="H264" s="38"/>
      <c r="I264" s="38"/>
      <c r="J264" s="38"/>
      <c r="K264" s="1"/>
      <c r="L264" s="1"/>
      <c r="M264" s="1"/>
      <c r="N264" s="1"/>
      <c r="O264" s="1"/>
      <c r="P264" s="1"/>
      <c r="Q264" s="1"/>
      <c r="R264" s="1"/>
      <c r="S264" s="1"/>
      <c r="T264" s="1"/>
      <c r="U264" s="1"/>
      <c r="V264" s="1"/>
      <c r="W264" s="46"/>
      <c r="X264" s="8"/>
      <c r="Y264" s="8"/>
      <c r="Z264" s="8"/>
      <c r="AA264" s="8"/>
      <c r="AB264" s="8"/>
      <c r="AC264" s="8"/>
      <c r="AD264" s="8"/>
      <c r="AE264" s="8"/>
      <c r="AF264" s="8"/>
      <c r="AG264" s="8"/>
      <c r="AH264" s="45"/>
      <c r="AI264" s="8"/>
      <c r="AJ264" s="8"/>
      <c r="AK264" s="8"/>
      <c r="AL264" s="8"/>
      <c r="AM264" s="8"/>
      <c r="AN264" s="8"/>
      <c r="AO264" s="8"/>
      <c r="AP264" s="8"/>
      <c r="AQ264" s="8"/>
      <c r="AR264" s="8"/>
      <c r="AS264" s="1"/>
      <c r="AT264" s="1"/>
      <c r="AU264" s="1"/>
      <c r="AV264" s="1"/>
      <c r="AW264" s="1"/>
      <c r="AX264" s="1"/>
      <c r="AY264" s="1"/>
      <c r="AZ264" s="1"/>
    </row>
    <row r="265" spans="1:52" x14ac:dyDescent="0.25">
      <c r="A265" s="1"/>
      <c r="B265" s="1"/>
      <c r="C265" s="1"/>
      <c r="D265" s="27"/>
      <c r="E265" s="38"/>
      <c r="F265" s="38"/>
      <c r="G265" s="38"/>
      <c r="H265" s="38"/>
      <c r="I265" s="38"/>
      <c r="J265" s="38"/>
      <c r="K265" s="1"/>
      <c r="L265" s="1"/>
      <c r="M265" s="1"/>
      <c r="N265" s="1"/>
      <c r="O265" s="1"/>
      <c r="P265" s="1"/>
      <c r="Q265" s="1"/>
      <c r="R265" s="1"/>
      <c r="S265" s="1"/>
      <c r="T265" s="1"/>
      <c r="U265" s="1"/>
      <c r="V265" s="1"/>
      <c r="W265" s="46"/>
      <c r="X265" s="8"/>
      <c r="Y265" s="8"/>
      <c r="Z265" s="8"/>
      <c r="AA265" s="8"/>
      <c r="AB265" s="8"/>
      <c r="AC265" s="8"/>
      <c r="AD265" s="8"/>
      <c r="AE265" s="8"/>
      <c r="AF265" s="8"/>
      <c r="AG265" s="8"/>
      <c r="AH265" s="45"/>
      <c r="AI265" s="8"/>
      <c r="AJ265" s="8"/>
      <c r="AK265" s="8"/>
      <c r="AL265" s="8"/>
      <c r="AM265" s="8"/>
      <c r="AN265" s="8"/>
      <c r="AO265" s="8"/>
      <c r="AP265" s="8"/>
      <c r="AQ265" s="8"/>
      <c r="AR265" s="8"/>
      <c r="AS265" s="1"/>
      <c r="AT265" s="1"/>
      <c r="AU265" s="1"/>
      <c r="AV265" s="1"/>
      <c r="AW265" s="1"/>
      <c r="AX265" s="1"/>
      <c r="AY265" s="1"/>
      <c r="AZ265" s="1"/>
    </row>
    <row r="266" spans="1:52" x14ac:dyDescent="0.25">
      <c r="A266" s="1"/>
      <c r="B266" s="1"/>
      <c r="C266" s="1"/>
      <c r="D266" s="27"/>
      <c r="E266" s="38"/>
      <c r="F266" s="38"/>
      <c r="G266" s="38"/>
      <c r="H266" s="38"/>
      <c r="I266" s="38"/>
      <c r="J266" s="38"/>
      <c r="K266" s="1"/>
      <c r="L266" s="1"/>
      <c r="M266" s="1"/>
      <c r="N266" s="1"/>
      <c r="O266" s="1"/>
      <c r="P266" s="1"/>
      <c r="Q266" s="1"/>
      <c r="R266" s="1"/>
      <c r="S266" s="1"/>
      <c r="T266" s="1"/>
      <c r="U266" s="1"/>
      <c r="V266" s="1"/>
      <c r="W266" s="46"/>
      <c r="X266" s="8"/>
      <c r="Y266" s="8"/>
      <c r="Z266" s="8"/>
      <c r="AA266" s="8"/>
      <c r="AB266" s="8"/>
      <c r="AC266" s="8"/>
      <c r="AD266" s="8"/>
      <c r="AE266" s="8"/>
      <c r="AF266" s="8"/>
      <c r="AG266" s="8"/>
      <c r="AH266" s="45"/>
      <c r="AI266" s="8"/>
      <c r="AJ266" s="8"/>
      <c r="AK266" s="8"/>
      <c r="AL266" s="8"/>
      <c r="AM266" s="8"/>
      <c r="AN266" s="8"/>
      <c r="AO266" s="8"/>
      <c r="AP266" s="8"/>
      <c r="AQ266" s="8"/>
      <c r="AR266" s="8"/>
      <c r="AS266" s="1"/>
      <c r="AT266" s="1"/>
      <c r="AU266" s="1"/>
      <c r="AV266" s="1"/>
      <c r="AW266" s="1"/>
      <c r="AX266" s="1"/>
      <c r="AY266" s="1"/>
      <c r="AZ266" s="1"/>
    </row>
    <row r="267" spans="1:52" x14ac:dyDescent="0.25">
      <c r="A267" s="1"/>
      <c r="B267" s="1"/>
      <c r="C267" s="1"/>
      <c r="D267" s="27"/>
      <c r="E267" s="38"/>
      <c r="F267" s="38"/>
      <c r="G267" s="38"/>
      <c r="H267" s="38"/>
      <c r="I267" s="38"/>
      <c r="J267" s="38"/>
      <c r="K267" s="1"/>
      <c r="L267" s="1"/>
      <c r="M267" s="1"/>
      <c r="N267" s="1"/>
      <c r="O267" s="1"/>
      <c r="P267" s="1"/>
      <c r="Q267" s="1"/>
      <c r="R267" s="1"/>
      <c r="S267" s="1"/>
      <c r="T267" s="1"/>
      <c r="U267" s="1"/>
      <c r="V267" s="1"/>
      <c r="W267" s="46"/>
      <c r="X267" s="8"/>
      <c r="Y267" s="8"/>
      <c r="Z267" s="8"/>
      <c r="AA267" s="8"/>
      <c r="AB267" s="8"/>
      <c r="AC267" s="8"/>
      <c r="AD267" s="8"/>
      <c r="AE267" s="8"/>
      <c r="AF267" s="8"/>
      <c r="AG267" s="8"/>
      <c r="AH267" s="45"/>
      <c r="AI267" s="8"/>
      <c r="AJ267" s="8"/>
      <c r="AK267" s="8"/>
      <c r="AL267" s="8"/>
      <c r="AM267" s="8"/>
      <c r="AN267" s="8"/>
      <c r="AO267" s="8"/>
      <c r="AP267" s="8"/>
      <c r="AQ267" s="8"/>
      <c r="AR267" s="8"/>
      <c r="AS267" s="1"/>
      <c r="AT267" s="1"/>
      <c r="AU267" s="1"/>
      <c r="AV267" s="1"/>
      <c r="AW267" s="1"/>
      <c r="AX267" s="1"/>
      <c r="AY267" s="1"/>
      <c r="AZ267" s="1"/>
    </row>
    <row r="268" spans="1:52" x14ac:dyDescent="0.25">
      <c r="A268" s="1"/>
      <c r="B268" s="1"/>
      <c r="C268" s="1"/>
      <c r="D268" s="27"/>
      <c r="E268" s="38"/>
      <c r="F268" s="38"/>
      <c r="G268" s="38"/>
      <c r="H268" s="38"/>
      <c r="I268" s="38"/>
      <c r="J268" s="38"/>
      <c r="K268" s="1"/>
      <c r="L268" s="1"/>
      <c r="M268" s="1"/>
      <c r="N268" s="1"/>
      <c r="O268" s="1"/>
      <c r="P268" s="1"/>
      <c r="Q268" s="1"/>
      <c r="R268" s="1"/>
      <c r="S268" s="1"/>
      <c r="T268" s="1"/>
      <c r="U268" s="1"/>
      <c r="V268" s="1"/>
      <c r="W268" s="46"/>
      <c r="X268" s="8"/>
      <c r="Y268" s="8"/>
      <c r="Z268" s="8"/>
      <c r="AA268" s="8"/>
      <c r="AB268" s="8"/>
      <c r="AC268" s="8"/>
      <c r="AD268" s="8"/>
      <c r="AE268" s="8"/>
      <c r="AF268" s="8"/>
      <c r="AG268" s="8"/>
      <c r="AH268" s="45"/>
      <c r="AI268" s="8"/>
      <c r="AJ268" s="8"/>
      <c r="AK268" s="8"/>
      <c r="AL268" s="8"/>
      <c r="AM268" s="8"/>
      <c r="AN268" s="8"/>
      <c r="AO268" s="8"/>
      <c r="AP268" s="8"/>
      <c r="AQ268" s="8"/>
      <c r="AR268" s="8"/>
      <c r="AS268" s="1"/>
      <c r="AT268" s="1"/>
      <c r="AU268" s="1"/>
      <c r="AV268" s="1"/>
      <c r="AW268" s="1"/>
      <c r="AX268" s="1"/>
      <c r="AY268" s="1"/>
      <c r="AZ268" s="1"/>
    </row>
    <row r="269" spans="1:52" x14ac:dyDescent="0.25">
      <c r="A269" s="1"/>
      <c r="B269" s="1"/>
      <c r="C269" s="1"/>
      <c r="D269" s="27"/>
      <c r="E269" s="38"/>
      <c r="F269" s="38"/>
      <c r="G269" s="38"/>
      <c r="H269" s="38"/>
      <c r="I269" s="38"/>
      <c r="J269" s="38"/>
      <c r="K269" s="1"/>
      <c r="L269" s="1"/>
      <c r="M269" s="1"/>
      <c r="N269" s="1"/>
      <c r="O269" s="1"/>
      <c r="P269" s="1"/>
      <c r="Q269" s="1"/>
      <c r="R269" s="1"/>
      <c r="S269" s="1"/>
      <c r="T269" s="1"/>
      <c r="U269" s="1"/>
      <c r="V269" s="1"/>
      <c r="W269" s="46"/>
      <c r="X269" s="8"/>
      <c r="Y269" s="8"/>
      <c r="Z269" s="8"/>
      <c r="AA269" s="8"/>
      <c r="AB269" s="8"/>
      <c r="AC269" s="8"/>
      <c r="AD269" s="8"/>
      <c r="AE269" s="8"/>
      <c r="AF269" s="8"/>
      <c r="AG269" s="8"/>
      <c r="AH269" s="45"/>
      <c r="AI269" s="8"/>
      <c r="AJ269" s="8"/>
      <c r="AK269" s="8"/>
      <c r="AL269" s="8"/>
      <c r="AM269" s="8"/>
      <c r="AN269" s="8"/>
      <c r="AO269" s="8"/>
      <c r="AP269" s="8"/>
      <c r="AQ269" s="8"/>
      <c r="AR269" s="8"/>
      <c r="AS269" s="1"/>
      <c r="AT269" s="1"/>
      <c r="AU269" s="1"/>
      <c r="AV269" s="1"/>
      <c r="AW269" s="1"/>
      <c r="AX269" s="1"/>
      <c r="AY269" s="1"/>
      <c r="AZ269" s="1"/>
    </row>
    <row r="270" spans="1:52" x14ac:dyDescent="0.25">
      <c r="A270" s="1"/>
      <c r="B270" s="1"/>
      <c r="C270" s="1"/>
      <c r="D270" s="27"/>
      <c r="E270" s="38"/>
      <c r="F270" s="38"/>
      <c r="G270" s="38"/>
      <c r="H270" s="38"/>
      <c r="I270" s="38"/>
      <c r="J270" s="38"/>
      <c r="K270" s="1"/>
      <c r="L270" s="1"/>
      <c r="M270" s="1"/>
      <c r="N270" s="1"/>
      <c r="O270" s="1"/>
      <c r="P270" s="1"/>
      <c r="Q270" s="1"/>
      <c r="R270" s="1"/>
      <c r="S270" s="1"/>
      <c r="T270" s="1"/>
      <c r="U270" s="1"/>
      <c r="V270" s="1"/>
      <c r="W270" s="46"/>
      <c r="X270" s="8"/>
      <c r="Y270" s="8"/>
      <c r="Z270" s="8"/>
      <c r="AA270" s="8"/>
      <c r="AB270" s="8"/>
      <c r="AC270" s="8"/>
      <c r="AD270" s="8"/>
      <c r="AE270" s="8"/>
      <c r="AF270" s="8"/>
      <c r="AG270" s="8"/>
      <c r="AH270" s="45"/>
      <c r="AI270" s="8"/>
      <c r="AJ270" s="8"/>
      <c r="AK270" s="8"/>
      <c r="AL270" s="8"/>
      <c r="AM270" s="8"/>
      <c r="AN270" s="8"/>
      <c r="AO270" s="8"/>
      <c r="AP270" s="8"/>
      <c r="AQ270" s="8"/>
      <c r="AR270" s="8"/>
      <c r="AS270" s="1"/>
      <c r="AT270" s="1"/>
      <c r="AU270" s="1"/>
      <c r="AV270" s="1"/>
      <c r="AW270" s="1"/>
      <c r="AX270" s="1"/>
      <c r="AY270" s="1"/>
      <c r="AZ270" s="1"/>
    </row>
    <row r="271" spans="1:52" x14ac:dyDescent="0.25">
      <c r="A271" s="1"/>
      <c r="B271" s="1"/>
      <c r="C271" s="1"/>
      <c r="D271" s="27"/>
      <c r="E271" s="38"/>
      <c r="F271" s="38"/>
      <c r="G271" s="38"/>
      <c r="H271" s="38"/>
      <c r="I271" s="38"/>
      <c r="J271" s="38"/>
      <c r="K271" s="1"/>
      <c r="L271" s="1"/>
      <c r="M271" s="1"/>
      <c r="N271" s="1"/>
      <c r="O271" s="1"/>
      <c r="P271" s="1"/>
      <c r="Q271" s="1"/>
      <c r="R271" s="1"/>
      <c r="S271" s="1"/>
      <c r="T271" s="1"/>
      <c r="U271" s="1"/>
      <c r="V271" s="1"/>
      <c r="W271" s="46"/>
      <c r="X271" s="8"/>
      <c r="Y271" s="8"/>
      <c r="Z271" s="8"/>
      <c r="AA271" s="8"/>
      <c r="AB271" s="8"/>
      <c r="AC271" s="8"/>
      <c r="AD271" s="8"/>
      <c r="AE271" s="8"/>
      <c r="AF271" s="8"/>
      <c r="AG271" s="8"/>
      <c r="AH271" s="45"/>
      <c r="AI271" s="8"/>
      <c r="AJ271" s="8"/>
      <c r="AK271" s="8"/>
      <c r="AL271" s="8"/>
      <c r="AM271" s="8"/>
      <c r="AN271" s="8"/>
      <c r="AO271" s="8"/>
      <c r="AP271" s="8"/>
      <c r="AQ271" s="8"/>
      <c r="AR271" s="8"/>
      <c r="AS271" s="1"/>
      <c r="AT271" s="1"/>
      <c r="AU271" s="1"/>
      <c r="AV271" s="1"/>
      <c r="AW271" s="1"/>
      <c r="AX271" s="1"/>
      <c r="AY271" s="1"/>
      <c r="AZ271" s="1"/>
    </row>
    <row r="272" spans="1:52" x14ac:dyDescent="0.25">
      <c r="A272" s="1"/>
      <c r="B272" s="1"/>
      <c r="C272" s="1"/>
      <c r="D272" s="27"/>
      <c r="E272" s="38"/>
      <c r="F272" s="38"/>
      <c r="G272" s="38"/>
      <c r="H272" s="38"/>
      <c r="I272" s="38"/>
      <c r="J272" s="38"/>
      <c r="K272" s="1"/>
      <c r="L272" s="1"/>
      <c r="M272" s="1"/>
      <c r="N272" s="1"/>
      <c r="O272" s="1"/>
      <c r="P272" s="1"/>
      <c r="Q272" s="1"/>
      <c r="R272" s="1"/>
      <c r="S272" s="1"/>
      <c r="T272" s="1"/>
      <c r="U272" s="1"/>
      <c r="V272" s="1"/>
      <c r="W272" s="46"/>
      <c r="X272" s="8"/>
      <c r="Y272" s="8"/>
      <c r="Z272" s="8"/>
      <c r="AA272" s="8"/>
      <c r="AB272" s="8"/>
      <c r="AC272" s="8"/>
      <c r="AD272" s="8"/>
      <c r="AE272" s="8"/>
      <c r="AF272" s="8"/>
      <c r="AG272" s="8"/>
      <c r="AH272" s="45"/>
      <c r="AI272" s="8"/>
      <c r="AJ272" s="8"/>
      <c r="AK272" s="8"/>
      <c r="AL272" s="8"/>
      <c r="AM272" s="8"/>
      <c r="AN272" s="8"/>
      <c r="AO272" s="8"/>
      <c r="AP272" s="8"/>
      <c r="AQ272" s="8"/>
      <c r="AR272" s="8"/>
      <c r="AS272" s="1"/>
      <c r="AT272" s="1"/>
      <c r="AU272" s="1"/>
      <c r="AV272" s="1"/>
      <c r="AW272" s="1"/>
      <c r="AX272" s="1"/>
      <c r="AY272" s="1"/>
      <c r="AZ272" s="1"/>
    </row>
    <row r="273" spans="1:52" x14ac:dyDescent="0.25">
      <c r="A273" s="1"/>
      <c r="B273" s="1"/>
      <c r="C273" s="1"/>
      <c r="D273" s="27"/>
      <c r="E273" s="38"/>
      <c r="F273" s="38"/>
      <c r="G273" s="38"/>
      <c r="H273" s="38"/>
      <c r="I273" s="38"/>
      <c r="J273" s="38"/>
      <c r="K273" s="1"/>
      <c r="L273" s="1"/>
      <c r="M273" s="1"/>
      <c r="N273" s="1"/>
      <c r="O273" s="1"/>
      <c r="P273" s="1"/>
      <c r="Q273" s="1"/>
      <c r="R273" s="1"/>
      <c r="S273" s="1"/>
      <c r="T273" s="1"/>
      <c r="U273" s="1"/>
      <c r="V273" s="1"/>
      <c r="W273" s="46"/>
      <c r="X273" s="8"/>
      <c r="Y273" s="8"/>
      <c r="Z273" s="8"/>
      <c r="AA273" s="8"/>
      <c r="AB273" s="8"/>
      <c r="AC273" s="8"/>
      <c r="AD273" s="8"/>
      <c r="AE273" s="8"/>
      <c r="AF273" s="8"/>
      <c r="AG273" s="8"/>
      <c r="AH273" s="45"/>
      <c r="AI273" s="8"/>
      <c r="AJ273" s="8"/>
      <c r="AK273" s="8"/>
      <c r="AL273" s="8"/>
      <c r="AM273" s="8"/>
      <c r="AN273" s="8"/>
      <c r="AO273" s="8"/>
      <c r="AP273" s="8"/>
      <c r="AQ273" s="8"/>
      <c r="AR273" s="8"/>
      <c r="AS273" s="1"/>
      <c r="AT273" s="1"/>
      <c r="AU273" s="1"/>
      <c r="AV273" s="1"/>
      <c r="AW273" s="1"/>
      <c r="AX273" s="1"/>
      <c r="AY273" s="1"/>
      <c r="AZ273" s="1"/>
    </row>
    <row r="274" spans="1:52" x14ac:dyDescent="0.25">
      <c r="A274" s="1"/>
      <c r="B274" s="1"/>
      <c r="C274" s="1"/>
      <c r="D274" s="27"/>
      <c r="E274" s="38"/>
      <c r="F274" s="38"/>
      <c r="G274" s="38"/>
      <c r="H274" s="38"/>
      <c r="I274" s="38"/>
      <c r="J274" s="38"/>
      <c r="K274" s="1"/>
      <c r="L274" s="1"/>
      <c r="M274" s="1"/>
      <c r="N274" s="1"/>
      <c r="O274" s="1"/>
      <c r="P274" s="1"/>
      <c r="Q274" s="1"/>
      <c r="R274" s="1"/>
      <c r="S274" s="1"/>
      <c r="T274" s="1"/>
      <c r="U274" s="1"/>
      <c r="V274" s="1"/>
      <c r="W274" s="46"/>
      <c r="X274" s="8"/>
      <c r="Y274" s="8"/>
      <c r="Z274" s="8"/>
      <c r="AA274" s="8"/>
      <c r="AB274" s="8"/>
      <c r="AC274" s="8"/>
      <c r="AD274" s="8"/>
      <c r="AE274" s="8"/>
      <c r="AF274" s="8"/>
      <c r="AG274" s="8"/>
      <c r="AH274" s="45"/>
      <c r="AI274" s="8"/>
      <c r="AJ274" s="8"/>
      <c r="AK274" s="8"/>
      <c r="AL274" s="8"/>
      <c r="AM274" s="8"/>
      <c r="AN274" s="8"/>
      <c r="AO274" s="8"/>
      <c r="AP274" s="8"/>
      <c r="AQ274" s="8"/>
      <c r="AR274" s="8"/>
      <c r="AS274" s="1"/>
      <c r="AT274" s="1"/>
      <c r="AU274" s="1"/>
      <c r="AV274" s="1"/>
      <c r="AW274" s="1"/>
      <c r="AX274" s="1"/>
      <c r="AY274" s="1"/>
      <c r="AZ274" s="1"/>
    </row>
    <row r="275" spans="1:52" x14ac:dyDescent="0.25">
      <c r="A275" s="1"/>
      <c r="B275" s="1"/>
      <c r="C275" s="1"/>
      <c r="D275" s="27"/>
      <c r="E275" s="38"/>
      <c r="F275" s="38"/>
      <c r="G275" s="38"/>
      <c r="H275" s="38"/>
      <c r="I275" s="38"/>
      <c r="J275" s="38"/>
      <c r="K275" s="1"/>
      <c r="L275" s="1"/>
      <c r="M275" s="1"/>
      <c r="N275" s="1"/>
      <c r="O275" s="1"/>
      <c r="P275" s="1"/>
      <c r="Q275" s="1"/>
      <c r="R275" s="1"/>
      <c r="S275" s="1"/>
      <c r="T275" s="1"/>
      <c r="U275" s="1"/>
      <c r="V275" s="1"/>
      <c r="W275" s="46"/>
      <c r="X275" s="8"/>
      <c r="Y275" s="8"/>
      <c r="Z275" s="8"/>
      <c r="AA275" s="8"/>
      <c r="AB275" s="8"/>
      <c r="AC275" s="8"/>
      <c r="AD275" s="8"/>
      <c r="AE275" s="8"/>
      <c r="AF275" s="8"/>
      <c r="AG275" s="8"/>
      <c r="AH275" s="45"/>
      <c r="AI275" s="8"/>
      <c r="AJ275" s="8"/>
      <c r="AK275" s="8"/>
      <c r="AL275" s="8"/>
      <c r="AM275" s="8"/>
      <c r="AN275" s="8"/>
      <c r="AO275" s="8"/>
      <c r="AP275" s="8"/>
      <c r="AQ275" s="8"/>
      <c r="AR275" s="8"/>
      <c r="AS275" s="1"/>
      <c r="AT275" s="1"/>
      <c r="AU275" s="1"/>
      <c r="AV275" s="1"/>
      <c r="AW275" s="1"/>
      <c r="AX275" s="1"/>
      <c r="AY275" s="1"/>
      <c r="AZ275" s="1"/>
    </row>
    <row r="276" spans="1:52" x14ac:dyDescent="0.25">
      <c r="A276" s="1"/>
      <c r="B276" s="1"/>
      <c r="C276" s="1"/>
      <c r="D276" s="27"/>
      <c r="E276" s="38"/>
      <c r="F276" s="38"/>
      <c r="G276" s="38"/>
      <c r="H276" s="38"/>
      <c r="I276" s="38"/>
      <c r="J276" s="38"/>
      <c r="K276" s="1"/>
      <c r="L276" s="1"/>
      <c r="M276" s="1"/>
      <c r="N276" s="1"/>
      <c r="O276" s="1"/>
      <c r="P276" s="1"/>
      <c r="Q276" s="1"/>
      <c r="R276" s="1"/>
      <c r="S276" s="1"/>
      <c r="T276" s="1"/>
      <c r="U276" s="1"/>
      <c r="V276" s="1"/>
      <c r="W276" s="46"/>
      <c r="X276" s="8"/>
      <c r="Y276" s="8"/>
      <c r="Z276" s="8"/>
      <c r="AA276" s="8"/>
      <c r="AB276" s="8"/>
      <c r="AC276" s="8"/>
      <c r="AD276" s="8"/>
      <c r="AE276" s="8"/>
      <c r="AF276" s="8"/>
      <c r="AG276" s="8"/>
      <c r="AH276" s="45"/>
      <c r="AI276" s="8"/>
      <c r="AJ276" s="8"/>
      <c r="AK276" s="8"/>
      <c r="AL276" s="8"/>
      <c r="AM276" s="8"/>
      <c r="AN276" s="8"/>
      <c r="AO276" s="8"/>
      <c r="AP276" s="8"/>
      <c r="AQ276" s="8"/>
      <c r="AR276" s="8"/>
      <c r="AS276" s="1"/>
      <c r="AT276" s="1"/>
      <c r="AU276" s="1"/>
      <c r="AV276" s="1"/>
      <c r="AW276" s="1"/>
      <c r="AX276" s="1"/>
      <c r="AY276" s="1"/>
      <c r="AZ276" s="1"/>
    </row>
    <row r="277" spans="1:52" x14ac:dyDescent="0.25">
      <c r="A277" s="1"/>
      <c r="B277" s="1"/>
      <c r="C277" s="1"/>
      <c r="D277" s="27"/>
      <c r="E277" s="38"/>
      <c r="F277" s="38"/>
      <c r="G277" s="38"/>
      <c r="H277" s="38"/>
      <c r="I277" s="38"/>
      <c r="J277" s="38"/>
      <c r="K277" s="1"/>
      <c r="L277" s="1"/>
      <c r="M277" s="1"/>
      <c r="N277" s="1"/>
      <c r="O277" s="1"/>
      <c r="P277" s="1"/>
      <c r="Q277" s="1"/>
      <c r="R277" s="1"/>
      <c r="S277" s="1"/>
      <c r="T277" s="1"/>
      <c r="U277" s="1"/>
      <c r="V277" s="1"/>
      <c r="W277" s="46"/>
      <c r="X277" s="8"/>
      <c r="Y277" s="8"/>
      <c r="Z277" s="8"/>
      <c r="AA277" s="8"/>
      <c r="AB277" s="8"/>
      <c r="AC277" s="8"/>
      <c r="AD277" s="8"/>
      <c r="AE277" s="8"/>
      <c r="AF277" s="8"/>
      <c r="AG277" s="8"/>
      <c r="AH277" s="45"/>
      <c r="AI277" s="8"/>
      <c r="AJ277" s="8"/>
      <c r="AK277" s="8"/>
      <c r="AL277" s="8"/>
      <c r="AM277" s="8"/>
      <c r="AN277" s="8"/>
      <c r="AO277" s="8"/>
      <c r="AP277" s="8"/>
      <c r="AQ277" s="8"/>
      <c r="AR277" s="8"/>
      <c r="AS277" s="1"/>
      <c r="AT277" s="1"/>
      <c r="AU277" s="1"/>
      <c r="AV277" s="1"/>
      <c r="AW277" s="1"/>
      <c r="AX277" s="1"/>
      <c r="AY277" s="1"/>
      <c r="AZ277" s="1"/>
    </row>
    <row r="278" spans="1:52" x14ac:dyDescent="0.25">
      <c r="A278" s="1"/>
      <c r="B278" s="1"/>
      <c r="C278" s="1"/>
      <c r="D278" s="27"/>
      <c r="E278" s="38"/>
      <c r="F278" s="38"/>
      <c r="G278" s="38"/>
      <c r="H278" s="38"/>
      <c r="I278" s="38"/>
      <c r="J278" s="38"/>
      <c r="K278" s="1"/>
      <c r="L278" s="1"/>
      <c r="M278" s="1"/>
      <c r="N278" s="1"/>
      <c r="O278" s="1"/>
      <c r="P278" s="1"/>
      <c r="Q278" s="1"/>
      <c r="R278" s="1"/>
      <c r="S278" s="1"/>
      <c r="T278" s="1"/>
      <c r="U278" s="1"/>
      <c r="V278" s="1"/>
      <c r="W278" s="46"/>
      <c r="X278" s="8"/>
      <c r="Y278" s="8"/>
      <c r="Z278" s="8"/>
      <c r="AA278" s="8"/>
      <c r="AB278" s="8"/>
      <c r="AC278" s="8"/>
      <c r="AD278" s="8"/>
      <c r="AE278" s="8"/>
      <c r="AF278" s="8"/>
      <c r="AG278" s="8"/>
      <c r="AH278" s="45"/>
      <c r="AI278" s="8"/>
      <c r="AJ278" s="8"/>
      <c r="AK278" s="8"/>
      <c r="AL278" s="8"/>
      <c r="AM278" s="8"/>
      <c r="AN278" s="8"/>
      <c r="AO278" s="8"/>
      <c r="AP278" s="8"/>
      <c r="AQ278" s="8"/>
      <c r="AR278" s="8"/>
      <c r="AS278" s="1"/>
      <c r="AT278" s="1"/>
      <c r="AU278" s="1"/>
      <c r="AV278" s="1"/>
      <c r="AW278" s="1"/>
      <c r="AX278" s="1"/>
      <c r="AY278" s="1"/>
      <c r="AZ278" s="1"/>
    </row>
    <row r="279" spans="1:52" x14ac:dyDescent="0.25">
      <c r="A279" s="1"/>
      <c r="B279" s="1"/>
      <c r="C279" s="1"/>
      <c r="D279" s="27"/>
      <c r="E279" s="38"/>
      <c r="F279" s="38"/>
      <c r="G279" s="38"/>
      <c r="H279" s="38"/>
      <c r="I279" s="38"/>
      <c r="J279" s="38"/>
      <c r="K279" s="1"/>
      <c r="L279" s="1"/>
      <c r="M279" s="1"/>
      <c r="N279" s="1"/>
      <c r="O279" s="1"/>
      <c r="P279" s="1"/>
      <c r="Q279" s="1"/>
      <c r="R279" s="1"/>
      <c r="S279" s="1"/>
      <c r="T279" s="1"/>
      <c r="U279" s="1"/>
      <c r="V279" s="1"/>
      <c r="W279" s="46"/>
      <c r="X279" s="8"/>
      <c r="Y279" s="8"/>
      <c r="Z279" s="8"/>
      <c r="AA279" s="8"/>
      <c r="AB279" s="8"/>
      <c r="AC279" s="8"/>
      <c r="AD279" s="8"/>
      <c r="AE279" s="8"/>
      <c r="AF279" s="8"/>
      <c r="AG279" s="8"/>
      <c r="AH279" s="45"/>
      <c r="AI279" s="8"/>
      <c r="AJ279" s="8"/>
      <c r="AK279" s="8"/>
      <c r="AL279" s="8"/>
      <c r="AM279" s="8"/>
      <c r="AN279" s="8"/>
      <c r="AO279" s="8"/>
      <c r="AP279" s="8"/>
      <c r="AQ279" s="8"/>
      <c r="AR279" s="8"/>
      <c r="AS279" s="1"/>
      <c r="AT279" s="1"/>
      <c r="AU279" s="1"/>
      <c r="AV279" s="1"/>
      <c r="AW279" s="1"/>
      <c r="AX279" s="1"/>
      <c r="AY279" s="1"/>
      <c r="AZ279" s="1"/>
    </row>
    <row r="280" spans="1:52" x14ac:dyDescent="0.25">
      <c r="A280" s="1"/>
      <c r="B280" s="1"/>
      <c r="C280" s="1"/>
      <c r="D280" s="27"/>
      <c r="E280" s="38"/>
      <c r="F280" s="38"/>
      <c r="G280" s="38"/>
      <c r="H280" s="38"/>
      <c r="I280" s="38"/>
      <c r="J280" s="38"/>
      <c r="K280" s="1"/>
      <c r="L280" s="1"/>
      <c r="M280" s="1"/>
      <c r="N280" s="1"/>
      <c r="O280" s="1"/>
      <c r="P280" s="1"/>
      <c r="Q280" s="1"/>
      <c r="R280" s="1"/>
      <c r="S280" s="1"/>
      <c r="T280" s="1"/>
      <c r="U280" s="1"/>
      <c r="V280" s="1"/>
      <c r="W280" s="46"/>
      <c r="X280" s="8"/>
      <c r="Y280" s="8"/>
      <c r="Z280" s="8"/>
      <c r="AA280" s="8"/>
      <c r="AB280" s="8"/>
      <c r="AC280" s="8"/>
      <c r="AD280" s="8"/>
      <c r="AE280" s="8"/>
      <c r="AF280" s="8"/>
      <c r="AG280" s="8"/>
      <c r="AH280" s="45"/>
      <c r="AI280" s="8"/>
      <c r="AJ280" s="8"/>
      <c r="AK280" s="8"/>
      <c r="AL280" s="8"/>
      <c r="AM280" s="8"/>
      <c r="AN280" s="8"/>
      <c r="AO280" s="8"/>
      <c r="AP280" s="8"/>
      <c r="AQ280" s="8"/>
      <c r="AR280" s="8"/>
      <c r="AS280" s="1"/>
      <c r="AT280" s="1"/>
      <c r="AU280" s="1"/>
      <c r="AV280" s="1"/>
      <c r="AW280" s="1"/>
      <c r="AX280" s="1"/>
      <c r="AY280" s="1"/>
      <c r="AZ280" s="1"/>
    </row>
    <row r="281" spans="1:52" x14ac:dyDescent="0.25">
      <c r="A281" s="1"/>
      <c r="B281" s="1"/>
      <c r="C281" s="1"/>
      <c r="D281" s="27"/>
      <c r="E281" s="38"/>
      <c r="F281" s="38"/>
      <c r="G281" s="38"/>
      <c r="H281" s="38"/>
      <c r="I281" s="38"/>
      <c r="J281" s="38"/>
      <c r="K281" s="1"/>
      <c r="L281" s="1"/>
      <c r="M281" s="1"/>
      <c r="N281" s="1"/>
      <c r="O281" s="1"/>
      <c r="P281" s="1"/>
      <c r="Q281" s="1"/>
      <c r="R281" s="1"/>
      <c r="S281" s="1"/>
      <c r="T281" s="1"/>
      <c r="U281" s="1"/>
      <c r="V281" s="1"/>
      <c r="W281" s="46"/>
      <c r="X281" s="8"/>
      <c r="Y281" s="8"/>
      <c r="Z281" s="8"/>
      <c r="AA281" s="8"/>
      <c r="AB281" s="8"/>
      <c r="AC281" s="8"/>
      <c r="AD281" s="8"/>
      <c r="AE281" s="8"/>
      <c r="AF281" s="8"/>
      <c r="AG281" s="8"/>
      <c r="AH281" s="45"/>
      <c r="AI281" s="8"/>
      <c r="AJ281" s="8"/>
      <c r="AK281" s="8"/>
      <c r="AL281" s="8"/>
      <c r="AM281" s="8"/>
      <c r="AN281" s="8"/>
      <c r="AO281" s="8"/>
      <c r="AP281" s="8"/>
      <c r="AQ281" s="8"/>
      <c r="AR281" s="8"/>
      <c r="AS281" s="1"/>
      <c r="AT281" s="1"/>
      <c r="AU281" s="1"/>
      <c r="AV281" s="1"/>
      <c r="AW281" s="1"/>
      <c r="AX281" s="1"/>
      <c r="AY281" s="1"/>
      <c r="AZ281" s="1"/>
    </row>
    <row r="282" spans="1:52" x14ac:dyDescent="0.25">
      <c r="A282" s="1"/>
      <c r="B282" s="1"/>
      <c r="C282" s="1"/>
      <c r="D282" s="27"/>
      <c r="E282" s="38"/>
      <c r="F282" s="38"/>
      <c r="G282" s="38"/>
      <c r="H282" s="38"/>
      <c r="I282" s="38"/>
      <c r="J282" s="38"/>
      <c r="K282" s="1"/>
      <c r="L282" s="1"/>
      <c r="M282" s="1"/>
      <c r="N282" s="1"/>
      <c r="O282" s="1"/>
      <c r="P282" s="1"/>
      <c r="Q282" s="1"/>
      <c r="R282" s="1"/>
      <c r="S282" s="1"/>
      <c r="T282" s="1"/>
      <c r="U282" s="1"/>
      <c r="V282" s="1"/>
      <c r="W282" s="46"/>
      <c r="X282" s="8"/>
      <c r="Y282" s="8"/>
      <c r="Z282" s="8"/>
      <c r="AA282" s="8"/>
      <c r="AB282" s="8"/>
      <c r="AC282" s="8"/>
      <c r="AD282" s="8"/>
      <c r="AE282" s="8"/>
      <c r="AF282" s="8"/>
      <c r="AG282" s="8"/>
      <c r="AH282" s="45"/>
      <c r="AI282" s="8"/>
      <c r="AJ282" s="8"/>
      <c r="AK282" s="8"/>
      <c r="AL282" s="8"/>
      <c r="AM282" s="8"/>
      <c r="AN282" s="8"/>
      <c r="AO282" s="8"/>
      <c r="AP282" s="8"/>
      <c r="AQ282" s="8"/>
      <c r="AR282" s="8"/>
      <c r="AS282" s="1"/>
      <c r="AT282" s="1"/>
      <c r="AU282" s="1"/>
      <c r="AV282" s="1"/>
      <c r="AW282" s="1"/>
      <c r="AX282" s="1"/>
      <c r="AY282" s="1"/>
      <c r="AZ282" s="1"/>
    </row>
    <row r="283" spans="1:52" x14ac:dyDescent="0.25">
      <c r="A283" s="1"/>
      <c r="B283" s="1"/>
      <c r="C283" s="1"/>
      <c r="D283" s="27"/>
      <c r="E283" s="38"/>
      <c r="F283" s="38"/>
      <c r="G283" s="38"/>
      <c r="H283" s="38"/>
      <c r="I283" s="38"/>
      <c r="J283" s="38"/>
      <c r="K283" s="1"/>
      <c r="L283" s="1"/>
      <c r="M283" s="1"/>
      <c r="N283" s="1"/>
      <c r="O283" s="1"/>
      <c r="P283" s="1"/>
      <c r="Q283" s="1"/>
      <c r="R283" s="1"/>
      <c r="S283" s="1"/>
      <c r="T283" s="1"/>
      <c r="U283" s="1"/>
      <c r="V283" s="1"/>
      <c r="W283" s="46"/>
      <c r="X283" s="8"/>
      <c r="Y283" s="8"/>
      <c r="Z283" s="8"/>
      <c r="AA283" s="8"/>
      <c r="AB283" s="8"/>
      <c r="AC283" s="8"/>
      <c r="AD283" s="8"/>
      <c r="AE283" s="8"/>
      <c r="AF283" s="8"/>
      <c r="AG283" s="8"/>
      <c r="AH283" s="45"/>
      <c r="AI283" s="8"/>
      <c r="AJ283" s="8"/>
      <c r="AK283" s="8"/>
      <c r="AL283" s="8"/>
      <c r="AM283" s="8"/>
      <c r="AN283" s="8"/>
      <c r="AO283" s="8"/>
      <c r="AP283" s="8"/>
      <c r="AQ283" s="8"/>
      <c r="AR283" s="8"/>
      <c r="AS283" s="1"/>
      <c r="AT283" s="1"/>
      <c r="AU283" s="1"/>
      <c r="AV283" s="1"/>
      <c r="AW283" s="1"/>
      <c r="AX283" s="1"/>
      <c r="AY283" s="1"/>
      <c r="AZ283" s="1"/>
    </row>
    <row r="284" spans="1:52" x14ac:dyDescent="0.25">
      <c r="A284" s="1"/>
      <c r="B284" s="1"/>
      <c r="C284" s="1"/>
      <c r="D284" s="27"/>
      <c r="E284" s="38"/>
      <c r="F284" s="38"/>
      <c r="G284" s="38"/>
      <c r="H284" s="38"/>
      <c r="I284" s="38"/>
      <c r="J284" s="38"/>
      <c r="K284" s="1"/>
      <c r="L284" s="1"/>
      <c r="M284" s="1"/>
      <c r="N284" s="1"/>
      <c r="O284" s="1"/>
      <c r="P284" s="1"/>
      <c r="Q284" s="1"/>
      <c r="R284" s="1"/>
      <c r="S284" s="1"/>
      <c r="T284" s="1"/>
      <c r="U284" s="1"/>
      <c r="V284" s="1"/>
      <c r="W284" s="46"/>
      <c r="X284" s="8"/>
      <c r="Y284" s="8"/>
      <c r="Z284" s="8"/>
      <c r="AA284" s="8"/>
      <c r="AB284" s="8"/>
      <c r="AC284" s="8"/>
      <c r="AD284" s="8"/>
      <c r="AE284" s="8"/>
      <c r="AF284" s="8"/>
      <c r="AG284" s="8"/>
      <c r="AH284" s="45"/>
      <c r="AI284" s="8"/>
      <c r="AJ284" s="8"/>
      <c r="AK284" s="8"/>
      <c r="AL284" s="8"/>
      <c r="AM284" s="8"/>
      <c r="AN284" s="8"/>
      <c r="AO284" s="8"/>
      <c r="AP284" s="8"/>
      <c r="AQ284" s="8"/>
      <c r="AR284" s="8"/>
      <c r="AS284" s="1"/>
      <c r="AT284" s="1"/>
      <c r="AU284" s="1"/>
      <c r="AV284" s="1"/>
      <c r="AW284" s="1"/>
      <c r="AX284" s="1"/>
      <c r="AY284" s="1"/>
      <c r="AZ284" s="1"/>
    </row>
    <row r="285" spans="1:52" x14ac:dyDescent="0.25">
      <c r="A285" s="1"/>
      <c r="B285" s="1"/>
      <c r="C285" s="1"/>
      <c r="D285" s="27"/>
      <c r="E285" s="38"/>
      <c r="F285" s="38"/>
      <c r="G285" s="38"/>
      <c r="H285" s="38"/>
      <c r="I285" s="38"/>
      <c r="J285" s="38"/>
      <c r="K285" s="1"/>
      <c r="L285" s="1"/>
      <c r="M285" s="1"/>
      <c r="N285" s="1"/>
      <c r="O285" s="1"/>
      <c r="P285" s="1"/>
      <c r="Q285" s="1"/>
      <c r="R285" s="1"/>
      <c r="S285" s="1"/>
      <c r="T285" s="1"/>
      <c r="U285" s="1"/>
      <c r="V285" s="1"/>
      <c r="W285" s="46"/>
      <c r="X285" s="8"/>
      <c r="Y285" s="8"/>
      <c r="Z285" s="8"/>
      <c r="AA285" s="8"/>
      <c r="AB285" s="8"/>
      <c r="AC285" s="8"/>
      <c r="AD285" s="8"/>
      <c r="AE285" s="8"/>
      <c r="AF285" s="8"/>
      <c r="AG285" s="8"/>
      <c r="AH285" s="45"/>
      <c r="AI285" s="8"/>
      <c r="AJ285" s="8"/>
      <c r="AK285" s="8"/>
      <c r="AL285" s="8"/>
      <c r="AM285" s="8"/>
      <c r="AN285" s="8"/>
      <c r="AO285" s="8"/>
      <c r="AP285" s="8"/>
      <c r="AQ285" s="8"/>
      <c r="AR285" s="8"/>
      <c r="AS285" s="1"/>
      <c r="AT285" s="1"/>
      <c r="AU285" s="1"/>
      <c r="AV285" s="1"/>
      <c r="AW285" s="1"/>
      <c r="AX285" s="1"/>
      <c r="AY285" s="1"/>
      <c r="AZ285" s="1"/>
    </row>
    <row r="286" spans="1:52" x14ac:dyDescent="0.25">
      <c r="A286" s="1"/>
      <c r="B286" s="1"/>
      <c r="C286" s="1"/>
      <c r="D286" s="27"/>
      <c r="E286" s="38"/>
      <c r="F286" s="38"/>
      <c r="G286" s="38"/>
      <c r="H286" s="38"/>
      <c r="I286" s="38"/>
      <c r="J286" s="38"/>
      <c r="K286" s="1"/>
      <c r="L286" s="1"/>
      <c r="M286" s="1"/>
      <c r="N286" s="1"/>
      <c r="O286" s="1"/>
      <c r="P286" s="1"/>
      <c r="Q286" s="1"/>
      <c r="R286" s="1"/>
      <c r="S286" s="1"/>
      <c r="T286" s="1"/>
      <c r="U286" s="1"/>
      <c r="V286" s="1"/>
      <c r="W286" s="46"/>
      <c r="X286" s="8"/>
      <c r="Y286" s="8"/>
      <c r="Z286" s="8"/>
      <c r="AA286" s="8"/>
      <c r="AB286" s="8"/>
      <c r="AC286" s="8"/>
      <c r="AD286" s="8"/>
      <c r="AE286" s="8"/>
      <c r="AF286" s="8"/>
      <c r="AG286" s="8"/>
      <c r="AH286" s="45"/>
      <c r="AI286" s="8"/>
      <c r="AJ286" s="8"/>
      <c r="AK286" s="8"/>
      <c r="AL286" s="8"/>
      <c r="AM286" s="8"/>
      <c r="AN286" s="8"/>
      <c r="AO286" s="8"/>
      <c r="AP286" s="8"/>
      <c r="AQ286" s="8"/>
      <c r="AR286" s="8"/>
      <c r="AS286" s="1"/>
      <c r="AT286" s="1"/>
      <c r="AU286" s="1"/>
      <c r="AV286" s="1"/>
      <c r="AW286" s="1"/>
      <c r="AX286" s="1"/>
      <c r="AY286" s="1"/>
      <c r="AZ286" s="1"/>
    </row>
    <row r="287" spans="1:52" x14ac:dyDescent="0.25">
      <c r="A287" s="1"/>
      <c r="B287" s="1"/>
      <c r="C287" s="1"/>
      <c r="D287" s="27"/>
      <c r="E287" s="38"/>
      <c r="F287" s="38"/>
      <c r="G287" s="38"/>
      <c r="H287" s="38"/>
      <c r="I287" s="38"/>
      <c r="J287" s="38"/>
      <c r="K287" s="1"/>
      <c r="L287" s="1"/>
      <c r="M287" s="1"/>
      <c r="N287" s="1"/>
      <c r="O287" s="1"/>
      <c r="P287" s="1"/>
      <c r="Q287" s="1"/>
      <c r="R287" s="1"/>
      <c r="S287" s="1"/>
      <c r="T287" s="1"/>
      <c r="U287" s="1"/>
      <c r="V287" s="1"/>
      <c r="W287" s="46"/>
      <c r="X287" s="8"/>
      <c r="Y287" s="8"/>
      <c r="Z287" s="8"/>
      <c r="AA287" s="8"/>
      <c r="AB287" s="8"/>
      <c r="AC287" s="8"/>
      <c r="AD287" s="8"/>
      <c r="AE287" s="8"/>
      <c r="AF287" s="8"/>
      <c r="AG287" s="8"/>
      <c r="AH287" s="45"/>
      <c r="AI287" s="8"/>
      <c r="AJ287" s="8"/>
      <c r="AK287" s="8"/>
      <c r="AL287" s="8"/>
      <c r="AM287" s="8"/>
      <c r="AN287" s="8"/>
      <c r="AO287" s="8"/>
      <c r="AP287" s="8"/>
      <c r="AQ287" s="8"/>
      <c r="AR287" s="8"/>
      <c r="AS287" s="1"/>
      <c r="AT287" s="1"/>
      <c r="AU287" s="1"/>
      <c r="AV287" s="1"/>
      <c r="AW287" s="1"/>
      <c r="AX287" s="1"/>
      <c r="AY287" s="1"/>
      <c r="AZ287" s="1"/>
    </row>
    <row r="288" spans="1:52" x14ac:dyDescent="0.25">
      <c r="A288" s="1"/>
      <c r="B288" s="1"/>
      <c r="C288" s="1"/>
      <c r="D288" s="27"/>
      <c r="E288" s="38"/>
      <c r="F288" s="38"/>
      <c r="G288" s="38"/>
      <c r="H288" s="38"/>
      <c r="I288" s="38"/>
      <c r="J288" s="38"/>
      <c r="K288" s="1"/>
      <c r="L288" s="1"/>
      <c r="M288" s="1"/>
      <c r="N288" s="1"/>
      <c r="O288" s="1"/>
      <c r="P288" s="1"/>
      <c r="Q288" s="1"/>
      <c r="R288" s="1"/>
      <c r="S288" s="1"/>
      <c r="T288" s="1"/>
      <c r="U288" s="1"/>
      <c r="V288" s="1"/>
      <c r="W288" s="46"/>
      <c r="X288" s="8"/>
      <c r="Y288" s="8"/>
      <c r="Z288" s="8"/>
      <c r="AA288" s="8"/>
      <c r="AB288" s="8"/>
      <c r="AC288" s="8"/>
      <c r="AD288" s="8"/>
      <c r="AE288" s="8"/>
      <c r="AF288" s="8"/>
      <c r="AG288" s="8"/>
      <c r="AH288" s="45"/>
      <c r="AI288" s="8"/>
      <c r="AJ288" s="8"/>
      <c r="AK288" s="8"/>
      <c r="AL288" s="8"/>
      <c r="AM288" s="8"/>
      <c r="AN288" s="8"/>
      <c r="AO288" s="8"/>
      <c r="AP288" s="8"/>
      <c r="AQ288" s="8"/>
      <c r="AR288" s="8"/>
      <c r="AS288" s="1"/>
      <c r="AT288" s="1"/>
      <c r="AU288" s="1"/>
      <c r="AV288" s="1"/>
      <c r="AW288" s="1"/>
      <c r="AX288" s="1"/>
      <c r="AY288" s="1"/>
      <c r="AZ288" s="1"/>
    </row>
    <row r="289" spans="1:52" x14ac:dyDescent="0.25">
      <c r="A289" s="1"/>
      <c r="B289" s="1"/>
      <c r="C289" s="1"/>
      <c r="D289" s="27"/>
      <c r="E289" s="38"/>
      <c r="F289" s="38"/>
      <c r="G289" s="38"/>
      <c r="H289" s="38"/>
      <c r="I289" s="38"/>
      <c r="J289" s="38"/>
      <c r="K289" s="1"/>
      <c r="L289" s="1"/>
      <c r="M289" s="1"/>
      <c r="N289" s="1"/>
      <c r="O289" s="1"/>
      <c r="P289" s="1"/>
      <c r="Q289" s="1"/>
      <c r="R289" s="1"/>
      <c r="S289" s="1"/>
      <c r="T289" s="1"/>
      <c r="U289" s="1"/>
      <c r="V289" s="1"/>
      <c r="W289" s="46"/>
      <c r="X289" s="8"/>
      <c r="Y289" s="8"/>
      <c r="Z289" s="8"/>
      <c r="AA289" s="8"/>
      <c r="AB289" s="8"/>
      <c r="AC289" s="8"/>
      <c r="AD289" s="8"/>
      <c r="AE289" s="8"/>
      <c r="AF289" s="8"/>
      <c r="AG289" s="8"/>
      <c r="AH289" s="45"/>
      <c r="AI289" s="8"/>
      <c r="AJ289" s="8"/>
      <c r="AK289" s="8"/>
      <c r="AL289" s="8"/>
      <c r="AM289" s="8"/>
      <c r="AN289" s="8"/>
      <c r="AO289" s="8"/>
      <c r="AP289" s="8"/>
      <c r="AQ289" s="8"/>
      <c r="AR289" s="8"/>
      <c r="AS289" s="1"/>
      <c r="AT289" s="1"/>
      <c r="AU289" s="1"/>
      <c r="AV289" s="1"/>
      <c r="AW289" s="1"/>
      <c r="AX289" s="1"/>
      <c r="AY289" s="1"/>
      <c r="AZ289" s="1"/>
    </row>
    <row r="290" spans="1:52" x14ac:dyDescent="0.25">
      <c r="A290" s="1"/>
      <c r="B290" s="1"/>
      <c r="C290" s="1"/>
      <c r="D290" s="27"/>
      <c r="E290" s="38"/>
      <c r="F290" s="38"/>
      <c r="G290" s="38"/>
      <c r="H290" s="38"/>
      <c r="I290" s="38"/>
      <c r="J290" s="38"/>
      <c r="K290" s="1"/>
      <c r="L290" s="1"/>
      <c r="M290" s="1"/>
      <c r="N290" s="1"/>
      <c r="O290" s="1"/>
      <c r="P290" s="1"/>
      <c r="Q290" s="1"/>
      <c r="R290" s="1"/>
      <c r="S290" s="1"/>
      <c r="T290" s="1"/>
      <c r="U290" s="1"/>
      <c r="V290" s="1"/>
      <c r="W290" s="46"/>
      <c r="X290" s="8"/>
      <c r="Y290" s="8"/>
      <c r="Z290" s="8"/>
      <c r="AA290" s="8"/>
      <c r="AB290" s="8"/>
      <c r="AC290" s="8"/>
      <c r="AD290" s="8"/>
      <c r="AE290" s="8"/>
      <c r="AF290" s="8"/>
      <c r="AG290" s="8"/>
      <c r="AH290" s="45"/>
      <c r="AI290" s="8"/>
      <c r="AJ290" s="8"/>
      <c r="AK290" s="8"/>
      <c r="AL290" s="8"/>
      <c r="AM290" s="8"/>
      <c r="AN290" s="8"/>
      <c r="AO290" s="8"/>
      <c r="AP290" s="8"/>
      <c r="AQ290" s="8"/>
      <c r="AR290" s="8"/>
      <c r="AS290" s="1"/>
      <c r="AT290" s="1"/>
      <c r="AU290" s="1"/>
      <c r="AV290" s="1"/>
      <c r="AW290" s="1"/>
      <c r="AX290" s="1"/>
      <c r="AY290" s="1"/>
      <c r="AZ290" s="1"/>
    </row>
    <row r="291" spans="1:52" x14ac:dyDescent="0.25">
      <c r="A291" s="1"/>
      <c r="B291" s="1"/>
      <c r="C291" s="1"/>
      <c r="D291" s="27"/>
      <c r="E291" s="38"/>
      <c r="F291" s="38"/>
      <c r="G291" s="38"/>
      <c r="H291" s="38"/>
      <c r="I291" s="38"/>
      <c r="J291" s="38"/>
      <c r="K291" s="1"/>
      <c r="L291" s="1"/>
      <c r="M291" s="1"/>
      <c r="N291" s="1"/>
      <c r="O291" s="1"/>
      <c r="P291" s="1"/>
      <c r="Q291" s="1"/>
      <c r="R291" s="1"/>
      <c r="S291" s="1"/>
      <c r="T291" s="1"/>
      <c r="U291" s="1"/>
      <c r="V291" s="1"/>
      <c r="W291" s="46"/>
      <c r="X291" s="8"/>
      <c r="Y291" s="8"/>
      <c r="Z291" s="8"/>
      <c r="AA291" s="8"/>
      <c r="AB291" s="8"/>
      <c r="AC291" s="8"/>
      <c r="AD291" s="8"/>
      <c r="AE291" s="8"/>
      <c r="AF291" s="8"/>
      <c r="AG291" s="8"/>
      <c r="AH291" s="45"/>
      <c r="AI291" s="8"/>
      <c r="AJ291" s="8"/>
      <c r="AK291" s="8"/>
      <c r="AL291" s="8"/>
      <c r="AM291" s="8"/>
      <c r="AN291" s="8"/>
      <c r="AO291" s="8"/>
      <c r="AP291" s="8"/>
      <c r="AQ291" s="8"/>
      <c r="AR291" s="8"/>
      <c r="AS291" s="1"/>
      <c r="AT291" s="1"/>
      <c r="AU291" s="1"/>
      <c r="AV291" s="1"/>
      <c r="AW291" s="1"/>
      <c r="AX291" s="1"/>
      <c r="AY291" s="1"/>
      <c r="AZ291" s="1"/>
    </row>
    <row r="292" spans="1:52" x14ac:dyDescent="0.25">
      <c r="A292" s="1"/>
      <c r="B292" s="1"/>
      <c r="C292" s="1"/>
      <c r="D292" s="27"/>
      <c r="E292" s="38"/>
      <c r="F292" s="38"/>
      <c r="G292" s="38"/>
      <c r="H292" s="38"/>
      <c r="I292" s="38"/>
      <c r="J292" s="38"/>
      <c r="K292" s="1"/>
      <c r="L292" s="1"/>
      <c r="M292" s="1"/>
      <c r="N292" s="1"/>
      <c r="O292" s="1"/>
      <c r="P292" s="1"/>
      <c r="Q292" s="1"/>
      <c r="R292" s="1"/>
      <c r="S292" s="1"/>
      <c r="T292" s="1"/>
      <c r="U292" s="1"/>
      <c r="V292" s="1"/>
      <c r="W292" s="46"/>
      <c r="X292" s="8"/>
      <c r="Y292" s="8"/>
      <c r="Z292" s="8"/>
      <c r="AA292" s="8"/>
      <c r="AB292" s="8"/>
      <c r="AC292" s="8"/>
      <c r="AD292" s="8"/>
      <c r="AE292" s="8"/>
      <c r="AF292" s="8"/>
      <c r="AG292" s="8"/>
      <c r="AH292" s="45"/>
      <c r="AI292" s="8"/>
      <c r="AJ292" s="8"/>
      <c r="AK292" s="8"/>
      <c r="AL292" s="8"/>
      <c r="AM292" s="8"/>
      <c r="AN292" s="8"/>
      <c r="AO292" s="8"/>
      <c r="AP292" s="8"/>
      <c r="AQ292" s="8"/>
      <c r="AR292" s="8"/>
      <c r="AS292" s="1"/>
      <c r="AT292" s="1"/>
      <c r="AU292" s="1"/>
      <c r="AV292" s="1"/>
      <c r="AW292" s="1"/>
      <c r="AX292" s="1"/>
      <c r="AY292" s="1"/>
      <c r="AZ292" s="1"/>
    </row>
    <row r="293" spans="1:52" x14ac:dyDescent="0.25">
      <c r="A293" s="1"/>
      <c r="B293" s="1"/>
      <c r="C293" s="1"/>
      <c r="D293" s="27"/>
      <c r="E293" s="38"/>
      <c r="F293" s="38"/>
      <c r="G293" s="38"/>
      <c r="H293" s="38"/>
      <c r="I293" s="38"/>
      <c r="J293" s="38"/>
      <c r="K293" s="1"/>
      <c r="L293" s="1"/>
      <c r="M293" s="1"/>
      <c r="N293" s="1"/>
      <c r="O293" s="1"/>
      <c r="P293" s="1"/>
      <c r="Q293" s="1"/>
      <c r="R293" s="1"/>
      <c r="S293" s="1"/>
      <c r="T293" s="1"/>
      <c r="U293" s="1"/>
      <c r="V293" s="1"/>
      <c r="W293" s="46"/>
      <c r="X293" s="8"/>
      <c r="Y293" s="8"/>
      <c r="Z293" s="8"/>
      <c r="AA293" s="8"/>
      <c r="AB293" s="8"/>
      <c r="AC293" s="8"/>
      <c r="AD293" s="8"/>
      <c r="AE293" s="8"/>
      <c r="AF293" s="8"/>
      <c r="AG293" s="8"/>
      <c r="AH293" s="45"/>
      <c r="AI293" s="8"/>
      <c r="AJ293" s="8"/>
      <c r="AK293" s="8"/>
      <c r="AL293" s="8"/>
      <c r="AM293" s="8"/>
      <c r="AN293" s="8"/>
      <c r="AO293" s="8"/>
      <c r="AP293" s="8"/>
      <c r="AQ293" s="8"/>
      <c r="AR293" s="8"/>
      <c r="AS293" s="1"/>
      <c r="AT293" s="1"/>
      <c r="AU293" s="1"/>
      <c r="AV293" s="1"/>
      <c r="AW293" s="1"/>
      <c r="AX293" s="1"/>
      <c r="AY293" s="1"/>
      <c r="AZ293" s="1"/>
    </row>
    <row r="294" spans="1:52" x14ac:dyDescent="0.25">
      <c r="A294" s="1"/>
      <c r="B294" s="1"/>
      <c r="C294" s="1"/>
      <c r="D294" s="27"/>
      <c r="E294" s="38"/>
      <c r="F294" s="38"/>
      <c r="G294" s="38"/>
      <c r="H294" s="38"/>
      <c r="I294" s="38"/>
      <c r="J294" s="38"/>
      <c r="K294" s="1"/>
      <c r="L294" s="1"/>
      <c r="M294" s="1"/>
      <c r="N294" s="1"/>
      <c r="O294" s="1"/>
      <c r="P294" s="1"/>
      <c r="Q294" s="1"/>
      <c r="R294" s="1"/>
      <c r="S294" s="1"/>
      <c r="T294" s="1"/>
      <c r="U294" s="1"/>
      <c r="V294" s="1"/>
      <c r="W294" s="46"/>
      <c r="X294" s="8"/>
      <c r="Y294" s="8"/>
      <c r="Z294" s="8"/>
      <c r="AA294" s="8"/>
      <c r="AB294" s="8"/>
      <c r="AC294" s="8"/>
      <c r="AD294" s="8"/>
      <c r="AE294" s="8"/>
      <c r="AF294" s="8"/>
      <c r="AG294" s="8"/>
      <c r="AH294" s="45"/>
      <c r="AI294" s="8"/>
      <c r="AJ294" s="8"/>
      <c r="AK294" s="8"/>
      <c r="AL294" s="8"/>
      <c r="AM294" s="8"/>
      <c r="AN294" s="8"/>
      <c r="AO294" s="8"/>
      <c r="AP294" s="8"/>
      <c r="AQ294" s="8"/>
      <c r="AR294" s="8"/>
      <c r="AS294" s="1"/>
      <c r="AT294" s="1"/>
      <c r="AU294" s="1"/>
      <c r="AV294" s="1"/>
      <c r="AW294" s="1"/>
      <c r="AX294" s="1"/>
      <c r="AY294" s="1"/>
      <c r="AZ294" s="1"/>
    </row>
    <row r="295" spans="1:52" x14ac:dyDescent="0.25">
      <c r="A295" s="1"/>
      <c r="B295" s="1"/>
      <c r="C295" s="1"/>
      <c r="D295" s="27"/>
      <c r="E295" s="38"/>
      <c r="F295" s="38"/>
      <c r="G295" s="38"/>
      <c r="H295" s="38"/>
      <c r="I295" s="38"/>
      <c r="J295" s="38"/>
      <c r="K295" s="1"/>
      <c r="L295" s="1"/>
      <c r="M295" s="1"/>
      <c r="N295" s="1"/>
      <c r="O295" s="1"/>
      <c r="P295" s="1"/>
      <c r="Q295" s="1"/>
      <c r="R295" s="1"/>
      <c r="S295" s="1"/>
      <c r="T295" s="1"/>
      <c r="U295" s="1"/>
      <c r="V295" s="1"/>
      <c r="W295" s="46"/>
      <c r="X295" s="8"/>
      <c r="Y295" s="8"/>
      <c r="Z295" s="8"/>
      <c r="AA295" s="8"/>
      <c r="AB295" s="8"/>
      <c r="AC295" s="8"/>
      <c r="AD295" s="8"/>
      <c r="AE295" s="8"/>
      <c r="AF295" s="8"/>
      <c r="AG295" s="8"/>
      <c r="AH295" s="45"/>
      <c r="AI295" s="8"/>
      <c r="AJ295" s="8"/>
      <c r="AK295" s="8"/>
      <c r="AL295" s="8"/>
      <c r="AM295" s="8"/>
      <c r="AN295" s="8"/>
      <c r="AO295" s="8"/>
      <c r="AP295" s="8"/>
      <c r="AQ295" s="8"/>
      <c r="AR295" s="8"/>
      <c r="AS295" s="1"/>
      <c r="AT295" s="1"/>
      <c r="AU295" s="1"/>
      <c r="AV295" s="1"/>
      <c r="AW295" s="1"/>
      <c r="AX295" s="1"/>
      <c r="AY295" s="1"/>
      <c r="AZ295" s="1"/>
    </row>
    <row r="296" spans="1:52" x14ac:dyDescent="0.25">
      <c r="A296" s="1"/>
      <c r="B296" s="1"/>
      <c r="C296" s="1"/>
      <c r="D296" s="27"/>
      <c r="E296" s="38"/>
      <c r="F296" s="38"/>
      <c r="G296" s="38"/>
      <c r="H296" s="38"/>
      <c r="I296" s="38"/>
      <c r="J296" s="38"/>
      <c r="K296" s="1"/>
      <c r="L296" s="1"/>
      <c r="M296" s="1"/>
      <c r="N296" s="1"/>
      <c r="O296" s="1"/>
      <c r="P296" s="1"/>
      <c r="Q296" s="1"/>
      <c r="R296" s="1"/>
      <c r="S296" s="1"/>
      <c r="T296" s="1"/>
      <c r="U296" s="1"/>
      <c r="V296" s="1"/>
      <c r="W296" s="46"/>
      <c r="X296" s="8"/>
      <c r="Y296" s="8"/>
      <c r="Z296" s="8"/>
      <c r="AA296" s="8"/>
      <c r="AB296" s="8"/>
      <c r="AC296" s="8"/>
      <c r="AD296" s="8"/>
      <c r="AE296" s="8"/>
      <c r="AF296" s="8"/>
      <c r="AG296" s="8"/>
      <c r="AH296" s="45"/>
      <c r="AI296" s="8"/>
      <c r="AJ296" s="8"/>
      <c r="AK296" s="8"/>
      <c r="AL296" s="8"/>
      <c r="AM296" s="8"/>
      <c r="AN296" s="8"/>
      <c r="AO296" s="8"/>
      <c r="AP296" s="8"/>
      <c r="AQ296" s="8"/>
      <c r="AR296" s="8"/>
      <c r="AS296" s="1"/>
      <c r="AT296" s="1"/>
      <c r="AU296" s="1"/>
      <c r="AV296" s="1"/>
      <c r="AW296" s="1"/>
      <c r="AX296" s="1"/>
      <c r="AY296" s="1"/>
      <c r="AZ296" s="1"/>
    </row>
    <row r="297" spans="1:52" x14ac:dyDescent="0.25">
      <c r="A297" s="1"/>
      <c r="B297" s="1"/>
      <c r="C297" s="1"/>
      <c r="D297" s="27"/>
      <c r="E297" s="38"/>
      <c r="F297" s="38"/>
      <c r="G297" s="38"/>
      <c r="H297" s="38"/>
      <c r="I297" s="38"/>
      <c r="J297" s="38"/>
      <c r="K297" s="1"/>
      <c r="L297" s="1"/>
      <c r="M297" s="1"/>
      <c r="N297" s="1"/>
      <c r="O297" s="1"/>
      <c r="P297" s="1"/>
      <c r="Q297" s="1"/>
      <c r="R297" s="1"/>
      <c r="S297" s="1"/>
      <c r="T297" s="1"/>
      <c r="U297" s="1"/>
      <c r="V297" s="1"/>
      <c r="W297" s="46"/>
      <c r="X297" s="8"/>
      <c r="Y297" s="8"/>
      <c r="Z297" s="8"/>
      <c r="AA297" s="8"/>
      <c r="AB297" s="8"/>
      <c r="AC297" s="8"/>
      <c r="AD297" s="8"/>
      <c r="AE297" s="8"/>
      <c r="AF297" s="8"/>
      <c r="AG297" s="8"/>
      <c r="AH297" s="45"/>
      <c r="AI297" s="8"/>
      <c r="AJ297" s="8"/>
      <c r="AK297" s="8"/>
      <c r="AL297" s="8"/>
      <c r="AM297" s="8"/>
      <c r="AN297" s="8"/>
      <c r="AO297" s="8"/>
      <c r="AP297" s="8"/>
      <c r="AQ297" s="8"/>
      <c r="AR297" s="8"/>
      <c r="AS297" s="1"/>
      <c r="AT297" s="1"/>
      <c r="AU297" s="1"/>
      <c r="AV297" s="1"/>
      <c r="AW297" s="1"/>
      <c r="AX297" s="1"/>
      <c r="AY297" s="1"/>
      <c r="AZ297" s="1"/>
    </row>
    <row r="298" spans="1:52" x14ac:dyDescent="0.25">
      <c r="A298" s="1"/>
      <c r="B298" s="1"/>
      <c r="C298" s="1"/>
      <c r="D298" s="27"/>
      <c r="E298" s="38"/>
      <c r="F298" s="38"/>
      <c r="G298" s="38"/>
      <c r="H298" s="38"/>
      <c r="I298" s="38"/>
      <c r="J298" s="38"/>
      <c r="K298" s="1"/>
      <c r="L298" s="1"/>
      <c r="M298" s="1"/>
      <c r="N298" s="1"/>
      <c r="O298" s="1"/>
      <c r="P298" s="1"/>
      <c r="Q298" s="1"/>
      <c r="R298" s="1"/>
      <c r="S298" s="1"/>
      <c r="T298" s="1"/>
      <c r="U298" s="1"/>
      <c r="V298" s="1"/>
      <c r="W298" s="46"/>
      <c r="X298" s="8"/>
      <c r="Y298" s="8"/>
      <c r="Z298" s="8"/>
      <c r="AA298" s="8"/>
      <c r="AB298" s="8"/>
      <c r="AC298" s="8"/>
      <c r="AD298" s="8"/>
      <c r="AE298" s="8"/>
      <c r="AF298" s="8"/>
      <c r="AG298" s="8"/>
      <c r="AH298" s="45"/>
      <c r="AI298" s="8"/>
      <c r="AJ298" s="8"/>
      <c r="AK298" s="8"/>
      <c r="AL298" s="8"/>
      <c r="AM298" s="8"/>
      <c r="AN298" s="8"/>
      <c r="AO298" s="8"/>
      <c r="AP298" s="8"/>
      <c r="AQ298" s="8"/>
      <c r="AR298" s="8"/>
      <c r="AS298" s="1"/>
      <c r="AT298" s="1"/>
      <c r="AU298" s="1"/>
      <c r="AV298" s="1"/>
      <c r="AW298" s="1"/>
      <c r="AX298" s="1"/>
      <c r="AY298" s="1"/>
      <c r="AZ298" s="1"/>
    </row>
    <row r="299" spans="1:52" x14ac:dyDescent="0.25">
      <c r="A299" s="1"/>
      <c r="B299" s="1"/>
      <c r="C299" s="1"/>
      <c r="D299" s="27"/>
      <c r="E299" s="38"/>
      <c r="F299" s="38"/>
      <c r="G299" s="38"/>
      <c r="H299" s="38"/>
      <c r="I299" s="38"/>
      <c r="J299" s="38"/>
      <c r="K299" s="1"/>
      <c r="L299" s="1"/>
      <c r="M299" s="1"/>
      <c r="N299" s="1"/>
      <c r="O299" s="1"/>
      <c r="P299" s="1"/>
      <c r="Q299" s="1"/>
      <c r="R299" s="1"/>
      <c r="S299" s="1"/>
      <c r="T299" s="1"/>
      <c r="U299" s="1"/>
      <c r="V299" s="1"/>
      <c r="W299" s="46"/>
      <c r="X299" s="8"/>
      <c r="Y299" s="8"/>
      <c r="Z299" s="8"/>
      <c r="AA299" s="8"/>
      <c r="AB299" s="8"/>
      <c r="AC299" s="8"/>
      <c r="AD299" s="8"/>
      <c r="AE299" s="8"/>
      <c r="AF299" s="8"/>
      <c r="AG299" s="8"/>
      <c r="AH299" s="45"/>
      <c r="AI299" s="8"/>
      <c r="AJ299" s="8"/>
      <c r="AK299" s="8"/>
      <c r="AL299" s="8"/>
      <c r="AM299" s="8"/>
      <c r="AN299" s="8"/>
      <c r="AO299" s="8"/>
      <c r="AP299" s="8"/>
      <c r="AQ299" s="8"/>
      <c r="AR299" s="8"/>
      <c r="AS299" s="1"/>
      <c r="AT299" s="1"/>
      <c r="AU299" s="1"/>
      <c r="AV299" s="1"/>
      <c r="AW299" s="1"/>
      <c r="AX299" s="1"/>
      <c r="AY299" s="1"/>
      <c r="AZ299" s="1"/>
    </row>
    <row r="300" spans="1:52" x14ac:dyDescent="0.25">
      <c r="A300" s="1" t="s">
        <v>1844</v>
      </c>
      <c r="B300" s="1"/>
      <c r="C300" s="1"/>
      <c r="D300" s="27"/>
      <c r="E300" s="38"/>
      <c r="F300" s="38"/>
      <c r="G300" s="38"/>
      <c r="H300" s="38"/>
      <c r="I300" s="38"/>
      <c r="J300" s="38"/>
      <c r="K300" s="1"/>
      <c r="L300" s="1"/>
      <c r="M300" s="1"/>
      <c r="N300" s="1"/>
      <c r="O300" s="1"/>
      <c r="P300" s="1"/>
      <c r="Q300" s="1"/>
      <c r="R300" s="1"/>
      <c r="S300" s="1"/>
      <c r="T300" s="1"/>
      <c r="U300" s="1"/>
      <c r="V300" s="1"/>
      <c r="W300" s="46"/>
      <c r="X300" s="8"/>
      <c r="Y300" s="8"/>
      <c r="Z300" s="8"/>
      <c r="AA300" s="8"/>
      <c r="AB300" s="8"/>
      <c r="AC300" s="8"/>
      <c r="AD300" s="8"/>
      <c r="AE300" s="8"/>
      <c r="AF300" s="8"/>
      <c r="AG300" s="8"/>
      <c r="AH300" s="45"/>
      <c r="AI300" s="8"/>
      <c r="AJ300" s="8"/>
      <c r="AK300" s="8"/>
      <c r="AL300" s="8"/>
      <c r="AM300" s="8"/>
      <c r="AN300" s="8"/>
      <c r="AO300" s="8"/>
      <c r="AP300" s="8"/>
      <c r="AQ300" s="8"/>
      <c r="AR300" s="8"/>
      <c r="AS300" s="1"/>
      <c r="AT300" s="1"/>
      <c r="AU300" s="1"/>
      <c r="AV300" s="1"/>
      <c r="AW300" s="1"/>
      <c r="AX300" s="1"/>
      <c r="AY300" s="1"/>
      <c r="AZ300"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7" r:id="rId4" name="Button 11">
              <controlPr defaultSize="0" print="0" autoFill="0" autoPict="0" macro="[0]!stocks">
                <anchor moveWithCells="1" sizeWithCells="1">
                  <from>
                    <xdr:col>1</xdr:col>
                    <xdr:colOff>38100</xdr:colOff>
                    <xdr:row>2</xdr:row>
                    <xdr:rowOff>76200</xdr:rowOff>
                  </from>
                  <to>
                    <xdr:col>1</xdr:col>
                    <xdr:colOff>1209675</xdr:colOff>
                    <xdr:row>3</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 Information'!$B$3:$B$1778</xm:f>
          </x14:formula1>
          <xm:sqref>B2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B1778"/>
  <sheetViews>
    <sheetView topLeftCell="A1756" workbookViewId="0">
      <selection activeCell="I19" sqref="I19"/>
    </sheetView>
  </sheetViews>
  <sheetFormatPr defaultRowHeight="15" x14ac:dyDescent="0.25"/>
  <sheetData>
    <row r="2" spans="2:2" x14ac:dyDescent="0.25">
      <c r="B2" t="s">
        <v>88</v>
      </c>
    </row>
    <row r="3" spans="2:2" x14ac:dyDescent="0.25">
      <c r="B3" t="str">
        <f>mrigxl_stocklist()</f>
        <v>REPRO</v>
      </c>
    </row>
    <row r="4" spans="2:2" x14ac:dyDescent="0.25">
      <c r="B4" t="s">
        <v>91</v>
      </c>
    </row>
    <row r="5" spans="2:2" x14ac:dyDescent="0.25">
      <c r="B5" t="s">
        <v>92</v>
      </c>
    </row>
    <row r="6" spans="2:2" x14ac:dyDescent="0.25">
      <c r="B6" t="s">
        <v>93</v>
      </c>
    </row>
    <row r="7" spans="2:2" x14ac:dyDescent="0.25">
      <c r="B7" t="s">
        <v>94</v>
      </c>
    </row>
    <row r="8" spans="2:2" x14ac:dyDescent="0.25">
      <c r="B8" t="s">
        <v>95</v>
      </c>
    </row>
    <row r="9" spans="2:2" x14ac:dyDescent="0.25">
      <c r="B9" t="s">
        <v>96</v>
      </c>
    </row>
    <row r="10" spans="2:2" x14ac:dyDescent="0.25">
      <c r="B10" t="s">
        <v>97</v>
      </c>
    </row>
    <row r="11" spans="2:2" x14ac:dyDescent="0.25">
      <c r="B11" t="s">
        <v>98</v>
      </c>
    </row>
    <row r="12" spans="2:2" x14ac:dyDescent="0.25">
      <c r="B12" t="s">
        <v>99</v>
      </c>
    </row>
    <row r="13" spans="2:2" x14ac:dyDescent="0.25">
      <c r="B13" t="s">
        <v>100</v>
      </c>
    </row>
    <row r="14" spans="2:2" x14ac:dyDescent="0.25">
      <c r="B14" t="s">
        <v>101</v>
      </c>
    </row>
    <row r="15" spans="2:2" x14ac:dyDescent="0.25">
      <c r="B15" t="s">
        <v>102</v>
      </c>
    </row>
    <row r="16" spans="2:2" x14ac:dyDescent="0.25">
      <c r="B16" t="s">
        <v>103</v>
      </c>
    </row>
    <row r="17" spans="2:2" x14ac:dyDescent="0.25">
      <c r="B17" t="s">
        <v>104</v>
      </c>
    </row>
    <row r="18" spans="2:2" x14ac:dyDescent="0.25">
      <c r="B18" t="s">
        <v>105</v>
      </c>
    </row>
    <row r="19" spans="2:2" x14ac:dyDescent="0.25">
      <c r="B19" t="s">
        <v>106</v>
      </c>
    </row>
    <row r="20" spans="2:2" x14ac:dyDescent="0.25">
      <c r="B20" t="s">
        <v>107</v>
      </c>
    </row>
    <row r="21" spans="2:2" x14ac:dyDescent="0.25">
      <c r="B21" t="s">
        <v>108</v>
      </c>
    </row>
    <row r="22" spans="2:2" x14ac:dyDescent="0.25">
      <c r="B22" t="s">
        <v>109</v>
      </c>
    </row>
    <row r="23" spans="2:2" x14ac:dyDescent="0.25">
      <c r="B23" t="s">
        <v>110</v>
      </c>
    </row>
    <row r="24" spans="2:2" x14ac:dyDescent="0.25">
      <c r="B24" t="s">
        <v>111</v>
      </c>
    </row>
    <row r="25" spans="2:2" x14ac:dyDescent="0.25">
      <c r="B25" t="s">
        <v>112</v>
      </c>
    </row>
    <row r="26" spans="2:2" x14ac:dyDescent="0.25">
      <c r="B26" t="s">
        <v>113</v>
      </c>
    </row>
    <row r="27" spans="2:2" x14ac:dyDescent="0.25">
      <c r="B27" t="s">
        <v>114</v>
      </c>
    </row>
    <row r="28" spans="2:2" x14ac:dyDescent="0.25">
      <c r="B28" t="s">
        <v>115</v>
      </c>
    </row>
    <row r="29" spans="2:2" x14ac:dyDescent="0.25">
      <c r="B29" t="s">
        <v>116</v>
      </c>
    </row>
    <row r="30" spans="2:2" x14ac:dyDescent="0.25">
      <c r="B30" t="s">
        <v>117</v>
      </c>
    </row>
    <row r="31" spans="2:2" x14ac:dyDescent="0.25">
      <c r="B31" t="s">
        <v>118</v>
      </c>
    </row>
    <row r="32" spans="2:2" x14ac:dyDescent="0.25">
      <c r="B32" t="s">
        <v>119</v>
      </c>
    </row>
    <row r="33" spans="2:2" x14ac:dyDescent="0.25">
      <c r="B33" t="s">
        <v>120</v>
      </c>
    </row>
    <row r="34" spans="2:2" x14ac:dyDescent="0.25">
      <c r="B34" t="s">
        <v>121</v>
      </c>
    </row>
    <row r="35" spans="2:2" x14ac:dyDescent="0.25">
      <c r="B35" t="s">
        <v>122</v>
      </c>
    </row>
    <row r="36" spans="2:2" x14ac:dyDescent="0.25">
      <c r="B36" t="s">
        <v>123</v>
      </c>
    </row>
    <row r="37" spans="2:2" x14ac:dyDescent="0.25">
      <c r="B37" t="s">
        <v>124</v>
      </c>
    </row>
    <row r="38" spans="2:2" x14ac:dyDescent="0.25">
      <c r="B38" t="s">
        <v>125</v>
      </c>
    </row>
    <row r="39" spans="2:2" x14ac:dyDescent="0.25">
      <c r="B39" t="s">
        <v>126</v>
      </c>
    </row>
    <row r="40" spans="2:2" x14ac:dyDescent="0.25">
      <c r="B40" t="s">
        <v>127</v>
      </c>
    </row>
    <row r="41" spans="2:2" x14ac:dyDescent="0.25">
      <c r="B41" t="s">
        <v>128</v>
      </c>
    </row>
    <row r="42" spans="2:2" x14ac:dyDescent="0.25">
      <c r="B42" t="s">
        <v>129</v>
      </c>
    </row>
    <row r="43" spans="2:2" x14ac:dyDescent="0.25">
      <c r="B43" t="s">
        <v>130</v>
      </c>
    </row>
    <row r="44" spans="2:2" x14ac:dyDescent="0.25">
      <c r="B44" t="s">
        <v>131</v>
      </c>
    </row>
    <row r="45" spans="2:2" x14ac:dyDescent="0.25">
      <c r="B45" t="s">
        <v>132</v>
      </c>
    </row>
    <row r="46" spans="2:2" x14ac:dyDescent="0.25">
      <c r="B46" t="s">
        <v>133</v>
      </c>
    </row>
    <row r="47" spans="2:2" x14ac:dyDescent="0.25">
      <c r="B47" t="s">
        <v>134</v>
      </c>
    </row>
    <row r="48" spans="2:2" x14ac:dyDescent="0.25">
      <c r="B48" t="s">
        <v>135</v>
      </c>
    </row>
    <row r="49" spans="2:2" x14ac:dyDescent="0.25">
      <c r="B49" t="s">
        <v>136</v>
      </c>
    </row>
    <row r="50" spans="2:2" x14ac:dyDescent="0.25">
      <c r="B50" t="s">
        <v>137</v>
      </c>
    </row>
    <row r="51" spans="2:2" x14ac:dyDescent="0.25">
      <c r="B51" t="s">
        <v>138</v>
      </c>
    </row>
    <row r="52" spans="2:2" x14ac:dyDescent="0.25">
      <c r="B52" t="s">
        <v>139</v>
      </c>
    </row>
    <row r="53" spans="2:2" x14ac:dyDescent="0.25">
      <c r="B53" t="s">
        <v>140</v>
      </c>
    </row>
    <row r="54" spans="2:2" x14ac:dyDescent="0.25">
      <c r="B54" t="s">
        <v>141</v>
      </c>
    </row>
    <row r="55" spans="2:2" x14ac:dyDescent="0.25">
      <c r="B55" t="s">
        <v>142</v>
      </c>
    </row>
    <row r="56" spans="2:2" x14ac:dyDescent="0.25">
      <c r="B56" t="s">
        <v>143</v>
      </c>
    </row>
    <row r="57" spans="2:2" x14ac:dyDescent="0.25">
      <c r="B57" t="s">
        <v>144</v>
      </c>
    </row>
    <row r="58" spans="2:2" x14ac:dyDescent="0.25">
      <c r="B58" t="s">
        <v>145</v>
      </c>
    </row>
    <row r="59" spans="2:2" x14ac:dyDescent="0.25">
      <c r="B59" t="s">
        <v>146</v>
      </c>
    </row>
    <row r="60" spans="2:2" x14ac:dyDescent="0.25">
      <c r="B60" t="s">
        <v>147</v>
      </c>
    </row>
    <row r="61" spans="2:2" x14ac:dyDescent="0.25">
      <c r="B61" t="s">
        <v>148</v>
      </c>
    </row>
    <row r="62" spans="2:2" x14ac:dyDescent="0.25">
      <c r="B62" t="s">
        <v>149</v>
      </c>
    </row>
    <row r="63" spans="2:2" x14ac:dyDescent="0.25">
      <c r="B63" t="s">
        <v>150</v>
      </c>
    </row>
    <row r="64" spans="2:2" x14ac:dyDescent="0.25">
      <c r="B64" t="s">
        <v>151</v>
      </c>
    </row>
    <row r="65" spans="2:2" x14ac:dyDescent="0.25">
      <c r="B65" t="s">
        <v>152</v>
      </c>
    </row>
    <row r="66" spans="2:2" x14ac:dyDescent="0.25">
      <c r="B66" t="s">
        <v>153</v>
      </c>
    </row>
    <row r="67" spans="2:2" x14ac:dyDescent="0.25">
      <c r="B67" t="s">
        <v>154</v>
      </c>
    </row>
    <row r="68" spans="2:2" x14ac:dyDescent="0.25">
      <c r="B68" t="s">
        <v>155</v>
      </c>
    </row>
    <row r="69" spans="2:2" x14ac:dyDescent="0.25">
      <c r="B69" t="s">
        <v>156</v>
      </c>
    </row>
    <row r="70" spans="2:2" x14ac:dyDescent="0.25">
      <c r="B70" t="s">
        <v>157</v>
      </c>
    </row>
    <row r="71" spans="2:2" x14ac:dyDescent="0.25">
      <c r="B71" t="s">
        <v>158</v>
      </c>
    </row>
    <row r="72" spans="2:2" x14ac:dyDescent="0.25">
      <c r="B72" t="s">
        <v>159</v>
      </c>
    </row>
    <row r="73" spans="2:2" x14ac:dyDescent="0.25">
      <c r="B73" t="s">
        <v>90</v>
      </c>
    </row>
    <row r="74" spans="2:2" x14ac:dyDescent="0.25">
      <c r="B74" t="s">
        <v>160</v>
      </c>
    </row>
    <row r="75" spans="2:2" x14ac:dyDescent="0.25">
      <c r="B75" t="s">
        <v>161</v>
      </c>
    </row>
    <row r="76" spans="2:2" x14ac:dyDescent="0.25">
      <c r="B76" t="s">
        <v>162</v>
      </c>
    </row>
    <row r="77" spans="2:2" x14ac:dyDescent="0.25">
      <c r="B77" t="s">
        <v>163</v>
      </c>
    </row>
    <row r="78" spans="2:2" x14ac:dyDescent="0.25">
      <c r="B78" t="s">
        <v>164</v>
      </c>
    </row>
    <row r="79" spans="2:2" x14ac:dyDescent="0.25">
      <c r="B79" t="s">
        <v>165</v>
      </c>
    </row>
    <row r="80" spans="2:2" x14ac:dyDescent="0.25">
      <c r="B80" t="s">
        <v>166</v>
      </c>
    </row>
    <row r="81" spans="2:2" x14ac:dyDescent="0.25">
      <c r="B81" t="s">
        <v>167</v>
      </c>
    </row>
    <row r="82" spans="2:2" x14ac:dyDescent="0.25">
      <c r="B82" t="s">
        <v>168</v>
      </c>
    </row>
    <row r="83" spans="2:2" x14ac:dyDescent="0.25">
      <c r="B83" t="s">
        <v>169</v>
      </c>
    </row>
    <row r="84" spans="2:2" x14ac:dyDescent="0.25">
      <c r="B84" t="s">
        <v>170</v>
      </c>
    </row>
    <row r="85" spans="2:2" x14ac:dyDescent="0.25">
      <c r="B85" t="s">
        <v>171</v>
      </c>
    </row>
    <row r="86" spans="2:2" x14ac:dyDescent="0.25">
      <c r="B86" t="s">
        <v>172</v>
      </c>
    </row>
    <row r="87" spans="2:2" x14ac:dyDescent="0.25">
      <c r="B87" t="s">
        <v>173</v>
      </c>
    </row>
    <row r="88" spans="2:2" x14ac:dyDescent="0.25">
      <c r="B88" t="s">
        <v>174</v>
      </c>
    </row>
    <row r="89" spans="2:2" x14ac:dyDescent="0.25">
      <c r="B89" t="s">
        <v>175</v>
      </c>
    </row>
    <row r="90" spans="2:2" x14ac:dyDescent="0.25">
      <c r="B90" t="s">
        <v>176</v>
      </c>
    </row>
    <row r="91" spans="2:2" x14ac:dyDescent="0.25">
      <c r="B91" t="s">
        <v>177</v>
      </c>
    </row>
    <row r="92" spans="2:2" x14ac:dyDescent="0.25">
      <c r="B92" t="s">
        <v>178</v>
      </c>
    </row>
    <row r="93" spans="2:2" x14ac:dyDescent="0.25">
      <c r="B93" t="s">
        <v>179</v>
      </c>
    </row>
    <row r="94" spans="2:2" x14ac:dyDescent="0.25">
      <c r="B94" t="s">
        <v>180</v>
      </c>
    </row>
    <row r="95" spans="2:2" x14ac:dyDescent="0.25">
      <c r="B95" t="s">
        <v>181</v>
      </c>
    </row>
    <row r="96" spans="2:2" x14ac:dyDescent="0.25">
      <c r="B96" t="s">
        <v>182</v>
      </c>
    </row>
    <row r="97" spans="2:2" x14ac:dyDescent="0.25">
      <c r="B97" t="s">
        <v>183</v>
      </c>
    </row>
    <row r="98" spans="2:2" x14ac:dyDescent="0.25">
      <c r="B98" t="s">
        <v>184</v>
      </c>
    </row>
    <row r="99" spans="2:2" x14ac:dyDescent="0.25">
      <c r="B99" t="s">
        <v>185</v>
      </c>
    </row>
    <row r="100" spans="2:2" x14ac:dyDescent="0.25">
      <c r="B100" t="s">
        <v>186</v>
      </c>
    </row>
    <row r="101" spans="2:2" x14ac:dyDescent="0.25">
      <c r="B101" t="s">
        <v>187</v>
      </c>
    </row>
    <row r="102" spans="2:2" x14ac:dyDescent="0.25">
      <c r="B102" t="s">
        <v>188</v>
      </c>
    </row>
    <row r="103" spans="2:2" x14ac:dyDescent="0.25">
      <c r="B103" t="s">
        <v>189</v>
      </c>
    </row>
    <row r="104" spans="2:2" x14ac:dyDescent="0.25">
      <c r="B104" t="s">
        <v>190</v>
      </c>
    </row>
    <row r="105" spans="2:2" x14ac:dyDescent="0.25">
      <c r="B105" t="s">
        <v>191</v>
      </c>
    </row>
    <row r="106" spans="2:2" x14ac:dyDescent="0.25">
      <c r="B106" t="s">
        <v>192</v>
      </c>
    </row>
    <row r="107" spans="2:2" x14ac:dyDescent="0.25">
      <c r="B107" t="s">
        <v>193</v>
      </c>
    </row>
    <row r="108" spans="2:2" x14ac:dyDescent="0.25">
      <c r="B108" t="s">
        <v>194</v>
      </c>
    </row>
    <row r="109" spans="2:2" x14ac:dyDescent="0.25">
      <c r="B109" t="s">
        <v>195</v>
      </c>
    </row>
    <row r="110" spans="2:2" x14ac:dyDescent="0.25">
      <c r="B110" t="s">
        <v>196</v>
      </c>
    </row>
    <row r="111" spans="2:2" x14ac:dyDescent="0.25">
      <c r="B111" t="s">
        <v>197</v>
      </c>
    </row>
    <row r="112" spans="2:2" x14ac:dyDescent="0.25">
      <c r="B112" t="s">
        <v>198</v>
      </c>
    </row>
    <row r="113" spans="2:2" x14ac:dyDescent="0.25">
      <c r="B113" t="s">
        <v>199</v>
      </c>
    </row>
    <row r="114" spans="2:2" x14ac:dyDescent="0.25">
      <c r="B114" t="s">
        <v>200</v>
      </c>
    </row>
    <row r="115" spans="2:2" x14ac:dyDescent="0.25">
      <c r="B115" t="s">
        <v>201</v>
      </c>
    </row>
    <row r="116" spans="2:2" x14ac:dyDescent="0.25">
      <c r="B116" t="s">
        <v>202</v>
      </c>
    </row>
    <row r="117" spans="2:2" x14ac:dyDescent="0.25">
      <c r="B117" t="s">
        <v>203</v>
      </c>
    </row>
    <row r="118" spans="2:2" x14ac:dyDescent="0.25">
      <c r="B118" t="s">
        <v>204</v>
      </c>
    </row>
    <row r="119" spans="2:2" x14ac:dyDescent="0.25">
      <c r="B119" t="s">
        <v>205</v>
      </c>
    </row>
    <row r="120" spans="2:2" x14ac:dyDescent="0.25">
      <c r="B120" t="s">
        <v>206</v>
      </c>
    </row>
    <row r="121" spans="2:2" x14ac:dyDescent="0.25">
      <c r="B121" t="s">
        <v>207</v>
      </c>
    </row>
    <row r="122" spans="2:2" x14ac:dyDescent="0.25">
      <c r="B122" t="s">
        <v>208</v>
      </c>
    </row>
    <row r="123" spans="2:2" x14ac:dyDescent="0.25">
      <c r="B123" t="s">
        <v>209</v>
      </c>
    </row>
    <row r="124" spans="2:2" x14ac:dyDescent="0.25">
      <c r="B124" t="s">
        <v>210</v>
      </c>
    </row>
    <row r="125" spans="2:2" x14ac:dyDescent="0.25">
      <c r="B125" t="s">
        <v>211</v>
      </c>
    </row>
    <row r="126" spans="2:2" x14ac:dyDescent="0.25">
      <c r="B126" t="s">
        <v>212</v>
      </c>
    </row>
    <row r="127" spans="2:2" x14ac:dyDescent="0.25">
      <c r="B127" t="s">
        <v>213</v>
      </c>
    </row>
    <row r="128" spans="2:2" x14ac:dyDescent="0.25">
      <c r="B128" t="s">
        <v>214</v>
      </c>
    </row>
    <row r="129" spans="2:2" x14ac:dyDescent="0.25">
      <c r="B129" t="s">
        <v>215</v>
      </c>
    </row>
    <row r="130" spans="2:2" x14ac:dyDescent="0.25">
      <c r="B130" t="s">
        <v>216</v>
      </c>
    </row>
    <row r="131" spans="2:2" x14ac:dyDescent="0.25">
      <c r="B131" t="s">
        <v>217</v>
      </c>
    </row>
    <row r="132" spans="2:2" x14ac:dyDescent="0.25">
      <c r="B132" t="s">
        <v>218</v>
      </c>
    </row>
    <row r="133" spans="2:2" x14ac:dyDescent="0.25">
      <c r="B133" t="s">
        <v>219</v>
      </c>
    </row>
    <row r="134" spans="2:2" x14ac:dyDescent="0.25">
      <c r="B134" t="s">
        <v>220</v>
      </c>
    </row>
    <row r="135" spans="2:2" x14ac:dyDescent="0.25">
      <c r="B135" t="s">
        <v>221</v>
      </c>
    </row>
    <row r="136" spans="2:2" x14ac:dyDescent="0.25">
      <c r="B136" t="s">
        <v>222</v>
      </c>
    </row>
    <row r="137" spans="2:2" x14ac:dyDescent="0.25">
      <c r="B137" t="s">
        <v>223</v>
      </c>
    </row>
    <row r="138" spans="2:2" x14ac:dyDescent="0.25">
      <c r="B138" t="s">
        <v>224</v>
      </c>
    </row>
    <row r="139" spans="2:2" x14ac:dyDescent="0.25">
      <c r="B139" t="s">
        <v>225</v>
      </c>
    </row>
    <row r="140" spans="2:2" x14ac:dyDescent="0.25">
      <c r="B140" t="s">
        <v>226</v>
      </c>
    </row>
    <row r="141" spans="2:2" x14ac:dyDescent="0.25">
      <c r="B141" t="s">
        <v>227</v>
      </c>
    </row>
    <row r="142" spans="2:2" x14ac:dyDescent="0.25">
      <c r="B142" t="s">
        <v>228</v>
      </c>
    </row>
    <row r="143" spans="2:2" x14ac:dyDescent="0.25">
      <c r="B143" t="s">
        <v>229</v>
      </c>
    </row>
    <row r="144" spans="2:2" x14ac:dyDescent="0.25">
      <c r="B144" t="s">
        <v>230</v>
      </c>
    </row>
    <row r="145" spans="2:2" x14ac:dyDescent="0.25">
      <c r="B145" t="s">
        <v>231</v>
      </c>
    </row>
    <row r="146" spans="2:2" x14ac:dyDescent="0.25">
      <c r="B146" t="s">
        <v>232</v>
      </c>
    </row>
    <row r="147" spans="2:2" x14ac:dyDescent="0.25">
      <c r="B147" t="s">
        <v>233</v>
      </c>
    </row>
    <row r="148" spans="2:2" x14ac:dyDescent="0.25">
      <c r="B148" t="s">
        <v>234</v>
      </c>
    </row>
    <row r="149" spans="2:2" x14ac:dyDescent="0.25">
      <c r="B149" t="s">
        <v>235</v>
      </c>
    </row>
    <row r="150" spans="2:2" x14ac:dyDescent="0.25">
      <c r="B150" t="s">
        <v>79</v>
      </c>
    </row>
    <row r="151" spans="2:2" x14ac:dyDescent="0.25">
      <c r="B151" t="s">
        <v>236</v>
      </c>
    </row>
    <row r="152" spans="2:2" x14ac:dyDescent="0.25">
      <c r="B152" t="s">
        <v>237</v>
      </c>
    </row>
    <row r="153" spans="2:2" x14ac:dyDescent="0.25">
      <c r="B153" t="s">
        <v>238</v>
      </c>
    </row>
    <row r="154" spans="2:2" x14ac:dyDescent="0.25">
      <c r="B154" t="s">
        <v>239</v>
      </c>
    </row>
    <row r="155" spans="2:2" x14ac:dyDescent="0.25">
      <c r="B155" t="s">
        <v>240</v>
      </c>
    </row>
    <row r="156" spans="2:2" x14ac:dyDescent="0.25">
      <c r="B156" t="s">
        <v>241</v>
      </c>
    </row>
    <row r="157" spans="2:2" x14ac:dyDescent="0.25">
      <c r="B157" t="s">
        <v>242</v>
      </c>
    </row>
    <row r="158" spans="2:2" x14ac:dyDescent="0.25">
      <c r="B158" t="s">
        <v>243</v>
      </c>
    </row>
    <row r="159" spans="2:2" x14ac:dyDescent="0.25">
      <c r="B159" t="s">
        <v>244</v>
      </c>
    </row>
    <row r="160" spans="2:2" x14ac:dyDescent="0.25">
      <c r="B160" t="s">
        <v>245</v>
      </c>
    </row>
    <row r="161" spans="2:2" x14ac:dyDescent="0.25">
      <c r="B161" t="s">
        <v>246</v>
      </c>
    </row>
    <row r="162" spans="2:2" x14ac:dyDescent="0.25">
      <c r="B162" t="s">
        <v>247</v>
      </c>
    </row>
    <row r="163" spans="2:2" x14ac:dyDescent="0.25">
      <c r="B163" t="s">
        <v>248</v>
      </c>
    </row>
    <row r="164" spans="2:2" x14ac:dyDescent="0.25">
      <c r="B164" t="s">
        <v>249</v>
      </c>
    </row>
    <row r="165" spans="2:2" x14ac:dyDescent="0.25">
      <c r="B165" t="s">
        <v>250</v>
      </c>
    </row>
    <row r="166" spans="2:2" x14ac:dyDescent="0.25">
      <c r="B166" t="s">
        <v>251</v>
      </c>
    </row>
    <row r="167" spans="2:2" x14ac:dyDescent="0.25">
      <c r="B167" t="s">
        <v>252</v>
      </c>
    </row>
    <row r="168" spans="2:2" x14ac:dyDescent="0.25">
      <c r="B168" t="s">
        <v>253</v>
      </c>
    </row>
    <row r="169" spans="2:2" x14ac:dyDescent="0.25">
      <c r="B169" t="s">
        <v>254</v>
      </c>
    </row>
    <row r="170" spans="2:2" x14ac:dyDescent="0.25">
      <c r="B170" t="s">
        <v>44</v>
      </c>
    </row>
    <row r="171" spans="2:2" x14ac:dyDescent="0.25">
      <c r="B171" t="s">
        <v>255</v>
      </c>
    </row>
    <row r="172" spans="2:2" x14ac:dyDescent="0.25">
      <c r="B172" t="s">
        <v>256</v>
      </c>
    </row>
    <row r="173" spans="2:2" x14ac:dyDescent="0.25">
      <c r="B173" t="s">
        <v>257</v>
      </c>
    </row>
    <row r="174" spans="2:2" x14ac:dyDescent="0.25">
      <c r="B174" t="s">
        <v>258</v>
      </c>
    </row>
    <row r="175" spans="2:2" x14ac:dyDescent="0.25">
      <c r="B175" t="s">
        <v>259</v>
      </c>
    </row>
    <row r="176" spans="2:2" x14ac:dyDescent="0.25">
      <c r="B176" t="s">
        <v>260</v>
      </c>
    </row>
    <row r="177" spans="2:2" x14ac:dyDescent="0.25">
      <c r="B177" t="s">
        <v>261</v>
      </c>
    </row>
    <row r="178" spans="2:2" x14ac:dyDescent="0.25">
      <c r="B178" t="s">
        <v>60</v>
      </c>
    </row>
    <row r="179" spans="2:2" x14ac:dyDescent="0.25">
      <c r="B179" t="s">
        <v>262</v>
      </c>
    </row>
    <row r="180" spans="2:2" x14ac:dyDescent="0.25">
      <c r="B180" t="s">
        <v>43</v>
      </c>
    </row>
    <row r="181" spans="2:2" x14ac:dyDescent="0.25">
      <c r="B181" t="s">
        <v>263</v>
      </c>
    </row>
    <row r="182" spans="2:2" x14ac:dyDescent="0.25">
      <c r="B182" t="s">
        <v>264</v>
      </c>
    </row>
    <row r="183" spans="2:2" x14ac:dyDescent="0.25">
      <c r="B183" t="s">
        <v>265</v>
      </c>
    </row>
    <row r="184" spans="2:2" x14ac:dyDescent="0.25">
      <c r="B184" t="s">
        <v>266</v>
      </c>
    </row>
    <row r="185" spans="2:2" x14ac:dyDescent="0.25">
      <c r="B185" t="s">
        <v>267</v>
      </c>
    </row>
    <row r="186" spans="2:2" x14ac:dyDescent="0.25">
      <c r="B186" t="s">
        <v>268</v>
      </c>
    </row>
    <row r="187" spans="2:2" x14ac:dyDescent="0.25">
      <c r="B187" t="s">
        <v>269</v>
      </c>
    </row>
    <row r="188" spans="2:2" x14ac:dyDescent="0.25">
      <c r="B188" t="s">
        <v>270</v>
      </c>
    </row>
    <row r="189" spans="2:2" x14ac:dyDescent="0.25">
      <c r="B189" t="s">
        <v>271</v>
      </c>
    </row>
    <row r="190" spans="2:2" x14ac:dyDescent="0.25">
      <c r="B190" t="s">
        <v>272</v>
      </c>
    </row>
    <row r="191" spans="2:2" x14ac:dyDescent="0.25">
      <c r="B191" t="s">
        <v>273</v>
      </c>
    </row>
    <row r="192" spans="2:2" x14ac:dyDescent="0.25">
      <c r="B192" t="s">
        <v>274</v>
      </c>
    </row>
    <row r="193" spans="2:2" x14ac:dyDescent="0.25">
      <c r="B193" t="s">
        <v>275</v>
      </c>
    </row>
    <row r="194" spans="2:2" x14ac:dyDescent="0.25">
      <c r="B194" t="s">
        <v>276</v>
      </c>
    </row>
    <row r="195" spans="2:2" x14ac:dyDescent="0.25">
      <c r="B195" t="s">
        <v>277</v>
      </c>
    </row>
    <row r="196" spans="2:2" x14ac:dyDescent="0.25">
      <c r="B196" t="s">
        <v>278</v>
      </c>
    </row>
    <row r="197" spans="2:2" x14ac:dyDescent="0.25">
      <c r="B197" t="s">
        <v>279</v>
      </c>
    </row>
    <row r="198" spans="2:2" x14ac:dyDescent="0.25">
      <c r="B198" t="s">
        <v>280</v>
      </c>
    </row>
    <row r="199" spans="2:2" x14ac:dyDescent="0.25">
      <c r="B199" t="s">
        <v>281</v>
      </c>
    </row>
    <row r="200" spans="2:2" x14ac:dyDescent="0.25">
      <c r="B200" t="s">
        <v>282</v>
      </c>
    </row>
    <row r="201" spans="2:2" x14ac:dyDescent="0.25">
      <c r="B201" t="s">
        <v>283</v>
      </c>
    </row>
    <row r="202" spans="2:2" x14ac:dyDescent="0.25">
      <c r="B202" t="s">
        <v>284</v>
      </c>
    </row>
    <row r="203" spans="2:2" x14ac:dyDescent="0.25">
      <c r="B203" t="s">
        <v>285</v>
      </c>
    </row>
    <row r="204" spans="2:2" x14ac:dyDescent="0.25">
      <c r="B204" t="s">
        <v>286</v>
      </c>
    </row>
    <row r="205" spans="2:2" x14ac:dyDescent="0.25">
      <c r="B205" t="s">
        <v>287</v>
      </c>
    </row>
    <row r="206" spans="2:2" x14ac:dyDescent="0.25">
      <c r="B206" t="s">
        <v>288</v>
      </c>
    </row>
    <row r="207" spans="2:2" x14ac:dyDescent="0.25">
      <c r="B207" t="s">
        <v>289</v>
      </c>
    </row>
    <row r="208" spans="2:2" x14ac:dyDescent="0.25">
      <c r="B208" t="s">
        <v>290</v>
      </c>
    </row>
    <row r="209" spans="2:2" x14ac:dyDescent="0.25">
      <c r="B209" t="s">
        <v>291</v>
      </c>
    </row>
    <row r="210" spans="2:2" x14ac:dyDescent="0.25">
      <c r="B210" t="s">
        <v>292</v>
      </c>
    </row>
    <row r="211" spans="2:2" x14ac:dyDescent="0.25">
      <c r="B211" t="s">
        <v>293</v>
      </c>
    </row>
    <row r="212" spans="2:2" x14ac:dyDescent="0.25">
      <c r="B212" t="s">
        <v>294</v>
      </c>
    </row>
    <row r="213" spans="2:2" x14ac:dyDescent="0.25">
      <c r="B213" t="s">
        <v>295</v>
      </c>
    </row>
    <row r="214" spans="2:2" x14ac:dyDescent="0.25">
      <c r="B214" t="s">
        <v>296</v>
      </c>
    </row>
    <row r="215" spans="2:2" x14ac:dyDescent="0.25">
      <c r="B215" t="s">
        <v>297</v>
      </c>
    </row>
    <row r="216" spans="2:2" x14ac:dyDescent="0.25">
      <c r="B216" t="s">
        <v>298</v>
      </c>
    </row>
    <row r="217" spans="2:2" x14ac:dyDescent="0.25">
      <c r="B217" t="s">
        <v>299</v>
      </c>
    </row>
    <row r="218" spans="2:2" x14ac:dyDescent="0.25">
      <c r="B218" t="s">
        <v>300</v>
      </c>
    </row>
    <row r="219" spans="2:2" x14ac:dyDescent="0.25">
      <c r="B219" t="s">
        <v>301</v>
      </c>
    </row>
    <row r="220" spans="2:2" x14ac:dyDescent="0.25">
      <c r="B220" t="s">
        <v>302</v>
      </c>
    </row>
    <row r="221" spans="2:2" x14ac:dyDescent="0.25">
      <c r="B221" t="s">
        <v>303</v>
      </c>
    </row>
    <row r="222" spans="2:2" x14ac:dyDescent="0.25">
      <c r="B222" t="s">
        <v>304</v>
      </c>
    </row>
    <row r="223" spans="2:2" x14ac:dyDescent="0.25">
      <c r="B223" t="s">
        <v>305</v>
      </c>
    </row>
    <row r="224" spans="2:2" x14ac:dyDescent="0.25">
      <c r="B224" t="s">
        <v>306</v>
      </c>
    </row>
    <row r="225" spans="2:2" x14ac:dyDescent="0.25">
      <c r="B225" t="s">
        <v>307</v>
      </c>
    </row>
    <row r="226" spans="2:2" x14ac:dyDescent="0.25">
      <c r="B226" t="s">
        <v>308</v>
      </c>
    </row>
    <row r="227" spans="2:2" x14ac:dyDescent="0.25">
      <c r="B227" t="s">
        <v>309</v>
      </c>
    </row>
    <row r="228" spans="2:2" x14ac:dyDescent="0.25">
      <c r="B228" t="s">
        <v>310</v>
      </c>
    </row>
    <row r="229" spans="2:2" x14ac:dyDescent="0.25">
      <c r="B229" t="s">
        <v>311</v>
      </c>
    </row>
    <row r="230" spans="2:2" x14ac:dyDescent="0.25">
      <c r="B230" t="s">
        <v>312</v>
      </c>
    </row>
    <row r="231" spans="2:2" x14ac:dyDescent="0.25">
      <c r="B231" t="s">
        <v>313</v>
      </c>
    </row>
    <row r="232" spans="2:2" x14ac:dyDescent="0.25">
      <c r="B232" t="s">
        <v>314</v>
      </c>
    </row>
    <row r="233" spans="2:2" x14ac:dyDescent="0.25">
      <c r="B233" t="s">
        <v>315</v>
      </c>
    </row>
    <row r="234" spans="2:2" x14ac:dyDescent="0.25">
      <c r="B234" t="s">
        <v>316</v>
      </c>
    </row>
    <row r="235" spans="2:2" x14ac:dyDescent="0.25">
      <c r="B235" t="s">
        <v>317</v>
      </c>
    </row>
    <row r="236" spans="2:2" x14ac:dyDescent="0.25">
      <c r="B236" t="s">
        <v>318</v>
      </c>
    </row>
    <row r="237" spans="2:2" x14ac:dyDescent="0.25">
      <c r="B237" t="s">
        <v>319</v>
      </c>
    </row>
    <row r="238" spans="2:2" x14ac:dyDescent="0.25">
      <c r="B238" t="s">
        <v>320</v>
      </c>
    </row>
    <row r="239" spans="2:2" x14ac:dyDescent="0.25">
      <c r="B239" t="s">
        <v>321</v>
      </c>
    </row>
    <row r="240" spans="2:2" x14ac:dyDescent="0.25">
      <c r="B240" t="s">
        <v>322</v>
      </c>
    </row>
    <row r="241" spans="2:2" x14ac:dyDescent="0.25">
      <c r="B241" t="s">
        <v>323</v>
      </c>
    </row>
    <row r="242" spans="2:2" x14ac:dyDescent="0.25">
      <c r="B242" t="s">
        <v>324</v>
      </c>
    </row>
    <row r="243" spans="2:2" x14ac:dyDescent="0.25">
      <c r="B243" t="s">
        <v>325</v>
      </c>
    </row>
    <row r="244" spans="2:2" x14ac:dyDescent="0.25">
      <c r="B244" t="s">
        <v>326</v>
      </c>
    </row>
    <row r="245" spans="2:2" x14ac:dyDescent="0.25">
      <c r="B245" t="s">
        <v>327</v>
      </c>
    </row>
    <row r="246" spans="2:2" x14ac:dyDescent="0.25">
      <c r="B246" t="s">
        <v>328</v>
      </c>
    </row>
    <row r="247" spans="2:2" x14ac:dyDescent="0.25">
      <c r="B247" t="s">
        <v>329</v>
      </c>
    </row>
    <row r="248" spans="2:2" x14ac:dyDescent="0.25">
      <c r="B248" t="s">
        <v>330</v>
      </c>
    </row>
    <row r="249" spans="2:2" x14ac:dyDescent="0.25">
      <c r="B249" t="s">
        <v>331</v>
      </c>
    </row>
    <row r="250" spans="2:2" x14ac:dyDescent="0.25">
      <c r="B250" t="s">
        <v>332</v>
      </c>
    </row>
    <row r="251" spans="2:2" x14ac:dyDescent="0.25">
      <c r="B251" t="s">
        <v>333</v>
      </c>
    </row>
    <row r="252" spans="2:2" x14ac:dyDescent="0.25">
      <c r="B252" t="s">
        <v>334</v>
      </c>
    </row>
    <row r="253" spans="2:2" x14ac:dyDescent="0.25">
      <c r="B253" t="s">
        <v>335</v>
      </c>
    </row>
    <row r="254" spans="2:2" x14ac:dyDescent="0.25">
      <c r="B254" t="s">
        <v>336</v>
      </c>
    </row>
    <row r="255" spans="2:2" x14ac:dyDescent="0.25">
      <c r="B255" t="s">
        <v>337</v>
      </c>
    </row>
    <row r="256" spans="2:2" x14ac:dyDescent="0.25">
      <c r="B256" t="s">
        <v>338</v>
      </c>
    </row>
    <row r="257" spans="2:2" x14ac:dyDescent="0.25">
      <c r="B257" t="s">
        <v>339</v>
      </c>
    </row>
    <row r="258" spans="2:2" x14ac:dyDescent="0.25">
      <c r="B258" t="s">
        <v>340</v>
      </c>
    </row>
    <row r="259" spans="2:2" x14ac:dyDescent="0.25">
      <c r="B259" t="s">
        <v>341</v>
      </c>
    </row>
    <row r="260" spans="2:2" x14ac:dyDescent="0.25">
      <c r="B260" t="s">
        <v>342</v>
      </c>
    </row>
    <row r="261" spans="2:2" x14ac:dyDescent="0.25">
      <c r="B261" t="s">
        <v>343</v>
      </c>
    </row>
    <row r="262" spans="2:2" x14ac:dyDescent="0.25">
      <c r="B262" t="s">
        <v>344</v>
      </c>
    </row>
    <row r="263" spans="2:2" x14ac:dyDescent="0.25">
      <c r="B263" t="s">
        <v>345</v>
      </c>
    </row>
    <row r="264" spans="2:2" x14ac:dyDescent="0.25">
      <c r="B264" t="s">
        <v>346</v>
      </c>
    </row>
    <row r="265" spans="2:2" x14ac:dyDescent="0.25">
      <c r="B265" t="s">
        <v>347</v>
      </c>
    </row>
    <row r="266" spans="2:2" x14ac:dyDescent="0.25">
      <c r="B266" t="s">
        <v>348</v>
      </c>
    </row>
    <row r="267" spans="2:2" x14ac:dyDescent="0.25">
      <c r="B267" t="s">
        <v>349</v>
      </c>
    </row>
    <row r="268" spans="2:2" x14ac:dyDescent="0.25">
      <c r="B268" t="s">
        <v>350</v>
      </c>
    </row>
    <row r="269" spans="2:2" x14ac:dyDescent="0.25">
      <c r="B269" t="s">
        <v>351</v>
      </c>
    </row>
    <row r="270" spans="2:2" x14ac:dyDescent="0.25">
      <c r="B270" t="s">
        <v>352</v>
      </c>
    </row>
    <row r="271" spans="2:2" x14ac:dyDescent="0.25">
      <c r="B271" t="s">
        <v>353</v>
      </c>
    </row>
    <row r="272" spans="2:2" x14ac:dyDescent="0.25">
      <c r="B272" t="s">
        <v>354</v>
      </c>
    </row>
    <row r="273" spans="2:2" x14ac:dyDescent="0.25">
      <c r="B273" t="s">
        <v>355</v>
      </c>
    </row>
    <row r="274" spans="2:2" x14ac:dyDescent="0.25">
      <c r="B274" t="s">
        <v>356</v>
      </c>
    </row>
    <row r="275" spans="2:2" x14ac:dyDescent="0.25">
      <c r="B275" t="s">
        <v>357</v>
      </c>
    </row>
    <row r="276" spans="2:2" x14ac:dyDescent="0.25">
      <c r="B276" t="s">
        <v>358</v>
      </c>
    </row>
    <row r="277" spans="2:2" x14ac:dyDescent="0.25">
      <c r="B277" t="s">
        <v>359</v>
      </c>
    </row>
    <row r="278" spans="2:2" x14ac:dyDescent="0.25">
      <c r="B278" t="s">
        <v>360</v>
      </c>
    </row>
    <row r="279" spans="2:2" x14ac:dyDescent="0.25">
      <c r="B279" t="s">
        <v>361</v>
      </c>
    </row>
    <row r="280" spans="2:2" x14ac:dyDescent="0.25">
      <c r="B280" t="s">
        <v>362</v>
      </c>
    </row>
    <row r="281" spans="2:2" x14ac:dyDescent="0.25">
      <c r="B281" t="s">
        <v>363</v>
      </c>
    </row>
    <row r="282" spans="2:2" x14ac:dyDescent="0.25">
      <c r="B282" t="s">
        <v>364</v>
      </c>
    </row>
    <row r="283" spans="2:2" x14ac:dyDescent="0.25">
      <c r="B283" t="s">
        <v>365</v>
      </c>
    </row>
    <row r="284" spans="2:2" x14ac:dyDescent="0.25">
      <c r="B284" t="s">
        <v>366</v>
      </c>
    </row>
    <row r="285" spans="2:2" x14ac:dyDescent="0.25">
      <c r="B285" t="s">
        <v>367</v>
      </c>
    </row>
    <row r="286" spans="2:2" x14ac:dyDescent="0.25">
      <c r="B286" t="s">
        <v>368</v>
      </c>
    </row>
    <row r="287" spans="2:2" x14ac:dyDescent="0.25">
      <c r="B287" t="s">
        <v>369</v>
      </c>
    </row>
    <row r="288" spans="2:2" x14ac:dyDescent="0.25">
      <c r="B288" t="s">
        <v>370</v>
      </c>
    </row>
    <row r="289" spans="2:2" x14ac:dyDescent="0.25">
      <c r="B289" t="s">
        <v>371</v>
      </c>
    </row>
    <row r="290" spans="2:2" x14ac:dyDescent="0.25">
      <c r="B290" t="s">
        <v>372</v>
      </c>
    </row>
    <row r="291" spans="2:2" x14ac:dyDescent="0.25">
      <c r="B291" t="s">
        <v>373</v>
      </c>
    </row>
    <row r="292" spans="2:2" x14ac:dyDescent="0.25">
      <c r="B292" t="s">
        <v>374</v>
      </c>
    </row>
    <row r="293" spans="2:2" x14ac:dyDescent="0.25">
      <c r="B293" t="s">
        <v>375</v>
      </c>
    </row>
    <row r="294" spans="2:2" x14ac:dyDescent="0.25">
      <c r="B294" t="s">
        <v>376</v>
      </c>
    </row>
    <row r="295" spans="2:2" x14ac:dyDescent="0.25">
      <c r="B295" t="s">
        <v>377</v>
      </c>
    </row>
    <row r="296" spans="2:2" x14ac:dyDescent="0.25">
      <c r="B296" t="s">
        <v>378</v>
      </c>
    </row>
    <row r="297" spans="2:2" x14ac:dyDescent="0.25">
      <c r="B297" t="s">
        <v>379</v>
      </c>
    </row>
    <row r="298" spans="2:2" x14ac:dyDescent="0.25">
      <c r="B298" t="s">
        <v>380</v>
      </c>
    </row>
    <row r="299" spans="2:2" x14ac:dyDescent="0.25">
      <c r="B299" t="s">
        <v>381</v>
      </c>
    </row>
    <row r="300" spans="2:2" x14ac:dyDescent="0.25">
      <c r="B300" t="s">
        <v>382</v>
      </c>
    </row>
    <row r="301" spans="2:2" x14ac:dyDescent="0.25">
      <c r="B301" t="s">
        <v>383</v>
      </c>
    </row>
    <row r="302" spans="2:2" x14ac:dyDescent="0.25">
      <c r="B302" t="s">
        <v>52</v>
      </c>
    </row>
    <row r="303" spans="2:2" x14ac:dyDescent="0.25">
      <c r="B303" t="s">
        <v>384</v>
      </c>
    </row>
    <row r="304" spans="2:2" x14ac:dyDescent="0.25">
      <c r="B304" t="s">
        <v>58</v>
      </c>
    </row>
    <row r="305" spans="2:2" x14ac:dyDescent="0.25">
      <c r="B305" t="s">
        <v>385</v>
      </c>
    </row>
    <row r="306" spans="2:2" x14ac:dyDescent="0.25">
      <c r="B306" t="s">
        <v>386</v>
      </c>
    </row>
    <row r="307" spans="2:2" x14ac:dyDescent="0.25">
      <c r="B307" t="s">
        <v>387</v>
      </c>
    </row>
    <row r="308" spans="2:2" x14ac:dyDescent="0.25">
      <c r="B308" t="s">
        <v>388</v>
      </c>
    </row>
    <row r="309" spans="2:2" x14ac:dyDescent="0.25">
      <c r="B309" t="s">
        <v>389</v>
      </c>
    </row>
    <row r="310" spans="2:2" x14ac:dyDescent="0.25">
      <c r="B310" t="s">
        <v>390</v>
      </c>
    </row>
    <row r="311" spans="2:2" x14ac:dyDescent="0.25">
      <c r="B311" t="s">
        <v>391</v>
      </c>
    </row>
    <row r="312" spans="2:2" x14ac:dyDescent="0.25">
      <c r="B312" t="s">
        <v>392</v>
      </c>
    </row>
    <row r="313" spans="2:2" x14ac:dyDescent="0.25">
      <c r="B313" t="s">
        <v>393</v>
      </c>
    </row>
    <row r="314" spans="2:2" x14ac:dyDescent="0.25">
      <c r="B314" t="s">
        <v>394</v>
      </c>
    </row>
    <row r="315" spans="2:2" x14ac:dyDescent="0.25">
      <c r="B315" t="s">
        <v>395</v>
      </c>
    </row>
    <row r="316" spans="2:2" x14ac:dyDescent="0.25">
      <c r="B316" t="s">
        <v>396</v>
      </c>
    </row>
    <row r="317" spans="2:2" x14ac:dyDescent="0.25">
      <c r="B317" t="s">
        <v>397</v>
      </c>
    </row>
    <row r="318" spans="2:2" x14ac:dyDescent="0.25">
      <c r="B318" t="s">
        <v>398</v>
      </c>
    </row>
    <row r="319" spans="2:2" x14ac:dyDescent="0.25">
      <c r="B319" t="s">
        <v>399</v>
      </c>
    </row>
    <row r="320" spans="2:2" x14ac:dyDescent="0.25">
      <c r="B320" t="s">
        <v>400</v>
      </c>
    </row>
    <row r="321" spans="2:2" x14ac:dyDescent="0.25">
      <c r="B321" t="s">
        <v>401</v>
      </c>
    </row>
    <row r="322" spans="2:2" x14ac:dyDescent="0.25">
      <c r="B322" t="s">
        <v>402</v>
      </c>
    </row>
    <row r="323" spans="2:2" x14ac:dyDescent="0.25">
      <c r="B323" t="s">
        <v>403</v>
      </c>
    </row>
    <row r="324" spans="2:2" x14ac:dyDescent="0.25">
      <c r="B324" t="s">
        <v>404</v>
      </c>
    </row>
    <row r="325" spans="2:2" x14ac:dyDescent="0.25">
      <c r="B325" t="s">
        <v>405</v>
      </c>
    </row>
    <row r="326" spans="2:2" x14ac:dyDescent="0.25">
      <c r="B326" t="s">
        <v>406</v>
      </c>
    </row>
    <row r="327" spans="2:2" x14ac:dyDescent="0.25">
      <c r="B327" t="s">
        <v>407</v>
      </c>
    </row>
    <row r="328" spans="2:2" x14ac:dyDescent="0.25">
      <c r="B328" t="s">
        <v>84</v>
      </c>
    </row>
    <row r="329" spans="2:2" x14ac:dyDescent="0.25">
      <c r="B329" t="s">
        <v>408</v>
      </c>
    </row>
    <row r="330" spans="2:2" x14ac:dyDescent="0.25">
      <c r="B330" t="s">
        <v>409</v>
      </c>
    </row>
    <row r="331" spans="2:2" x14ac:dyDescent="0.25">
      <c r="B331" t="s">
        <v>410</v>
      </c>
    </row>
    <row r="332" spans="2:2" x14ac:dyDescent="0.25">
      <c r="B332" t="s">
        <v>411</v>
      </c>
    </row>
    <row r="333" spans="2:2" x14ac:dyDescent="0.25">
      <c r="B333" t="s">
        <v>412</v>
      </c>
    </row>
    <row r="334" spans="2:2" x14ac:dyDescent="0.25">
      <c r="B334" t="s">
        <v>413</v>
      </c>
    </row>
    <row r="335" spans="2:2" x14ac:dyDescent="0.25">
      <c r="B335" t="s">
        <v>414</v>
      </c>
    </row>
    <row r="336" spans="2:2" x14ac:dyDescent="0.25">
      <c r="B336" t="s">
        <v>415</v>
      </c>
    </row>
    <row r="337" spans="2:2" x14ac:dyDescent="0.25">
      <c r="B337" t="s">
        <v>416</v>
      </c>
    </row>
    <row r="338" spans="2:2" x14ac:dyDescent="0.25">
      <c r="B338" t="s">
        <v>417</v>
      </c>
    </row>
    <row r="339" spans="2:2" x14ac:dyDescent="0.25">
      <c r="B339" t="s">
        <v>418</v>
      </c>
    </row>
    <row r="340" spans="2:2" x14ac:dyDescent="0.25">
      <c r="B340" t="s">
        <v>419</v>
      </c>
    </row>
    <row r="341" spans="2:2" x14ac:dyDescent="0.25">
      <c r="B341" t="s">
        <v>420</v>
      </c>
    </row>
    <row r="342" spans="2:2" x14ac:dyDescent="0.25">
      <c r="B342" t="s">
        <v>421</v>
      </c>
    </row>
    <row r="343" spans="2:2" x14ac:dyDescent="0.25">
      <c r="B343" t="s">
        <v>422</v>
      </c>
    </row>
    <row r="344" spans="2:2" x14ac:dyDescent="0.25">
      <c r="B344" t="s">
        <v>423</v>
      </c>
    </row>
    <row r="345" spans="2:2" x14ac:dyDescent="0.25">
      <c r="B345" t="s">
        <v>424</v>
      </c>
    </row>
    <row r="346" spans="2:2" x14ac:dyDescent="0.25">
      <c r="B346" t="s">
        <v>425</v>
      </c>
    </row>
    <row r="347" spans="2:2" x14ac:dyDescent="0.25">
      <c r="B347" t="s">
        <v>426</v>
      </c>
    </row>
    <row r="348" spans="2:2" x14ac:dyDescent="0.25">
      <c r="B348" t="s">
        <v>427</v>
      </c>
    </row>
    <row r="349" spans="2:2" x14ac:dyDescent="0.25">
      <c r="B349" t="s">
        <v>428</v>
      </c>
    </row>
    <row r="350" spans="2:2" x14ac:dyDescent="0.25">
      <c r="B350" t="s">
        <v>429</v>
      </c>
    </row>
    <row r="351" spans="2:2" x14ac:dyDescent="0.25">
      <c r="B351" t="s">
        <v>430</v>
      </c>
    </row>
    <row r="352" spans="2:2" x14ac:dyDescent="0.25">
      <c r="B352" t="s">
        <v>431</v>
      </c>
    </row>
    <row r="353" spans="2:2" x14ac:dyDescent="0.25">
      <c r="B353" t="s">
        <v>432</v>
      </c>
    </row>
    <row r="354" spans="2:2" x14ac:dyDescent="0.25">
      <c r="B354" t="s">
        <v>433</v>
      </c>
    </row>
    <row r="355" spans="2:2" x14ac:dyDescent="0.25">
      <c r="B355" t="s">
        <v>434</v>
      </c>
    </row>
    <row r="356" spans="2:2" x14ac:dyDescent="0.25">
      <c r="B356" t="s">
        <v>435</v>
      </c>
    </row>
    <row r="357" spans="2:2" x14ac:dyDescent="0.25">
      <c r="B357" t="s">
        <v>436</v>
      </c>
    </row>
    <row r="358" spans="2:2" x14ac:dyDescent="0.25">
      <c r="B358" t="s">
        <v>437</v>
      </c>
    </row>
    <row r="359" spans="2:2" x14ac:dyDescent="0.25">
      <c r="B359" t="s">
        <v>438</v>
      </c>
    </row>
    <row r="360" spans="2:2" x14ac:dyDescent="0.25">
      <c r="B360" t="s">
        <v>439</v>
      </c>
    </row>
    <row r="361" spans="2:2" x14ac:dyDescent="0.25">
      <c r="B361" t="s">
        <v>440</v>
      </c>
    </row>
    <row r="362" spans="2:2" x14ac:dyDescent="0.25">
      <c r="B362" t="s">
        <v>441</v>
      </c>
    </row>
    <row r="363" spans="2:2" x14ac:dyDescent="0.25">
      <c r="B363" t="s">
        <v>442</v>
      </c>
    </row>
    <row r="364" spans="2:2" x14ac:dyDescent="0.25">
      <c r="B364" t="s">
        <v>443</v>
      </c>
    </row>
    <row r="365" spans="2:2" x14ac:dyDescent="0.25">
      <c r="B365" t="s">
        <v>444</v>
      </c>
    </row>
    <row r="366" spans="2:2" x14ac:dyDescent="0.25">
      <c r="B366" t="s">
        <v>445</v>
      </c>
    </row>
    <row r="367" spans="2:2" x14ac:dyDescent="0.25">
      <c r="B367" t="s">
        <v>446</v>
      </c>
    </row>
    <row r="368" spans="2:2" x14ac:dyDescent="0.25">
      <c r="B368" t="s">
        <v>447</v>
      </c>
    </row>
    <row r="369" spans="2:2" x14ac:dyDescent="0.25">
      <c r="B369" t="s">
        <v>448</v>
      </c>
    </row>
    <row r="370" spans="2:2" x14ac:dyDescent="0.25">
      <c r="B370" t="s">
        <v>63</v>
      </c>
    </row>
    <row r="371" spans="2:2" x14ac:dyDescent="0.25">
      <c r="B371" t="s">
        <v>449</v>
      </c>
    </row>
    <row r="372" spans="2:2" x14ac:dyDescent="0.25">
      <c r="B372" t="s">
        <v>450</v>
      </c>
    </row>
    <row r="373" spans="2:2" x14ac:dyDescent="0.25">
      <c r="B373" t="s">
        <v>451</v>
      </c>
    </row>
    <row r="374" spans="2:2" x14ac:dyDescent="0.25">
      <c r="B374" t="s">
        <v>452</v>
      </c>
    </row>
    <row r="375" spans="2:2" x14ac:dyDescent="0.25">
      <c r="B375" t="s">
        <v>453</v>
      </c>
    </row>
    <row r="376" spans="2:2" x14ac:dyDescent="0.25">
      <c r="B376" t="s">
        <v>454</v>
      </c>
    </row>
    <row r="377" spans="2:2" x14ac:dyDescent="0.25">
      <c r="B377" t="s">
        <v>455</v>
      </c>
    </row>
    <row r="378" spans="2:2" x14ac:dyDescent="0.25">
      <c r="B378" t="s">
        <v>456</v>
      </c>
    </row>
    <row r="379" spans="2:2" x14ac:dyDescent="0.25">
      <c r="B379" t="s">
        <v>457</v>
      </c>
    </row>
    <row r="380" spans="2:2" x14ac:dyDescent="0.25">
      <c r="B380" t="s">
        <v>458</v>
      </c>
    </row>
    <row r="381" spans="2:2" x14ac:dyDescent="0.25">
      <c r="B381" t="s">
        <v>82</v>
      </c>
    </row>
    <row r="382" spans="2:2" x14ac:dyDescent="0.25">
      <c r="B382" t="s">
        <v>459</v>
      </c>
    </row>
    <row r="383" spans="2:2" x14ac:dyDescent="0.25">
      <c r="B383" t="s">
        <v>460</v>
      </c>
    </row>
    <row r="384" spans="2:2" x14ac:dyDescent="0.25">
      <c r="B384" t="s">
        <v>461</v>
      </c>
    </row>
    <row r="385" spans="2:2" x14ac:dyDescent="0.25">
      <c r="B385" t="s">
        <v>462</v>
      </c>
    </row>
    <row r="386" spans="2:2" x14ac:dyDescent="0.25">
      <c r="B386" t="s">
        <v>463</v>
      </c>
    </row>
    <row r="387" spans="2:2" x14ac:dyDescent="0.25">
      <c r="B387" t="s">
        <v>464</v>
      </c>
    </row>
    <row r="388" spans="2:2" x14ac:dyDescent="0.25">
      <c r="B388" t="s">
        <v>465</v>
      </c>
    </row>
    <row r="389" spans="2:2" x14ac:dyDescent="0.25">
      <c r="B389" t="s">
        <v>466</v>
      </c>
    </row>
    <row r="390" spans="2:2" x14ac:dyDescent="0.25">
      <c r="B390" t="s">
        <v>467</v>
      </c>
    </row>
    <row r="391" spans="2:2" x14ac:dyDescent="0.25">
      <c r="B391" t="s">
        <v>468</v>
      </c>
    </row>
    <row r="392" spans="2:2" x14ac:dyDescent="0.25">
      <c r="B392" t="s">
        <v>469</v>
      </c>
    </row>
    <row r="393" spans="2:2" x14ac:dyDescent="0.25">
      <c r="B393" t="s">
        <v>470</v>
      </c>
    </row>
    <row r="394" spans="2:2" x14ac:dyDescent="0.25">
      <c r="B394" t="s">
        <v>471</v>
      </c>
    </row>
    <row r="395" spans="2:2" x14ac:dyDescent="0.25">
      <c r="B395" t="s">
        <v>472</v>
      </c>
    </row>
    <row r="396" spans="2:2" x14ac:dyDescent="0.25">
      <c r="B396" t="s">
        <v>473</v>
      </c>
    </row>
    <row r="397" spans="2:2" x14ac:dyDescent="0.25">
      <c r="B397" t="s">
        <v>474</v>
      </c>
    </row>
    <row r="398" spans="2:2" x14ac:dyDescent="0.25">
      <c r="B398" t="s">
        <v>475</v>
      </c>
    </row>
    <row r="399" spans="2:2" x14ac:dyDescent="0.25">
      <c r="B399" t="s">
        <v>476</v>
      </c>
    </row>
    <row r="400" spans="2:2" x14ac:dyDescent="0.25">
      <c r="B400" t="s">
        <v>477</v>
      </c>
    </row>
    <row r="401" spans="2:2" x14ac:dyDescent="0.25">
      <c r="B401" t="s">
        <v>478</v>
      </c>
    </row>
    <row r="402" spans="2:2" x14ac:dyDescent="0.25">
      <c r="B402" t="s">
        <v>479</v>
      </c>
    </row>
    <row r="403" spans="2:2" x14ac:dyDescent="0.25">
      <c r="B403" t="s">
        <v>480</v>
      </c>
    </row>
    <row r="404" spans="2:2" x14ac:dyDescent="0.25">
      <c r="B404" t="s">
        <v>481</v>
      </c>
    </row>
    <row r="405" spans="2:2" x14ac:dyDescent="0.25">
      <c r="B405" t="s">
        <v>482</v>
      </c>
    </row>
    <row r="406" spans="2:2" x14ac:dyDescent="0.25">
      <c r="B406" t="s">
        <v>483</v>
      </c>
    </row>
    <row r="407" spans="2:2" x14ac:dyDescent="0.25">
      <c r="B407" t="s">
        <v>484</v>
      </c>
    </row>
    <row r="408" spans="2:2" x14ac:dyDescent="0.25">
      <c r="B408" t="s">
        <v>485</v>
      </c>
    </row>
    <row r="409" spans="2:2" x14ac:dyDescent="0.25">
      <c r="B409" t="s">
        <v>486</v>
      </c>
    </row>
    <row r="410" spans="2:2" x14ac:dyDescent="0.25">
      <c r="B410" t="s">
        <v>487</v>
      </c>
    </row>
    <row r="411" spans="2:2" x14ac:dyDescent="0.25">
      <c r="B411" t="s">
        <v>488</v>
      </c>
    </row>
    <row r="412" spans="2:2" x14ac:dyDescent="0.25">
      <c r="B412" t="s">
        <v>489</v>
      </c>
    </row>
    <row r="413" spans="2:2" x14ac:dyDescent="0.25">
      <c r="B413" t="s">
        <v>490</v>
      </c>
    </row>
    <row r="414" spans="2:2" x14ac:dyDescent="0.25">
      <c r="B414" t="s">
        <v>491</v>
      </c>
    </row>
    <row r="415" spans="2:2" x14ac:dyDescent="0.25">
      <c r="B415" t="s">
        <v>492</v>
      </c>
    </row>
    <row r="416" spans="2:2" x14ac:dyDescent="0.25">
      <c r="B416" t="s">
        <v>493</v>
      </c>
    </row>
    <row r="417" spans="2:2" x14ac:dyDescent="0.25">
      <c r="B417" t="s">
        <v>494</v>
      </c>
    </row>
    <row r="418" spans="2:2" x14ac:dyDescent="0.25">
      <c r="B418" t="s">
        <v>495</v>
      </c>
    </row>
    <row r="419" spans="2:2" x14ac:dyDescent="0.25">
      <c r="B419" t="s">
        <v>496</v>
      </c>
    </row>
    <row r="420" spans="2:2" x14ac:dyDescent="0.25">
      <c r="B420" t="s">
        <v>497</v>
      </c>
    </row>
    <row r="421" spans="2:2" x14ac:dyDescent="0.25">
      <c r="B421" t="s">
        <v>498</v>
      </c>
    </row>
    <row r="422" spans="2:2" x14ac:dyDescent="0.25">
      <c r="B422" t="s">
        <v>499</v>
      </c>
    </row>
    <row r="423" spans="2:2" x14ac:dyDescent="0.25">
      <c r="B423" t="s">
        <v>500</v>
      </c>
    </row>
    <row r="424" spans="2:2" x14ac:dyDescent="0.25">
      <c r="B424" t="s">
        <v>501</v>
      </c>
    </row>
    <row r="425" spans="2:2" x14ac:dyDescent="0.25">
      <c r="B425" t="s">
        <v>502</v>
      </c>
    </row>
    <row r="426" spans="2:2" x14ac:dyDescent="0.25">
      <c r="B426" t="s">
        <v>503</v>
      </c>
    </row>
    <row r="427" spans="2:2" x14ac:dyDescent="0.25">
      <c r="B427" t="s">
        <v>504</v>
      </c>
    </row>
    <row r="428" spans="2:2" x14ac:dyDescent="0.25">
      <c r="B428" t="s">
        <v>505</v>
      </c>
    </row>
    <row r="429" spans="2:2" x14ac:dyDescent="0.25">
      <c r="B429" t="s">
        <v>506</v>
      </c>
    </row>
    <row r="430" spans="2:2" x14ac:dyDescent="0.25">
      <c r="B430" t="s">
        <v>507</v>
      </c>
    </row>
    <row r="431" spans="2:2" x14ac:dyDescent="0.25">
      <c r="B431" t="s">
        <v>508</v>
      </c>
    </row>
    <row r="432" spans="2:2" x14ac:dyDescent="0.25">
      <c r="B432" t="s">
        <v>509</v>
      </c>
    </row>
    <row r="433" spans="2:2" x14ac:dyDescent="0.25">
      <c r="B433" t="s">
        <v>510</v>
      </c>
    </row>
    <row r="434" spans="2:2" x14ac:dyDescent="0.25">
      <c r="B434" t="s">
        <v>511</v>
      </c>
    </row>
    <row r="435" spans="2:2" x14ac:dyDescent="0.25">
      <c r="B435" t="s">
        <v>512</v>
      </c>
    </row>
    <row r="436" spans="2:2" x14ac:dyDescent="0.25">
      <c r="B436" t="s">
        <v>513</v>
      </c>
    </row>
    <row r="437" spans="2:2" x14ac:dyDescent="0.25">
      <c r="B437" t="s">
        <v>514</v>
      </c>
    </row>
    <row r="438" spans="2:2" x14ac:dyDescent="0.25">
      <c r="B438" t="s">
        <v>515</v>
      </c>
    </row>
    <row r="439" spans="2:2" x14ac:dyDescent="0.25">
      <c r="B439" t="s">
        <v>516</v>
      </c>
    </row>
    <row r="440" spans="2:2" x14ac:dyDescent="0.25">
      <c r="B440" t="s">
        <v>517</v>
      </c>
    </row>
    <row r="441" spans="2:2" x14ac:dyDescent="0.25">
      <c r="B441" t="s">
        <v>518</v>
      </c>
    </row>
    <row r="442" spans="2:2" x14ac:dyDescent="0.25">
      <c r="B442" t="s">
        <v>519</v>
      </c>
    </row>
    <row r="443" spans="2:2" x14ac:dyDescent="0.25">
      <c r="B443" t="s">
        <v>520</v>
      </c>
    </row>
    <row r="444" spans="2:2" x14ac:dyDescent="0.25">
      <c r="B444" t="s">
        <v>521</v>
      </c>
    </row>
    <row r="445" spans="2:2" x14ac:dyDescent="0.25">
      <c r="B445" t="s">
        <v>522</v>
      </c>
    </row>
    <row r="446" spans="2:2" x14ac:dyDescent="0.25">
      <c r="B446" t="s">
        <v>523</v>
      </c>
    </row>
    <row r="447" spans="2:2" x14ac:dyDescent="0.25">
      <c r="B447" t="s">
        <v>524</v>
      </c>
    </row>
    <row r="448" spans="2:2" x14ac:dyDescent="0.25">
      <c r="B448" t="s">
        <v>525</v>
      </c>
    </row>
    <row r="449" spans="2:2" x14ac:dyDescent="0.25">
      <c r="B449" t="s">
        <v>526</v>
      </c>
    </row>
    <row r="450" spans="2:2" x14ac:dyDescent="0.25">
      <c r="B450" t="s">
        <v>527</v>
      </c>
    </row>
    <row r="451" spans="2:2" x14ac:dyDescent="0.25">
      <c r="B451" t="s">
        <v>528</v>
      </c>
    </row>
    <row r="452" spans="2:2" x14ac:dyDescent="0.25">
      <c r="B452" t="s">
        <v>529</v>
      </c>
    </row>
    <row r="453" spans="2:2" x14ac:dyDescent="0.25">
      <c r="B453" t="s">
        <v>530</v>
      </c>
    </row>
    <row r="454" spans="2:2" x14ac:dyDescent="0.25">
      <c r="B454" t="s">
        <v>531</v>
      </c>
    </row>
    <row r="455" spans="2:2" x14ac:dyDescent="0.25">
      <c r="B455" t="s">
        <v>532</v>
      </c>
    </row>
    <row r="456" spans="2:2" x14ac:dyDescent="0.25">
      <c r="B456" t="s">
        <v>533</v>
      </c>
    </row>
    <row r="457" spans="2:2" x14ac:dyDescent="0.25">
      <c r="B457" t="s">
        <v>534</v>
      </c>
    </row>
    <row r="458" spans="2:2" x14ac:dyDescent="0.25">
      <c r="B458" t="s">
        <v>535</v>
      </c>
    </row>
    <row r="459" spans="2:2" x14ac:dyDescent="0.25">
      <c r="B459" t="s">
        <v>536</v>
      </c>
    </row>
    <row r="460" spans="2:2" x14ac:dyDescent="0.25">
      <c r="B460" t="s">
        <v>537</v>
      </c>
    </row>
    <row r="461" spans="2:2" x14ac:dyDescent="0.25">
      <c r="B461" t="s">
        <v>538</v>
      </c>
    </row>
    <row r="462" spans="2:2" x14ac:dyDescent="0.25">
      <c r="B462" t="s">
        <v>539</v>
      </c>
    </row>
    <row r="463" spans="2:2" x14ac:dyDescent="0.25">
      <c r="B463" t="s">
        <v>540</v>
      </c>
    </row>
    <row r="464" spans="2:2" x14ac:dyDescent="0.25">
      <c r="B464" t="s">
        <v>541</v>
      </c>
    </row>
    <row r="465" spans="2:2" x14ac:dyDescent="0.25">
      <c r="B465" t="s">
        <v>542</v>
      </c>
    </row>
    <row r="466" spans="2:2" x14ac:dyDescent="0.25">
      <c r="B466" t="s">
        <v>543</v>
      </c>
    </row>
    <row r="467" spans="2:2" x14ac:dyDescent="0.25">
      <c r="B467" t="s">
        <v>544</v>
      </c>
    </row>
    <row r="468" spans="2:2" x14ac:dyDescent="0.25">
      <c r="B468" t="s">
        <v>545</v>
      </c>
    </row>
    <row r="469" spans="2:2" x14ac:dyDescent="0.25">
      <c r="B469" t="s">
        <v>546</v>
      </c>
    </row>
    <row r="470" spans="2:2" x14ac:dyDescent="0.25">
      <c r="B470" t="s">
        <v>547</v>
      </c>
    </row>
    <row r="471" spans="2:2" x14ac:dyDescent="0.25">
      <c r="B471" t="s">
        <v>548</v>
      </c>
    </row>
    <row r="472" spans="2:2" x14ac:dyDescent="0.25">
      <c r="B472" t="s">
        <v>549</v>
      </c>
    </row>
    <row r="473" spans="2:2" x14ac:dyDescent="0.25">
      <c r="B473" t="s">
        <v>550</v>
      </c>
    </row>
    <row r="474" spans="2:2" x14ac:dyDescent="0.25">
      <c r="B474" t="s">
        <v>551</v>
      </c>
    </row>
    <row r="475" spans="2:2" x14ac:dyDescent="0.25">
      <c r="B475" t="s">
        <v>552</v>
      </c>
    </row>
    <row r="476" spans="2:2" x14ac:dyDescent="0.25">
      <c r="B476" t="s">
        <v>553</v>
      </c>
    </row>
    <row r="477" spans="2:2" x14ac:dyDescent="0.25">
      <c r="B477" t="s">
        <v>554</v>
      </c>
    </row>
    <row r="478" spans="2:2" x14ac:dyDescent="0.25">
      <c r="B478" t="s">
        <v>555</v>
      </c>
    </row>
    <row r="479" spans="2:2" x14ac:dyDescent="0.25">
      <c r="B479" t="s">
        <v>556</v>
      </c>
    </row>
    <row r="480" spans="2:2" x14ac:dyDescent="0.25">
      <c r="B480" t="s">
        <v>557</v>
      </c>
    </row>
    <row r="481" spans="2:2" x14ac:dyDescent="0.25">
      <c r="B481" t="s">
        <v>558</v>
      </c>
    </row>
    <row r="482" spans="2:2" x14ac:dyDescent="0.25">
      <c r="B482" t="s">
        <v>559</v>
      </c>
    </row>
    <row r="483" spans="2:2" x14ac:dyDescent="0.25">
      <c r="B483" t="s">
        <v>560</v>
      </c>
    </row>
    <row r="484" spans="2:2" x14ac:dyDescent="0.25">
      <c r="B484" t="s">
        <v>561</v>
      </c>
    </row>
    <row r="485" spans="2:2" x14ac:dyDescent="0.25">
      <c r="B485" t="s">
        <v>562</v>
      </c>
    </row>
    <row r="486" spans="2:2" x14ac:dyDescent="0.25">
      <c r="B486" t="s">
        <v>563</v>
      </c>
    </row>
    <row r="487" spans="2:2" x14ac:dyDescent="0.25">
      <c r="B487" t="s">
        <v>564</v>
      </c>
    </row>
    <row r="488" spans="2:2" x14ac:dyDescent="0.25">
      <c r="B488" t="s">
        <v>565</v>
      </c>
    </row>
    <row r="489" spans="2:2" x14ac:dyDescent="0.25">
      <c r="B489" t="s">
        <v>566</v>
      </c>
    </row>
    <row r="490" spans="2:2" x14ac:dyDescent="0.25">
      <c r="B490" t="s">
        <v>567</v>
      </c>
    </row>
    <row r="491" spans="2:2" x14ac:dyDescent="0.25">
      <c r="B491" t="s">
        <v>568</v>
      </c>
    </row>
    <row r="492" spans="2:2" x14ac:dyDescent="0.25">
      <c r="B492" t="s">
        <v>569</v>
      </c>
    </row>
    <row r="493" spans="2:2" x14ac:dyDescent="0.25">
      <c r="B493" t="s">
        <v>570</v>
      </c>
    </row>
    <row r="494" spans="2:2" x14ac:dyDescent="0.25">
      <c r="B494" t="s">
        <v>571</v>
      </c>
    </row>
    <row r="495" spans="2:2" x14ac:dyDescent="0.25">
      <c r="B495" t="s">
        <v>572</v>
      </c>
    </row>
    <row r="496" spans="2:2" x14ac:dyDescent="0.25">
      <c r="B496" t="s">
        <v>573</v>
      </c>
    </row>
    <row r="497" spans="2:2" x14ac:dyDescent="0.25">
      <c r="B497" t="s">
        <v>574</v>
      </c>
    </row>
    <row r="498" spans="2:2" x14ac:dyDescent="0.25">
      <c r="B498" t="s">
        <v>575</v>
      </c>
    </row>
    <row r="499" spans="2:2" x14ac:dyDescent="0.25">
      <c r="B499" t="s">
        <v>576</v>
      </c>
    </row>
    <row r="500" spans="2:2" x14ac:dyDescent="0.25">
      <c r="B500" t="s">
        <v>577</v>
      </c>
    </row>
    <row r="501" spans="2:2" x14ac:dyDescent="0.25">
      <c r="B501" t="s">
        <v>578</v>
      </c>
    </row>
    <row r="502" spans="2:2" x14ac:dyDescent="0.25">
      <c r="B502" t="s">
        <v>579</v>
      </c>
    </row>
    <row r="503" spans="2:2" x14ac:dyDescent="0.25">
      <c r="B503" t="s">
        <v>580</v>
      </c>
    </row>
    <row r="504" spans="2:2" x14ac:dyDescent="0.25">
      <c r="B504" t="s">
        <v>581</v>
      </c>
    </row>
    <row r="505" spans="2:2" x14ac:dyDescent="0.25">
      <c r="B505" t="s">
        <v>582</v>
      </c>
    </row>
    <row r="506" spans="2:2" x14ac:dyDescent="0.25">
      <c r="B506" t="s">
        <v>583</v>
      </c>
    </row>
    <row r="507" spans="2:2" x14ac:dyDescent="0.25">
      <c r="B507" t="s">
        <v>584</v>
      </c>
    </row>
    <row r="508" spans="2:2" x14ac:dyDescent="0.25">
      <c r="B508" t="s">
        <v>585</v>
      </c>
    </row>
    <row r="509" spans="2:2" x14ac:dyDescent="0.25">
      <c r="B509" t="s">
        <v>586</v>
      </c>
    </row>
    <row r="510" spans="2:2" x14ac:dyDescent="0.25">
      <c r="B510" t="s">
        <v>587</v>
      </c>
    </row>
    <row r="511" spans="2:2" x14ac:dyDescent="0.25">
      <c r="B511" t="s">
        <v>588</v>
      </c>
    </row>
    <row r="512" spans="2:2" x14ac:dyDescent="0.25">
      <c r="B512" t="s">
        <v>589</v>
      </c>
    </row>
    <row r="513" spans="2:2" x14ac:dyDescent="0.25">
      <c r="B513" t="s">
        <v>590</v>
      </c>
    </row>
    <row r="514" spans="2:2" x14ac:dyDescent="0.25">
      <c r="B514" t="s">
        <v>591</v>
      </c>
    </row>
    <row r="515" spans="2:2" x14ac:dyDescent="0.25">
      <c r="B515" t="s">
        <v>592</v>
      </c>
    </row>
    <row r="516" spans="2:2" x14ac:dyDescent="0.25">
      <c r="B516" t="s">
        <v>593</v>
      </c>
    </row>
    <row r="517" spans="2:2" x14ac:dyDescent="0.25">
      <c r="B517" t="s">
        <v>594</v>
      </c>
    </row>
    <row r="518" spans="2:2" x14ac:dyDescent="0.25">
      <c r="B518" t="s">
        <v>595</v>
      </c>
    </row>
    <row r="519" spans="2:2" x14ac:dyDescent="0.25">
      <c r="B519" t="s">
        <v>596</v>
      </c>
    </row>
    <row r="520" spans="2:2" x14ac:dyDescent="0.25">
      <c r="B520" t="s">
        <v>597</v>
      </c>
    </row>
    <row r="521" spans="2:2" x14ac:dyDescent="0.25">
      <c r="B521" t="s">
        <v>598</v>
      </c>
    </row>
    <row r="522" spans="2:2" x14ac:dyDescent="0.25">
      <c r="B522" t="s">
        <v>599</v>
      </c>
    </row>
    <row r="523" spans="2:2" x14ac:dyDescent="0.25">
      <c r="B523" t="s">
        <v>600</v>
      </c>
    </row>
    <row r="524" spans="2:2" x14ac:dyDescent="0.25">
      <c r="B524" t="s">
        <v>601</v>
      </c>
    </row>
    <row r="525" spans="2:2" x14ac:dyDescent="0.25">
      <c r="B525" t="s">
        <v>602</v>
      </c>
    </row>
    <row r="526" spans="2:2" x14ac:dyDescent="0.25">
      <c r="B526" t="s">
        <v>603</v>
      </c>
    </row>
    <row r="527" spans="2:2" x14ac:dyDescent="0.25">
      <c r="B527" t="s">
        <v>604</v>
      </c>
    </row>
    <row r="528" spans="2:2" x14ac:dyDescent="0.25">
      <c r="B528" t="s">
        <v>605</v>
      </c>
    </row>
    <row r="529" spans="2:2" x14ac:dyDescent="0.25">
      <c r="B529" t="s">
        <v>606</v>
      </c>
    </row>
    <row r="530" spans="2:2" x14ac:dyDescent="0.25">
      <c r="B530" t="s">
        <v>607</v>
      </c>
    </row>
    <row r="531" spans="2:2" x14ac:dyDescent="0.25">
      <c r="B531" t="s">
        <v>78</v>
      </c>
    </row>
    <row r="532" spans="2:2" x14ac:dyDescent="0.25">
      <c r="B532" t="s">
        <v>608</v>
      </c>
    </row>
    <row r="533" spans="2:2" x14ac:dyDescent="0.25">
      <c r="B533" t="s">
        <v>609</v>
      </c>
    </row>
    <row r="534" spans="2:2" x14ac:dyDescent="0.25">
      <c r="B534" t="s">
        <v>610</v>
      </c>
    </row>
    <row r="535" spans="2:2" x14ac:dyDescent="0.25">
      <c r="B535" t="s">
        <v>611</v>
      </c>
    </row>
    <row r="536" spans="2:2" x14ac:dyDescent="0.25">
      <c r="B536" t="s">
        <v>612</v>
      </c>
    </row>
    <row r="537" spans="2:2" x14ac:dyDescent="0.25">
      <c r="B537" t="s">
        <v>613</v>
      </c>
    </row>
    <row r="538" spans="2:2" x14ac:dyDescent="0.25">
      <c r="B538" t="s">
        <v>614</v>
      </c>
    </row>
    <row r="539" spans="2:2" x14ac:dyDescent="0.25">
      <c r="B539" t="s">
        <v>615</v>
      </c>
    </row>
    <row r="540" spans="2:2" x14ac:dyDescent="0.25">
      <c r="B540" t="s">
        <v>616</v>
      </c>
    </row>
    <row r="541" spans="2:2" x14ac:dyDescent="0.25">
      <c r="B541" t="s">
        <v>617</v>
      </c>
    </row>
    <row r="542" spans="2:2" x14ac:dyDescent="0.25">
      <c r="B542" t="s">
        <v>618</v>
      </c>
    </row>
    <row r="543" spans="2:2" x14ac:dyDescent="0.25">
      <c r="B543" t="s">
        <v>619</v>
      </c>
    </row>
    <row r="544" spans="2:2" x14ac:dyDescent="0.25">
      <c r="B544" t="s">
        <v>620</v>
      </c>
    </row>
    <row r="545" spans="2:2" x14ac:dyDescent="0.25">
      <c r="B545" t="s">
        <v>621</v>
      </c>
    </row>
    <row r="546" spans="2:2" x14ac:dyDescent="0.25">
      <c r="B546" t="s">
        <v>622</v>
      </c>
    </row>
    <row r="547" spans="2:2" x14ac:dyDescent="0.25">
      <c r="B547" t="s">
        <v>623</v>
      </c>
    </row>
    <row r="548" spans="2:2" x14ac:dyDescent="0.25">
      <c r="B548" t="s">
        <v>624</v>
      </c>
    </row>
    <row r="549" spans="2:2" x14ac:dyDescent="0.25">
      <c r="B549" t="s">
        <v>625</v>
      </c>
    </row>
    <row r="550" spans="2:2" x14ac:dyDescent="0.25">
      <c r="B550" t="s">
        <v>626</v>
      </c>
    </row>
    <row r="551" spans="2:2" x14ac:dyDescent="0.25">
      <c r="B551" t="s">
        <v>627</v>
      </c>
    </row>
    <row r="552" spans="2:2" x14ac:dyDescent="0.25">
      <c r="B552" t="s">
        <v>628</v>
      </c>
    </row>
    <row r="553" spans="2:2" x14ac:dyDescent="0.25">
      <c r="B553" t="s">
        <v>629</v>
      </c>
    </row>
    <row r="554" spans="2:2" x14ac:dyDescent="0.25">
      <c r="B554" t="s">
        <v>630</v>
      </c>
    </row>
    <row r="555" spans="2:2" x14ac:dyDescent="0.25">
      <c r="B555" t="s">
        <v>631</v>
      </c>
    </row>
    <row r="556" spans="2:2" x14ac:dyDescent="0.25">
      <c r="B556" t="s">
        <v>632</v>
      </c>
    </row>
    <row r="557" spans="2:2" x14ac:dyDescent="0.25">
      <c r="B557" t="s">
        <v>633</v>
      </c>
    </row>
    <row r="558" spans="2:2" x14ac:dyDescent="0.25">
      <c r="B558" t="s">
        <v>634</v>
      </c>
    </row>
    <row r="559" spans="2:2" x14ac:dyDescent="0.25">
      <c r="B559" t="s">
        <v>635</v>
      </c>
    </row>
    <row r="560" spans="2:2" x14ac:dyDescent="0.25">
      <c r="B560" t="s">
        <v>636</v>
      </c>
    </row>
    <row r="561" spans="2:2" x14ac:dyDescent="0.25">
      <c r="B561" t="s">
        <v>637</v>
      </c>
    </row>
    <row r="562" spans="2:2" x14ac:dyDescent="0.25">
      <c r="B562" t="s">
        <v>638</v>
      </c>
    </row>
    <row r="563" spans="2:2" x14ac:dyDescent="0.25">
      <c r="B563" t="s">
        <v>639</v>
      </c>
    </row>
    <row r="564" spans="2:2" x14ac:dyDescent="0.25">
      <c r="B564" t="s">
        <v>640</v>
      </c>
    </row>
    <row r="565" spans="2:2" x14ac:dyDescent="0.25">
      <c r="B565" t="s">
        <v>641</v>
      </c>
    </row>
    <row r="566" spans="2:2" x14ac:dyDescent="0.25">
      <c r="B566" t="s">
        <v>642</v>
      </c>
    </row>
    <row r="567" spans="2:2" x14ac:dyDescent="0.25">
      <c r="B567" t="s">
        <v>643</v>
      </c>
    </row>
    <row r="568" spans="2:2" x14ac:dyDescent="0.25">
      <c r="B568" t="s">
        <v>644</v>
      </c>
    </row>
    <row r="569" spans="2:2" x14ac:dyDescent="0.25">
      <c r="B569" t="s">
        <v>645</v>
      </c>
    </row>
    <row r="570" spans="2:2" x14ac:dyDescent="0.25">
      <c r="B570" t="s">
        <v>53</v>
      </c>
    </row>
    <row r="571" spans="2:2" x14ac:dyDescent="0.25">
      <c r="B571" t="s">
        <v>646</v>
      </c>
    </row>
    <row r="572" spans="2:2" x14ac:dyDescent="0.25">
      <c r="B572" t="s">
        <v>647</v>
      </c>
    </row>
    <row r="573" spans="2:2" x14ac:dyDescent="0.25">
      <c r="B573" t="s">
        <v>648</v>
      </c>
    </row>
    <row r="574" spans="2:2" x14ac:dyDescent="0.25">
      <c r="B574" t="s">
        <v>649</v>
      </c>
    </row>
    <row r="575" spans="2:2" x14ac:dyDescent="0.25">
      <c r="B575" t="s">
        <v>650</v>
      </c>
    </row>
    <row r="576" spans="2:2" x14ac:dyDescent="0.25">
      <c r="B576" t="s">
        <v>651</v>
      </c>
    </row>
    <row r="577" spans="2:2" x14ac:dyDescent="0.25">
      <c r="B577" t="s">
        <v>652</v>
      </c>
    </row>
    <row r="578" spans="2:2" x14ac:dyDescent="0.25">
      <c r="B578" t="s">
        <v>653</v>
      </c>
    </row>
    <row r="579" spans="2:2" x14ac:dyDescent="0.25">
      <c r="B579" t="s">
        <v>654</v>
      </c>
    </row>
    <row r="580" spans="2:2" x14ac:dyDescent="0.25">
      <c r="B580" t="s">
        <v>655</v>
      </c>
    </row>
    <row r="581" spans="2:2" x14ac:dyDescent="0.25">
      <c r="B581" t="s">
        <v>656</v>
      </c>
    </row>
    <row r="582" spans="2:2" x14ac:dyDescent="0.25">
      <c r="B582" t="s">
        <v>657</v>
      </c>
    </row>
    <row r="583" spans="2:2" x14ac:dyDescent="0.25">
      <c r="B583" t="s">
        <v>658</v>
      </c>
    </row>
    <row r="584" spans="2:2" x14ac:dyDescent="0.25">
      <c r="B584" t="s">
        <v>659</v>
      </c>
    </row>
    <row r="585" spans="2:2" x14ac:dyDescent="0.25">
      <c r="B585" t="s">
        <v>660</v>
      </c>
    </row>
    <row r="586" spans="2:2" x14ac:dyDescent="0.25">
      <c r="B586" t="s">
        <v>661</v>
      </c>
    </row>
    <row r="587" spans="2:2" x14ac:dyDescent="0.25">
      <c r="B587" t="s">
        <v>662</v>
      </c>
    </row>
    <row r="588" spans="2:2" x14ac:dyDescent="0.25">
      <c r="B588" t="s">
        <v>663</v>
      </c>
    </row>
    <row r="589" spans="2:2" x14ac:dyDescent="0.25">
      <c r="B589" t="s">
        <v>664</v>
      </c>
    </row>
    <row r="590" spans="2:2" x14ac:dyDescent="0.25">
      <c r="B590" t="s">
        <v>665</v>
      </c>
    </row>
    <row r="591" spans="2:2" x14ac:dyDescent="0.25">
      <c r="B591" t="s">
        <v>666</v>
      </c>
    </row>
    <row r="592" spans="2:2" x14ac:dyDescent="0.25">
      <c r="B592" t="s">
        <v>667</v>
      </c>
    </row>
    <row r="593" spans="2:2" x14ac:dyDescent="0.25">
      <c r="B593" t="s">
        <v>668</v>
      </c>
    </row>
    <row r="594" spans="2:2" x14ac:dyDescent="0.25">
      <c r="B594" t="s">
        <v>669</v>
      </c>
    </row>
    <row r="595" spans="2:2" x14ac:dyDescent="0.25">
      <c r="B595" t="s">
        <v>670</v>
      </c>
    </row>
    <row r="596" spans="2:2" x14ac:dyDescent="0.25">
      <c r="B596" t="s">
        <v>671</v>
      </c>
    </row>
    <row r="597" spans="2:2" x14ac:dyDescent="0.25">
      <c r="B597" t="s">
        <v>672</v>
      </c>
    </row>
    <row r="598" spans="2:2" x14ac:dyDescent="0.25">
      <c r="B598" t="s">
        <v>673</v>
      </c>
    </row>
    <row r="599" spans="2:2" x14ac:dyDescent="0.25">
      <c r="B599" t="s">
        <v>674</v>
      </c>
    </row>
    <row r="600" spans="2:2" x14ac:dyDescent="0.25">
      <c r="B600" t="s">
        <v>675</v>
      </c>
    </row>
    <row r="601" spans="2:2" x14ac:dyDescent="0.25">
      <c r="B601" t="s">
        <v>676</v>
      </c>
    </row>
    <row r="602" spans="2:2" x14ac:dyDescent="0.25">
      <c r="B602" t="s">
        <v>14</v>
      </c>
    </row>
    <row r="603" spans="2:2" x14ac:dyDescent="0.25">
      <c r="B603" t="s">
        <v>677</v>
      </c>
    </row>
    <row r="604" spans="2:2" x14ac:dyDescent="0.25">
      <c r="B604" t="s">
        <v>678</v>
      </c>
    </row>
    <row r="605" spans="2:2" x14ac:dyDescent="0.25">
      <c r="B605" t="s">
        <v>679</v>
      </c>
    </row>
    <row r="606" spans="2:2" x14ac:dyDescent="0.25">
      <c r="B606" t="s">
        <v>680</v>
      </c>
    </row>
    <row r="607" spans="2:2" x14ac:dyDescent="0.25">
      <c r="B607" t="s">
        <v>681</v>
      </c>
    </row>
    <row r="608" spans="2:2" x14ac:dyDescent="0.25">
      <c r="B608" t="s">
        <v>682</v>
      </c>
    </row>
    <row r="609" spans="2:2" x14ac:dyDescent="0.25">
      <c r="B609" t="s">
        <v>683</v>
      </c>
    </row>
    <row r="610" spans="2:2" x14ac:dyDescent="0.25">
      <c r="B610" t="s">
        <v>684</v>
      </c>
    </row>
    <row r="611" spans="2:2" x14ac:dyDescent="0.25">
      <c r="B611" t="s">
        <v>685</v>
      </c>
    </row>
    <row r="612" spans="2:2" x14ac:dyDescent="0.25">
      <c r="B612" t="s">
        <v>686</v>
      </c>
    </row>
    <row r="613" spans="2:2" x14ac:dyDescent="0.25">
      <c r="B613" t="s">
        <v>687</v>
      </c>
    </row>
    <row r="614" spans="2:2" x14ac:dyDescent="0.25">
      <c r="B614" t="s">
        <v>688</v>
      </c>
    </row>
    <row r="615" spans="2:2" x14ac:dyDescent="0.25">
      <c r="B615" t="s">
        <v>689</v>
      </c>
    </row>
    <row r="616" spans="2:2" x14ac:dyDescent="0.25">
      <c r="B616" t="s">
        <v>690</v>
      </c>
    </row>
    <row r="617" spans="2:2" x14ac:dyDescent="0.25">
      <c r="B617" t="s">
        <v>691</v>
      </c>
    </row>
    <row r="618" spans="2:2" x14ac:dyDescent="0.25">
      <c r="B618" t="s">
        <v>692</v>
      </c>
    </row>
    <row r="619" spans="2:2" x14ac:dyDescent="0.25">
      <c r="B619" t="s">
        <v>693</v>
      </c>
    </row>
    <row r="620" spans="2:2" x14ac:dyDescent="0.25">
      <c r="B620" t="s">
        <v>694</v>
      </c>
    </row>
    <row r="621" spans="2:2" x14ac:dyDescent="0.25">
      <c r="B621" t="s">
        <v>695</v>
      </c>
    </row>
    <row r="622" spans="2:2" x14ac:dyDescent="0.25">
      <c r="B622" t="s">
        <v>696</v>
      </c>
    </row>
    <row r="623" spans="2:2" x14ac:dyDescent="0.25">
      <c r="B623" t="s">
        <v>697</v>
      </c>
    </row>
    <row r="624" spans="2:2" x14ac:dyDescent="0.25">
      <c r="B624" t="s">
        <v>698</v>
      </c>
    </row>
    <row r="625" spans="2:2" x14ac:dyDescent="0.25">
      <c r="B625" t="s">
        <v>699</v>
      </c>
    </row>
    <row r="626" spans="2:2" x14ac:dyDescent="0.25">
      <c r="B626" t="s">
        <v>700</v>
      </c>
    </row>
    <row r="627" spans="2:2" x14ac:dyDescent="0.25">
      <c r="B627" t="s">
        <v>701</v>
      </c>
    </row>
    <row r="628" spans="2:2" x14ac:dyDescent="0.25">
      <c r="B628" t="s">
        <v>702</v>
      </c>
    </row>
    <row r="629" spans="2:2" x14ac:dyDescent="0.25">
      <c r="B629" t="s">
        <v>703</v>
      </c>
    </row>
    <row r="630" spans="2:2" x14ac:dyDescent="0.25">
      <c r="B630" t="s">
        <v>704</v>
      </c>
    </row>
    <row r="631" spans="2:2" x14ac:dyDescent="0.25">
      <c r="B631" t="s">
        <v>705</v>
      </c>
    </row>
    <row r="632" spans="2:2" x14ac:dyDescent="0.25">
      <c r="B632" t="s">
        <v>706</v>
      </c>
    </row>
    <row r="633" spans="2:2" x14ac:dyDescent="0.25">
      <c r="B633" t="s">
        <v>707</v>
      </c>
    </row>
    <row r="634" spans="2:2" x14ac:dyDescent="0.25">
      <c r="B634" t="s">
        <v>708</v>
      </c>
    </row>
    <row r="635" spans="2:2" x14ac:dyDescent="0.25">
      <c r="B635" t="s">
        <v>709</v>
      </c>
    </row>
    <row r="636" spans="2:2" x14ac:dyDescent="0.25">
      <c r="B636" t="s">
        <v>710</v>
      </c>
    </row>
    <row r="637" spans="2:2" x14ac:dyDescent="0.25">
      <c r="B637" t="s">
        <v>711</v>
      </c>
    </row>
    <row r="638" spans="2:2" x14ac:dyDescent="0.25">
      <c r="B638" t="s">
        <v>712</v>
      </c>
    </row>
    <row r="639" spans="2:2" x14ac:dyDescent="0.25">
      <c r="B639" t="s">
        <v>713</v>
      </c>
    </row>
    <row r="640" spans="2:2" x14ac:dyDescent="0.25">
      <c r="B640" t="s">
        <v>714</v>
      </c>
    </row>
    <row r="641" spans="2:2" x14ac:dyDescent="0.25">
      <c r="B641" t="s">
        <v>715</v>
      </c>
    </row>
    <row r="642" spans="2:2" x14ac:dyDescent="0.25">
      <c r="B642" t="s">
        <v>716</v>
      </c>
    </row>
    <row r="643" spans="2:2" x14ac:dyDescent="0.25">
      <c r="B643" t="s">
        <v>717</v>
      </c>
    </row>
    <row r="644" spans="2:2" x14ac:dyDescent="0.25">
      <c r="B644" t="s">
        <v>718</v>
      </c>
    </row>
    <row r="645" spans="2:2" x14ac:dyDescent="0.25">
      <c r="B645" t="s">
        <v>719</v>
      </c>
    </row>
    <row r="646" spans="2:2" x14ac:dyDescent="0.25">
      <c r="B646" t="s">
        <v>720</v>
      </c>
    </row>
    <row r="647" spans="2:2" x14ac:dyDescent="0.25">
      <c r="B647" t="s">
        <v>721</v>
      </c>
    </row>
    <row r="648" spans="2:2" x14ac:dyDescent="0.25">
      <c r="B648" t="s">
        <v>722</v>
      </c>
    </row>
    <row r="649" spans="2:2" x14ac:dyDescent="0.25">
      <c r="B649" t="s">
        <v>723</v>
      </c>
    </row>
    <row r="650" spans="2:2" x14ac:dyDescent="0.25">
      <c r="B650" t="s">
        <v>724</v>
      </c>
    </row>
    <row r="651" spans="2:2" x14ac:dyDescent="0.25">
      <c r="B651" t="s">
        <v>725</v>
      </c>
    </row>
    <row r="652" spans="2:2" x14ac:dyDescent="0.25">
      <c r="B652" t="s">
        <v>726</v>
      </c>
    </row>
    <row r="653" spans="2:2" x14ac:dyDescent="0.25">
      <c r="B653" t="s">
        <v>727</v>
      </c>
    </row>
    <row r="654" spans="2:2" x14ac:dyDescent="0.25">
      <c r="B654" t="s">
        <v>728</v>
      </c>
    </row>
    <row r="655" spans="2:2" x14ac:dyDescent="0.25">
      <c r="B655" t="s">
        <v>729</v>
      </c>
    </row>
    <row r="656" spans="2:2" x14ac:dyDescent="0.25">
      <c r="B656" t="s">
        <v>730</v>
      </c>
    </row>
    <row r="657" spans="2:2" x14ac:dyDescent="0.25">
      <c r="B657" t="s">
        <v>731</v>
      </c>
    </row>
    <row r="658" spans="2:2" x14ac:dyDescent="0.25">
      <c r="B658" t="s">
        <v>732</v>
      </c>
    </row>
    <row r="659" spans="2:2" x14ac:dyDescent="0.25">
      <c r="B659" t="s">
        <v>733</v>
      </c>
    </row>
    <row r="660" spans="2:2" x14ac:dyDescent="0.25">
      <c r="B660" t="s">
        <v>734</v>
      </c>
    </row>
    <row r="661" spans="2:2" x14ac:dyDescent="0.25">
      <c r="B661" t="s">
        <v>735</v>
      </c>
    </row>
    <row r="662" spans="2:2" x14ac:dyDescent="0.25">
      <c r="B662" t="s">
        <v>736</v>
      </c>
    </row>
    <row r="663" spans="2:2" x14ac:dyDescent="0.25">
      <c r="B663" t="s">
        <v>737</v>
      </c>
    </row>
    <row r="664" spans="2:2" x14ac:dyDescent="0.25">
      <c r="B664" t="s">
        <v>738</v>
      </c>
    </row>
    <row r="665" spans="2:2" x14ac:dyDescent="0.25">
      <c r="B665" t="s">
        <v>739</v>
      </c>
    </row>
    <row r="666" spans="2:2" x14ac:dyDescent="0.25">
      <c r="B666" t="s">
        <v>740</v>
      </c>
    </row>
    <row r="667" spans="2:2" x14ac:dyDescent="0.25">
      <c r="B667" t="s">
        <v>741</v>
      </c>
    </row>
    <row r="668" spans="2:2" x14ac:dyDescent="0.25">
      <c r="B668" t="s">
        <v>742</v>
      </c>
    </row>
    <row r="669" spans="2:2" x14ac:dyDescent="0.25">
      <c r="B669" t="s">
        <v>743</v>
      </c>
    </row>
    <row r="670" spans="2:2" x14ac:dyDescent="0.25">
      <c r="B670" t="s">
        <v>744</v>
      </c>
    </row>
    <row r="671" spans="2:2" x14ac:dyDescent="0.25">
      <c r="B671" t="s">
        <v>745</v>
      </c>
    </row>
    <row r="672" spans="2:2" x14ac:dyDescent="0.25">
      <c r="B672" t="s">
        <v>746</v>
      </c>
    </row>
    <row r="673" spans="2:2" x14ac:dyDescent="0.25">
      <c r="B673" t="s">
        <v>747</v>
      </c>
    </row>
    <row r="674" spans="2:2" x14ac:dyDescent="0.25">
      <c r="B674" t="s">
        <v>748</v>
      </c>
    </row>
    <row r="675" spans="2:2" x14ac:dyDescent="0.25">
      <c r="B675" t="s">
        <v>749</v>
      </c>
    </row>
    <row r="676" spans="2:2" x14ac:dyDescent="0.25">
      <c r="B676" t="s">
        <v>750</v>
      </c>
    </row>
    <row r="677" spans="2:2" x14ac:dyDescent="0.25">
      <c r="B677" t="s">
        <v>751</v>
      </c>
    </row>
    <row r="678" spans="2:2" x14ac:dyDescent="0.25">
      <c r="B678" t="s">
        <v>752</v>
      </c>
    </row>
    <row r="679" spans="2:2" x14ac:dyDescent="0.25">
      <c r="B679" t="s">
        <v>753</v>
      </c>
    </row>
    <row r="680" spans="2:2" x14ac:dyDescent="0.25">
      <c r="B680" t="s">
        <v>754</v>
      </c>
    </row>
    <row r="681" spans="2:2" x14ac:dyDescent="0.25">
      <c r="B681" t="s">
        <v>755</v>
      </c>
    </row>
    <row r="682" spans="2:2" x14ac:dyDescent="0.25">
      <c r="B682" t="s">
        <v>756</v>
      </c>
    </row>
    <row r="683" spans="2:2" x14ac:dyDescent="0.25">
      <c r="B683" t="s">
        <v>757</v>
      </c>
    </row>
    <row r="684" spans="2:2" x14ac:dyDescent="0.25">
      <c r="B684" t="s">
        <v>758</v>
      </c>
    </row>
    <row r="685" spans="2:2" x14ac:dyDescent="0.25">
      <c r="B685" t="s">
        <v>759</v>
      </c>
    </row>
    <row r="686" spans="2:2" x14ac:dyDescent="0.25">
      <c r="B686" t="s">
        <v>760</v>
      </c>
    </row>
    <row r="687" spans="2:2" x14ac:dyDescent="0.25">
      <c r="B687" t="s">
        <v>761</v>
      </c>
    </row>
    <row r="688" spans="2:2" x14ac:dyDescent="0.25">
      <c r="B688" t="s">
        <v>762</v>
      </c>
    </row>
    <row r="689" spans="2:2" x14ac:dyDescent="0.25">
      <c r="B689" t="s">
        <v>763</v>
      </c>
    </row>
    <row r="690" spans="2:2" x14ac:dyDescent="0.25">
      <c r="B690" t="s">
        <v>764</v>
      </c>
    </row>
    <row r="691" spans="2:2" x14ac:dyDescent="0.25">
      <c r="B691" t="s">
        <v>765</v>
      </c>
    </row>
    <row r="692" spans="2:2" x14ac:dyDescent="0.25">
      <c r="B692" t="s">
        <v>766</v>
      </c>
    </row>
    <row r="693" spans="2:2" x14ac:dyDescent="0.25">
      <c r="B693" t="s">
        <v>767</v>
      </c>
    </row>
    <row r="694" spans="2:2" x14ac:dyDescent="0.25">
      <c r="B694" t="s">
        <v>768</v>
      </c>
    </row>
    <row r="695" spans="2:2" x14ac:dyDescent="0.25">
      <c r="B695" t="s">
        <v>769</v>
      </c>
    </row>
    <row r="696" spans="2:2" x14ac:dyDescent="0.25">
      <c r="B696" t="s">
        <v>770</v>
      </c>
    </row>
    <row r="697" spans="2:2" x14ac:dyDescent="0.25">
      <c r="B697" t="s">
        <v>771</v>
      </c>
    </row>
    <row r="698" spans="2:2" x14ac:dyDescent="0.25">
      <c r="B698" t="s">
        <v>772</v>
      </c>
    </row>
    <row r="699" spans="2:2" x14ac:dyDescent="0.25">
      <c r="B699" t="s">
        <v>773</v>
      </c>
    </row>
    <row r="700" spans="2:2" x14ac:dyDescent="0.25">
      <c r="B700" t="s">
        <v>774</v>
      </c>
    </row>
    <row r="701" spans="2:2" x14ac:dyDescent="0.25">
      <c r="B701" t="s">
        <v>775</v>
      </c>
    </row>
    <row r="702" spans="2:2" x14ac:dyDescent="0.25">
      <c r="B702" t="s">
        <v>776</v>
      </c>
    </row>
    <row r="703" spans="2:2" x14ac:dyDescent="0.25">
      <c r="B703" t="s">
        <v>777</v>
      </c>
    </row>
    <row r="704" spans="2:2" x14ac:dyDescent="0.25">
      <c r="B704" t="s">
        <v>778</v>
      </c>
    </row>
    <row r="705" spans="2:2" x14ac:dyDescent="0.25">
      <c r="B705" t="s">
        <v>779</v>
      </c>
    </row>
    <row r="706" spans="2:2" x14ac:dyDescent="0.25">
      <c r="B706" t="s">
        <v>780</v>
      </c>
    </row>
    <row r="707" spans="2:2" x14ac:dyDescent="0.25">
      <c r="B707" t="s">
        <v>781</v>
      </c>
    </row>
    <row r="708" spans="2:2" x14ac:dyDescent="0.25">
      <c r="B708" t="s">
        <v>782</v>
      </c>
    </row>
    <row r="709" spans="2:2" x14ac:dyDescent="0.25">
      <c r="B709" t="s">
        <v>783</v>
      </c>
    </row>
    <row r="710" spans="2:2" x14ac:dyDescent="0.25">
      <c r="B710" t="s">
        <v>784</v>
      </c>
    </row>
    <row r="711" spans="2:2" x14ac:dyDescent="0.25">
      <c r="B711" t="s">
        <v>785</v>
      </c>
    </row>
    <row r="712" spans="2:2" x14ac:dyDescent="0.25">
      <c r="B712" t="s">
        <v>786</v>
      </c>
    </row>
    <row r="713" spans="2:2" x14ac:dyDescent="0.25">
      <c r="B713" t="s">
        <v>787</v>
      </c>
    </row>
    <row r="714" spans="2:2" x14ac:dyDescent="0.25">
      <c r="B714" t="s">
        <v>788</v>
      </c>
    </row>
    <row r="715" spans="2:2" x14ac:dyDescent="0.25">
      <c r="B715" t="s">
        <v>789</v>
      </c>
    </row>
    <row r="716" spans="2:2" x14ac:dyDescent="0.25">
      <c r="B716" t="s">
        <v>790</v>
      </c>
    </row>
    <row r="717" spans="2:2" x14ac:dyDescent="0.25">
      <c r="B717" t="s">
        <v>791</v>
      </c>
    </row>
    <row r="718" spans="2:2" x14ac:dyDescent="0.25">
      <c r="B718" t="s">
        <v>792</v>
      </c>
    </row>
    <row r="719" spans="2:2" x14ac:dyDescent="0.25">
      <c r="B719" t="s">
        <v>793</v>
      </c>
    </row>
    <row r="720" spans="2:2" x14ac:dyDescent="0.25">
      <c r="B720" t="s">
        <v>794</v>
      </c>
    </row>
    <row r="721" spans="2:2" x14ac:dyDescent="0.25">
      <c r="B721" t="s">
        <v>795</v>
      </c>
    </row>
    <row r="722" spans="2:2" x14ac:dyDescent="0.25">
      <c r="B722" t="s">
        <v>796</v>
      </c>
    </row>
    <row r="723" spans="2:2" x14ac:dyDescent="0.25">
      <c r="B723" t="s">
        <v>797</v>
      </c>
    </row>
    <row r="724" spans="2:2" x14ac:dyDescent="0.25">
      <c r="B724" t="s">
        <v>798</v>
      </c>
    </row>
    <row r="725" spans="2:2" x14ac:dyDescent="0.25">
      <c r="B725" t="s">
        <v>61</v>
      </c>
    </row>
    <row r="726" spans="2:2" x14ac:dyDescent="0.25">
      <c r="B726" t="s">
        <v>799</v>
      </c>
    </row>
    <row r="727" spans="2:2" x14ac:dyDescent="0.25">
      <c r="B727" t="s">
        <v>800</v>
      </c>
    </row>
    <row r="728" spans="2:2" x14ac:dyDescent="0.25">
      <c r="B728" t="s">
        <v>801</v>
      </c>
    </row>
    <row r="729" spans="2:2" x14ac:dyDescent="0.25">
      <c r="B729" t="s">
        <v>802</v>
      </c>
    </row>
    <row r="730" spans="2:2" x14ac:dyDescent="0.25">
      <c r="B730" t="s">
        <v>803</v>
      </c>
    </row>
    <row r="731" spans="2:2" x14ac:dyDescent="0.25">
      <c r="B731" t="s">
        <v>804</v>
      </c>
    </row>
    <row r="732" spans="2:2" x14ac:dyDescent="0.25">
      <c r="B732" t="s">
        <v>805</v>
      </c>
    </row>
    <row r="733" spans="2:2" x14ac:dyDescent="0.25">
      <c r="B733" t="s">
        <v>806</v>
      </c>
    </row>
    <row r="734" spans="2:2" x14ac:dyDescent="0.25">
      <c r="B734" t="s">
        <v>807</v>
      </c>
    </row>
    <row r="735" spans="2:2" x14ac:dyDescent="0.25">
      <c r="B735" t="s">
        <v>808</v>
      </c>
    </row>
    <row r="736" spans="2:2" x14ac:dyDescent="0.25">
      <c r="B736" t="s">
        <v>809</v>
      </c>
    </row>
    <row r="737" spans="2:2" x14ac:dyDescent="0.25">
      <c r="B737" t="s">
        <v>77</v>
      </c>
    </row>
    <row r="738" spans="2:2" x14ac:dyDescent="0.25">
      <c r="B738" t="s">
        <v>810</v>
      </c>
    </row>
    <row r="739" spans="2:2" x14ac:dyDescent="0.25">
      <c r="B739" t="s">
        <v>811</v>
      </c>
    </row>
    <row r="740" spans="2:2" x14ac:dyDescent="0.25">
      <c r="B740" t="s">
        <v>812</v>
      </c>
    </row>
    <row r="741" spans="2:2" x14ac:dyDescent="0.25">
      <c r="B741" t="s">
        <v>813</v>
      </c>
    </row>
    <row r="742" spans="2:2" x14ac:dyDescent="0.25">
      <c r="B742" t="s">
        <v>814</v>
      </c>
    </row>
    <row r="743" spans="2:2" x14ac:dyDescent="0.25">
      <c r="B743" t="s">
        <v>815</v>
      </c>
    </row>
    <row r="744" spans="2:2" x14ac:dyDescent="0.25">
      <c r="B744" t="s">
        <v>816</v>
      </c>
    </row>
    <row r="745" spans="2:2" x14ac:dyDescent="0.25">
      <c r="B745" t="s">
        <v>817</v>
      </c>
    </row>
    <row r="746" spans="2:2" x14ac:dyDescent="0.25">
      <c r="B746" t="s">
        <v>818</v>
      </c>
    </row>
    <row r="747" spans="2:2" x14ac:dyDescent="0.25">
      <c r="B747" t="s">
        <v>18</v>
      </c>
    </row>
    <row r="748" spans="2:2" x14ac:dyDescent="0.25">
      <c r="B748" t="s">
        <v>819</v>
      </c>
    </row>
    <row r="749" spans="2:2" x14ac:dyDescent="0.25">
      <c r="B749" t="s">
        <v>820</v>
      </c>
    </row>
    <row r="750" spans="2:2" x14ac:dyDescent="0.25">
      <c r="B750" t="s">
        <v>821</v>
      </c>
    </row>
    <row r="751" spans="2:2" x14ac:dyDescent="0.25">
      <c r="B751" t="s">
        <v>822</v>
      </c>
    </row>
    <row r="752" spans="2:2" x14ac:dyDescent="0.25">
      <c r="B752" t="s">
        <v>823</v>
      </c>
    </row>
    <row r="753" spans="2:2" x14ac:dyDescent="0.25">
      <c r="B753" t="s">
        <v>824</v>
      </c>
    </row>
    <row r="754" spans="2:2" x14ac:dyDescent="0.25">
      <c r="B754" t="s">
        <v>825</v>
      </c>
    </row>
    <row r="755" spans="2:2" x14ac:dyDescent="0.25">
      <c r="B755" t="s">
        <v>826</v>
      </c>
    </row>
    <row r="756" spans="2:2" x14ac:dyDescent="0.25">
      <c r="B756" t="s">
        <v>827</v>
      </c>
    </row>
    <row r="757" spans="2:2" x14ac:dyDescent="0.25">
      <c r="B757" t="s">
        <v>828</v>
      </c>
    </row>
    <row r="758" spans="2:2" x14ac:dyDescent="0.25">
      <c r="B758" t="s">
        <v>829</v>
      </c>
    </row>
    <row r="759" spans="2:2" x14ac:dyDescent="0.25">
      <c r="B759" t="s">
        <v>830</v>
      </c>
    </row>
    <row r="760" spans="2:2" x14ac:dyDescent="0.25">
      <c r="B760" t="s">
        <v>831</v>
      </c>
    </row>
    <row r="761" spans="2:2" x14ac:dyDescent="0.25">
      <c r="B761" t="s">
        <v>832</v>
      </c>
    </row>
    <row r="762" spans="2:2" x14ac:dyDescent="0.25">
      <c r="B762" t="s">
        <v>833</v>
      </c>
    </row>
    <row r="763" spans="2:2" x14ac:dyDescent="0.25">
      <c r="B763" t="s">
        <v>834</v>
      </c>
    </row>
    <row r="764" spans="2:2" x14ac:dyDescent="0.25">
      <c r="B764" t="s">
        <v>835</v>
      </c>
    </row>
    <row r="765" spans="2:2" x14ac:dyDescent="0.25">
      <c r="B765" t="s">
        <v>836</v>
      </c>
    </row>
    <row r="766" spans="2:2" x14ac:dyDescent="0.25">
      <c r="B766" t="s">
        <v>837</v>
      </c>
    </row>
    <row r="767" spans="2:2" x14ac:dyDescent="0.25">
      <c r="B767" t="s">
        <v>838</v>
      </c>
    </row>
    <row r="768" spans="2:2" x14ac:dyDescent="0.25">
      <c r="B768" t="s">
        <v>839</v>
      </c>
    </row>
    <row r="769" spans="2:2" x14ac:dyDescent="0.25">
      <c r="B769" t="s">
        <v>840</v>
      </c>
    </row>
    <row r="770" spans="2:2" x14ac:dyDescent="0.25">
      <c r="B770" t="s">
        <v>841</v>
      </c>
    </row>
    <row r="771" spans="2:2" x14ac:dyDescent="0.25">
      <c r="B771" t="s">
        <v>842</v>
      </c>
    </row>
    <row r="772" spans="2:2" x14ac:dyDescent="0.25">
      <c r="B772" t="s">
        <v>843</v>
      </c>
    </row>
    <row r="773" spans="2:2" x14ac:dyDescent="0.25">
      <c r="B773" t="s">
        <v>844</v>
      </c>
    </row>
    <row r="774" spans="2:2" x14ac:dyDescent="0.25">
      <c r="B774" t="s">
        <v>845</v>
      </c>
    </row>
    <row r="775" spans="2:2" x14ac:dyDescent="0.25">
      <c r="B775" t="s">
        <v>846</v>
      </c>
    </row>
    <row r="776" spans="2:2" x14ac:dyDescent="0.25">
      <c r="B776" t="s">
        <v>847</v>
      </c>
    </row>
    <row r="777" spans="2:2" x14ac:dyDescent="0.25">
      <c r="B777" t="s">
        <v>848</v>
      </c>
    </row>
    <row r="778" spans="2:2" x14ac:dyDescent="0.25">
      <c r="B778" t="s">
        <v>849</v>
      </c>
    </row>
    <row r="779" spans="2:2" x14ac:dyDescent="0.25">
      <c r="B779" t="s">
        <v>850</v>
      </c>
    </row>
    <row r="780" spans="2:2" x14ac:dyDescent="0.25">
      <c r="B780" t="s">
        <v>851</v>
      </c>
    </row>
    <row r="781" spans="2:2" x14ac:dyDescent="0.25">
      <c r="B781" t="s">
        <v>852</v>
      </c>
    </row>
    <row r="782" spans="2:2" x14ac:dyDescent="0.25">
      <c r="B782" t="s">
        <v>853</v>
      </c>
    </row>
    <row r="783" spans="2:2" x14ac:dyDescent="0.25">
      <c r="B783" t="s">
        <v>854</v>
      </c>
    </row>
    <row r="784" spans="2:2" x14ac:dyDescent="0.25">
      <c r="B784" t="s">
        <v>855</v>
      </c>
    </row>
    <row r="785" spans="2:2" x14ac:dyDescent="0.25">
      <c r="B785" t="s">
        <v>856</v>
      </c>
    </row>
    <row r="786" spans="2:2" x14ac:dyDescent="0.25">
      <c r="B786" t="s">
        <v>51</v>
      </c>
    </row>
    <row r="787" spans="2:2" x14ac:dyDescent="0.25">
      <c r="B787" t="s">
        <v>857</v>
      </c>
    </row>
    <row r="788" spans="2:2" x14ac:dyDescent="0.25">
      <c r="B788" t="s">
        <v>858</v>
      </c>
    </row>
    <row r="789" spans="2:2" x14ac:dyDescent="0.25">
      <c r="B789" t="s">
        <v>859</v>
      </c>
    </row>
    <row r="790" spans="2:2" x14ac:dyDescent="0.25">
      <c r="B790" t="s">
        <v>860</v>
      </c>
    </row>
    <row r="791" spans="2:2" x14ac:dyDescent="0.25">
      <c r="B791" t="s">
        <v>861</v>
      </c>
    </row>
    <row r="792" spans="2:2" x14ac:dyDescent="0.25">
      <c r="B792" t="s">
        <v>862</v>
      </c>
    </row>
    <row r="793" spans="2:2" x14ac:dyDescent="0.25">
      <c r="B793" t="s">
        <v>863</v>
      </c>
    </row>
    <row r="794" spans="2:2" x14ac:dyDescent="0.25">
      <c r="B794" t="s">
        <v>864</v>
      </c>
    </row>
    <row r="795" spans="2:2" x14ac:dyDescent="0.25">
      <c r="B795" t="s">
        <v>865</v>
      </c>
    </row>
    <row r="796" spans="2:2" x14ac:dyDescent="0.25">
      <c r="B796" t="s">
        <v>866</v>
      </c>
    </row>
    <row r="797" spans="2:2" x14ac:dyDescent="0.25">
      <c r="B797" t="s">
        <v>867</v>
      </c>
    </row>
    <row r="798" spans="2:2" x14ac:dyDescent="0.25">
      <c r="B798" t="s">
        <v>868</v>
      </c>
    </row>
    <row r="799" spans="2:2" x14ac:dyDescent="0.25">
      <c r="B799" t="s">
        <v>869</v>
      </c>
    </row>
    <row r="800" spans="2:2" x14ac:dyDescent="0.25">
      <c r="B800" t="s">
        <v>870</v>
      </c>
    </row>
    <row r="801" spans="2:2" x14ac:dyDescent="0.25">
      <c r="B801" t="s">
        <v>871</v>
      </c>
    </row>
    <row r="802" spans="2:2" x14ac:dyDescent="0.25">
      <c r="B802" t="s">
        <v>872</v>
      </c>
    </row>
    <row r="803" spans="2:2" x14ac:dyDescent="0.25">
      <c r="B803" t="s">
        <v>873</v>
      </c>
    </row>
    <row r="804" spans="2:2" x14ac:dyDescent="0.25">
      <c r="B804" t="s">
        <v>874</v>
      </c>
    </row>
    <row r="805" spans="2:2" x14ac:dyDescent="0.25">
      <c r="B805" t="s">
        <v>875</v>
      </c>
    </row>
    <row r="806" spans="2:2" x14ac:dyDescent="0.25">
      <c r="B806" t="s">
        <v>876</v>
      </c>
    </row>
    <row r="807" spans="2:2" x14ac:dyDescent="0.25">
      <c r="B807" t="s">
        <v>877</v>
      </c>
    </row>
    <row r="808" spans="2:2" x14ac:dyDescent="0.25">
      <c r="B808" t="s">
        <v>878</v>
      </c>
    </row>
    <row r="809" spans="2:2" x14ac:dyDescent="0.25">
      <c r="B809" t="s">
        <v>879</v>
      </c>
    </row>
    <row r="810" spans="2:2" x14ac:dyDescent="0.25">
      <c r="B810" t="s">
        <v>880</v>
      </c>
    </row>
    <row r="811" spans="2:2" x14ac:dyDescent="0.25">
      <c r="B811" t="s">
        <v>881</v>
      </c>
    </row>
    <row r="812" spans="2:2" x14ac:dyDescent="0.25">
      <c r="B812" t="s">
        <v>882</v>
      </c>
    </row>
    <row r="813" spans="2:2" x14ac:dyDescent="0.25">
      <c r="B813" t="s">
        <v>883</v>
      </c>
    </row>
    <row r="814" spans="2:2" x14ac:dyDescent="0.25">
      <c r="B814" t="s">
        <v>884</v>
      </c>
    </row>
    <row r="815" spans="2:2" x14ac:dyDescent="0.25">
      <c r="B815" t="s">
        <v>885</v>
      </c>
    </row>
    <row r="816" spans="2:2" x14ac:dyDescent="0.25">
      <c r="B816" t="s">
        <v>886</v>
      </c>
    </row>
    <row r="817" spans="2:2" x14ac:dyDescent="0.25">
      <c r="B817" t="s">
        <v>887</v>
      </c>
    </row>
    <row r="818" spans="2:2" x14ac:dyDescent="0.25">
      <c r="B818" t="s">
        <v>888</v>
      </c>
    </row>
    <row r="819" spans="2:2" x14ac:dyDescent="0.25">
      <c r="B819" t="s">
        <v>889</v>
      </c>
    </row>
    <row r="820" spans="2:2" x14ac:dyDescent="0.25">
      <c r="B820" t="s">
        <v>890</v>
      </c>
    </row>
    <row r="821" spans="2:2" x14ac:dyDescent="0.25">
      <c r="B821" t="s">
        <v>891</v>
      </c>
    </row>
    <row r="822" spans="2:2" x14ac:dyDescent="0.25">
      <c r="B822" t="s">
        <v>892</v>
      </c>
    </row>
    <row r="823" spans="2:2" x14ac:dyDescent="0.25">
      <c r="B823" t="s">
        <v>893</v>
      </c>
    </row>
    <row r="824" spans="2:2" x14ac:dyDescent="0.25">
      <c r="B824" t="s">
        <v>894</v>
      </c>
    </row>
    <row r="825" spans="2:2" x14ac:dyDescent="0.25">
      <c r="B825" t="s">
        <v>895</v>
      </c>
    </row>
    <row r="826" spans="2:2" x14ac:dyDescent="0.25">
      <c r="B826" t="s">
        <v>896</v>
      </c>
    </row>
    <row r="827" spans="2:2" x14ac:dyDescent="0.25">
      <c r="B827" t="s">
        <v>897</v>
      </c>
    </row>
    <row r="828" spans="2:2" x14ac:dyDescent="0.25">
      <c r="B828" t="s">
        <v>898</v>
      </c>
    </row>
    <row r="829" spans="2:2" x14ac:dyDescent="0.25">
      <c r="B829" t="s">
        <v>899</v>
      </c>
    </row>
    <row r="830" spans="2:2" x14ac:dyDescent="0.25">
      <c r="B830" t="s">
        <v>900</v>
      </c>
    </row>
    <row r="831" spans="2:2" x14ac:dyDescent="0.25">
      <c r="B831" t="s">
        <v>901</v>
      </c>
    </row>
    <row r="832" spans="2:2" x14ac:dyDescent="0.25">
      <c r="B832" t="s">
        <v>902</v>
      </c>
    </row>
    <row r="833" spans="2:2" x14ac:dyDescent="0.25">
      <c r="B833" t="s">
        <v>903</v>
      </c>
    </row>
    <row r="834" spans="2:2" x14ac:dyDescent="0.25">
      <c r="B834" t="s">
        <v>904</v>
      </c>
    </row>
    <row r="835" spans="2:2" x14ac:dyDescent="0.25">
      <c r="B835" t="s">
        <v>905</v>
      </c>
    </row>
    <row r="836" spans="2:2" x14ac:dyDescent="0.25">
      <c r="B836" t="s">
        <v>906</v>
      </c>
    </row>
    <row r="837" spans="2:2" x14ac:dyDescent="0.25">
      <c r="B837" t="s">
        <v>907</v>
      </c>
    </row>
    <row r="838" spans="2:2" x14ac:dyDescent="0.25">
      <c r="B838" t="s">
        <v>908</v>
      </c>
    </row>
    <row r="839" spans="2:2" x14ac:dyDescent="0.25">
      <c r="B839" t="s">
        <v>909</v>
      </c>
    </row>
    <row r="840" spans="2:2" x14ac:dyDescent="0.25">
      <c r="B840" t="s">
        <v>910</v>
      </c>
    </row>
    <row r="841" spans="2:2" x14ac:dyDescent="0.25">
      <c r="B841" t="s">
        <v>911</v>
      </c>
    </row>
    <row r="842" spans="2:2" x14ac:dyDescent="0.25">
      <c r="B842" t="s">
        <v>912</v>
      </c>
    </row>
    <row r="843" spans="2:2" x14ac:dyDescent="0.25">
      <c r="B843" t="s">
        <v>913</v>
      </c>
    </row>
    <row r="844" spans="2:2" x14ac:dyDescent="0.25">
      <c r="B844" t="s">
        <v>914</v>
      </c>
    </row>
    <row r="845" spans="2:2" x14ac:dyDescent="0.25">
      <c r="B845" t="s">
        <v>915</v>
      </c>
    </row>
    <row r="846" spans="2:2" x14ac:dyDescent="0.25">
      <c r="B846" t="s">
        <v>916</v>
      </c>
    </row>
    <row r="847" spans="2:2" x14ac:dyDescent="0.25">
      <c r="B847" t="s">
        <v>917</v>
      </c>
    </row>
    <row r="848" spans="2:2" x14ac:dyDescent="0.25">
      <c r="B848" t="s">
        <v>918</v>
      </c>
    </row>
    <row r="849" spans="2:2" x14ac:dyDescent="0.25">
      <c r="B849" t="s">
        <v>919</v>
      </c>
    </row>
    <row r="850" spans="2:2" x14ac:dyDescent="0.25">
      <c r="B850" t="s">
        <v>920</v>
      </c>
    </row>
    <row r="851" spans="2:2" x14ac:dyDescent="0.25">
      <c r="B851" t="s">
        <v>921</v>
      </c>
    </row>
    <row r="852" spans="2:2" x14ac:dyDescent="0.25">
      <c r="B852" t="s">
        <v>922</v>
      </c>
    </row>
    <row r="853" spans="2:2" x14ac:dyDescent="0.25">
      <c r="B853" t="s">
        <v>923</v>
      </c>
    </row>
    <row r="854" spans="2:2" x14ac:dyDescent="0.25">
      <c r="B854" t="s">
        <v>924</v>
      </c>
    </row>
    <row r="855" spans="2:2" x14ac:dyDescent="0.25">
      <c r="B855" t="s">
        <v>925</v>
      </c>
    </row>
    <row r="856" spans="2:2" x14ac:dyDescent="0.25">
      <c r="B856" t="s">
        <v>926</v>
      </c>
    </row>
    <row r="857" spans="2:2" x14ac:dyDescent="0.25">
      <c r="B857" t="s">
        <v>927</v>
      </c>
    </row>
    <row r="858" spans="2:2" x14ac:dyDescent="0.25">
      <c r="B858" t="s">
        <v>928</v>
      </c>
    </row>
    <row r="859" spans="2:2" x14ac:dyDescent="0.25">
      <c r="B859" t="s">
        <v>929</v>
      </c>
    </row>
    <row r="860" spans="2:2" x14ac:dyDescent="0.25">
      <c r="B860" t="s">
        <v>930</v>
      </c>
    </row>
    <row r="861" spans="2:2" x14ac:dyDescent="0.25">
      <c r="B861" t="s">
        <v>931</v>
      </c>
    </row>
    <row r="862" spans="2:2" x14ac:dyDescent="0.25">
      <c r="B862" t="s">
        <v>932</v>
      </c>
    </row>
    <row r="863" spans="2:2" x14ac:dyDescent="0.25">
      <c r="B863" t="s">
        <v>933</v>
      </c>
    </row>
    <row r="864" spans="2:2" x14ac:dyDescent="0.25">
      <c r="B864" t="s">
        <v>934</v>
      </c>
    </row>
    <row r="865" spans="2:2" x14ac:dyDescent="0.25">
      <c r="B865" t="s">
        <v>935</v>
      </c>
    </row>
    <row r="866" spans="2:2" x14ac:dyDescent="0.25">
      <c r="B866" t="s">
        <v>936</v>
      </c>
    </row>
    <row r="867" spans="2:2" x14ac:dyDescent="0.25">
      <c r="B867" t="s">
        <v>937</v>
      </c>
    </row>
    <row r="868" spans="2:2" x14ac:dyDescent="0.25">
      <c r="B868" t="s">
        <v>938</v>
      </c>
    </row>
    <row r="869" spans="2:2" x14ac:dyDescent="0.25">
      <c r="B869" t="s">
        <v>939</v>
      </c>
    </row>
    <row r="870" spans="2:2" x14ac:dyDescent="0.25">
      <c r="B870" t="s">
        <v>940</v>
      </c>
    </row>
    <row r="871" spans="2:2" x14ac:dyDescent="0.25">
      <c r="B871" t="s">
        <v>941</v>
      </c>
    </row>
    <row r="872" spans="2:2" x14ac:dyDescent="0.25">
      <c r="B872" t="s">
        <v>942</v>
      </c>
    </row>
    <row r="873" spans="2:2" x14ac:dyDescent="0.25">
      <c r="B873" t="s">
        <v>943</v>
      </c>
    </row>
    <row r="874" spans="2:2" x14ac:dyDescent="0.25">
      <c r="B874" t="s">
        <v>944</v>
      </c>
    </row>
    <row r="875" spans="2:2" x14ac:dyDescent="0.25">
      <c r="B875" t="s">
        <v>945</v>
      </c>
    </row>
    <row r="876" spans="2:2" x14ac:dyDescent="0.25">
      <c r="B876" t="s">
        <v>946</v>
      </c>
    </row>
    <row r="877" spans="2:2" x14ac:dyDescent="0.25">
      <c r="B877" t="s">
        <v>947</v>
      </c>
    </row>
    <row r="878" spans="2:2" x14ac:dyDescent="0.25">
      <c r="B878" t="s">
        <v>948</v>
      </c>
    </row>
    <row r="879" spans="2:2" x14ac:dyDescent="0.25">
      <c r="B879" t="s">
        <v>949</v>
      </c>
    </row>
    <row r="880" spans="2:2" x14ac:dyDescent="0.25">
      <c r="B880" t="s">
        <v>950</v>
      </c>
    </row>
    <row r="881" spans="2:2" x14ac:dyDescent="0.25">
      <c r="B881" t="s">
        <v>951</v>
      </c>
    </row>
    <row r="882" spans="2:2" x14ac:dyDescent="0.25">
      <c r="B882" t="s">
        <v>952</v>
      </c>
    </row>
    <row r="883" spans="2:2" x14ac:dyDescent="0.25">
      <c r="B883" t="s">
        <v>953</v>
      </c>
    </row>
    <row r="884" spans="2:2" x14ac:dyDescent="0.25">
      <c r="B884" t="s">
        <v>954</v>
      </c>
    </row>
    <row r="885" spans="2:2" x14ac:dyDescent="0.25">
      <c r="B885" t="s">
        <v>955</v>
      </c>
    </row>
    <row r="886" spans="2:2" x14ac:dyDescent="0.25">
      <c r="B886" t="s">
        <v>956</v>
      </c>
    </row>
    <row r="887" spans="2:2" x14ac:dyDescent="0.25">
      <c r="B887" t="s">
        <v>957</v>
      </c>
    </row>
    <row r="888" spans="2:2" x14ac:dyDescent="0.25">
      <c r="B888" t="s">
        <v>958</v>
      </c>
    </row>
    <row r="889" spans="2:2" x14ac:dyDescent="0.25">
      <c r="B889" t="s">
        <v>959</v>
      </c>
    </row>
    <row r="890" spans="2:2" x14ac:dyDescent="0.25">
      <c r="B890" t="s">
        <v>960</v>
      </c>
    </row>
    <row r="891" spans="2:2" x14ac:dyDescent="0.25">
      <c r="B891" t="s">
        <v>961</v>
      </c>
    </row>
    <row r="892" spans="2:2" x14ac:dyDescent="0.25">
      <c r="B892" t="s">
        <v>962</v>
      </c>
    </row>
    <row r="893" spans="2:2" x14ac:dyDescent="0.25">
      <c r="B893" t="s">
        <v>963</v>
      </c>
    </row>
    <row r="894" spans="2:2" x14ac:dyDescent="0.25">
      <c r="B894" t="s">
        <v>964</v>
      </c>
    </row>
    <row r="895" spans="2:2" x14ac:dyDescent="0.25">
      <c r="B895" t="s">
        <v>965</v>
      </c>
    </row>
    <row r="896" spans="2:2" x14ac:dyDescent="0.25">
      <c r="B896" t="s">
        <v>966</v>
      </c>
    </row>
    <row r="897" spans="2:2" x14ac:dyDescent="0.25">
      <c r="B897" t="s">
        <v>967</v>
      </c>
    </row>
    <row r="898" spans="2:2" x14ac:dyDescent="0.25">
      <c r="B898" t="s">
        <v>968</v>
      </c>
    </row>
    <row r="899" spans="2:2" x14ac:dyDescent="0.25">
      <c r="B899" t="s">
        <v>969</v>
      </c>
    </row>
    <row r="900" spans="2:2" x14ac:dyDescent="0.25">
      <c r="B900" t="s">
        <v>970</v>
      </c>
    </row>
    <row r="901" spans="2:2" x14ac:dyDescent="0.25">
      <c r="B901" t="s">
        <v>971</v>
      </c>
    </row>
    <row r="902" spans="2:2" x14ac:dyDescent="0.25">
      <c r="B902" t="s">
        <v>972</v>
      </c>
    </row>
    <row r="903" spans="2:2" x14ac:dyDescent="0.25">
      <c r="B903" t="s">
        <v>973</v>
      </c>
    </row>
    <row r="904" spans="2:2" x14ac:dyDescent="0.25">
      <c r="B904" t="s">
        <v>974</v>
      </c>
    </row>
    <row r="905" spans="2:2" x14ac:dyDescent="0.25">
      <c r="B905" t="s">
        <v>975</v>
      </c>
    </row>
    <row r="906" spans="2:2" x14ac:dyDescent="0.25">
      <c r="B906" t="s">
        <v>976</v>
      </c>
    </row>
    <row r="907" spans="2:2" x14ac:dyDescent="0.25">
      <c r="B907" t="s">
        <v>977</v>
      </c>
    </row>
    <row r="908" spans="2:2" x14ac:dyDescent="0.25">
      <c r="B908" t="s">
        <v>978</v>
      </c>
    </row>
    <row r="909" spans="2:2" x14ac:dyDescent="0.25">
      <c r="B909" t="s">
        <v>979</v>
      </c>
    </row>
    <row r="910" spans="2:2" x14ac:dyDescent="0.25">
      <c r="B910" t="s">
        <v>980</v>
      </c>
    </row>
    <row r="911" spans="2:2" x14ac:dyDescent="0.25">
      <c r="B911" t="s">
        <v>981</v>
      </c>
    </row>
    <row r="912" spans="2:2" x14ac:dyDescent="0.25">
      <c r="B912" t="s">
        <v>982</v>
      </c>
    </row>
    <row r="913" spans="2:2" x14ac:dyDescent="0.25">
      <c r="B913" t="s">
        <v>983</v>
      </c>
    </row>
    <row r="914" spans="2:2" x14ac:dyDescent="0.25">
      <c r="B914" t="s">
        <v>984</v>
      </c>
    </row>
    <row r="915" spans="2:2" x14ac:dyDescent="0.25">
      <c r="B915" t="s">
        <v>985</v>
      </c>
    </row>
    <row r="916" spans="2:2" x14ac:dyDescent="0.25">
      <c r="B916" t="s">
        <v>986</v>
      </c>
    </row>
    <row r="917" spans="2:2" x14ac:dyDescent="0.25">
      <c r="B917" t="s">
        <v>987</v>
      </c>
    </row>
    <row r="918" spans="2:2" x14ac:dyDescent="0.25">
      <c r="B918" t="s">
        <v>988</v>
      </c>
    </row>
    <row r="919" spans="2:2" x14ac:dyDescent="0.25">
      <c r="B919" t="s">
        <v>989</v>
      </c>
    </row>
    <row r="920" spans="2:2" x14ac:dyDescent="0.25">
      <c r="B920" t="s">
        <v>990</v>
      </c>
    </row>
    <row r="921" spans="2:2" x14ac:dyDescent="0.25">
      <c r="B921" t="s">
        <v>991</v>
      </c>
    </row>
    <row r="922" spans="2:2" x14ac:dyDescent="0.25">
      <c r="B922" t="s">
        <v>992</v>
      </c>
    </row>
    <row r="923" spans="2:2" x14ac:dyDescent="0.25">
      <c r="B923" t="s">
        <v>993</v>
      </c>
    </row>
    <row r="924" spans="2:2" x14ac:dyDescent="0.25">
      <c r="B924" t="s">
        <v>994</v>
      </c>
    </row>
    <row r="925" spans="2:2" x14ac:dyDescent="0.25">
      <c r="B925" t="s">
        <v>995</v>
      </c>
    </row>
    <row r="926" spans="2:2" x14ac:dyDescent="0.25">
      <c r="B926" t="s">
        <v>996</v>
      </c>
    </row>
    <row r="927" spans="2:2" x14ac:dyDescent="0.25">
      <c r="B927" t="s">
        <v>997</v>
      </c>
    </row>
    <row r="928" spans="2:2" x14ac:dyDescent="0.25">
      <c r="B928" t="s">
        <v>998</v>
      </c>
    </row>
    <row r="929" spans="2:2" x14ac:dyDescent="0.25">
      <c r="B929" t="s">
        <v>999</v>
      </c>
    </row>
    <row r="930" spans="2:2" x14ac:dyDescent="0.25">
      <c r="B930" t="s">
        <v>1000</v>
      </c>
    </row>
    <row r="931" spans="2:2" x14ac:dyDescent="0.25">
      <c r="B931" t="s">
        <v>1001</v>
      </c>
    </row>
    <row r="932" spans="2:2" x14ac:dyDescent="0.25">
      <c r="B932" t="s">
        <v>1002</v>
      </c>
    </row>
    <row r="933" spans="2:2" x14ac:dyDescent="0.25">
      <c r="B933" t="s">
        <v>1003</v>
      </c>
    </row>
    <row r="934" spans="2:2" x14ac:dyDescent="0.25">
      <c r="B934" t="s">
        <v>1004</v>
      </c>
    </row>
    <row r="935" spans="2:2" x14ac:dyDescent="0.25">
      <c r="B935" t="s">
        <v>1005</v>
      </c>
    </row>
    <row r="936" spans="2:2" x14ac:dyDescent="0.25">
      <c r="B936" t="s">
        <v>1006</v>
      </c>
    </row>
    <row r="937" spans="2:2" x14ac:dyDescent="0.25">
      <c r="B937" t="s">
        <v>1007</v>
      </c>
    </row>
    <row r="938" spans="2:2" x14ac:dyDescent="0.25">
      <c r="B938" t="s">
        <v>1008</v>
      </c>
    </row>
    <row r="939" spans="2:2" x14ac:dyDescent="0.25">
      <c r="B939" t="s">
        <v>1009</v>
      </c>
    </row>
    <row r="940" spans="2:2" x14ac:dyDescent="0.25">
      <c r="B940" t="s">
        <v>1010</v>
      </c>
    </row>
    <row r="941" spans="2:2" x14ac:dyDescent="0.25">
      <c r="B941" t="s">
        <v>1011</v>
      </c>
    </row>
    <row r="942" spans="2:2" x14ac:dyDescent="0.25">
      <c r="B942" t="s">
        <v>1012</v>
      </c>
    </row>
    <row r="943" spans="2:2" x14ac:dyDescent="0.25">
      <c r="B943" t="s">
        <v>1013</v>
      </c>
    </row>
    <row r="944" spans="2:2" x14ac:dyDescent="0.25">
      <c r="B944" t="s">
        <v>1014</v>
      </c>
    </row>
    <row r="945" spans="2:2" x14ac:dyDescent="0.25">
      <c r="B945" t="s">
        <v>1015</v>
      </c>
    </row>
    <row r="946" spans="2:2" x14ac:dyDescent="0.25">
      <c r="B946" t="s">
        <v>1016</v>
      </c>
    </row>
    <row r="947" spans="2:2" x14ac:dyDescent="0.25">
      <c r="B947" t="s">
        <v>1017</v>
      </c>
    </row>
    <row r="948" spans="2:2" x14ac:dyDescent="0.25">
      <c r="B948" t="s">
        <v>1018</v>
      </c>
    </row>
    <row r="949" spans="2:2" x14ac:dyDescent="0.25">
      <c r="B949" t="s">
        <v>1019</v>
      </c>
    </row>
    <row r="950" spans="2:2" x14ac:dyDescent="0.25">
      <c r="B950" t="s">
        <v>1020</v>
      </c>
    </row>
    <row r="951" spans="2:2" x14ac:dyDescent="0.25">
      <c r="B951" t="s">
        <v>1021</v>
      </c>
    </row>
    <row r="952" spans="2:2" x14ac:dyDescent="0.25">
      <c r="B952" t="s">
        <v>1022</v>
      </c>
    </row>
    <row r="953" spans="2:2" x14ac:dyDescent="0.25">
      <c r="B953" t="s">
        <v>1023</v>
      </c>
    </row>
    <row r="954" spans="2:2" x14ac:dyDescent="0.25">
      <c r="B954" t="s">
        <v>1024</v>
      </c>
    </row>
    <row r="955" spans="2:2" x14ac:dyDescent="0.25">
      <c r="B955" t="s">
        <v>1025</v>
      </c>
    </row>
    <row r="956" spans="2:2" x14ac:dyDescent="0.25">
      <c r="B956" t="s">
        <v>1026</v>
      </c>
    </row>
    <row r="957" spans="2:2" x14ac:dyDescent="0.25">
      <c r="B957" t="s">
        <v>1027</v>
      </c>
    </row>
    <row r="958" spans="2:2" x14ac:dyDescent="0.25">
      <c r="B958" t="s">
        <v>1028</v>
      </c>
    </row>
    <row r="959" spans="2:2" x14ac:dyDescent="0.25">
      <c r="B959" t="s">
        <v>1029</v>
      </c>
    </row>
    <row r="960" spans="2:2" x14ac:dyDescent="0.25">
      <c r="B960" t="s">
        <v>1030</v>
      </c>
    </row>
    <row r="961" spans="2:2" x14ac:dyDescent="0.25">
      <c r="B961" t="s">
        <v>1031</v>
      </c>
    </row>
    <row r="962" spans="2:2" x14ac:dyDescent="0.25">
      <c r="B962" t="s">
        <v>1032</v>
      </c>
    </row>
    <row r="963" spans="2:2" x14ac:dyDescent="0.25">
      <c r="B963" t="s">
        <v>1033</v>
      </c>
    </row>
    <row r="964" spans="2:2" x14ac:dyDescent="0.25">
      <c r="B964" t="s">
        <v>1034</v>
      </c>
    </row>
    <row r="965" spans="2:2" x14ac:dyDescent="0.25">
      <c r="B965" t="s">
        <v>1035</v>
      </c>
    </row>
    <row r="966" spans="2:2" x14ac:dyDescent="0.25">
      <c r="B966" t="s">
        <v>1036</v>
      </c>
    </row>
    <row r="967" spans="2:2" x14ac:dyDescent="0.25">
      <c r="B967" t="s">
        <v>1037</v>
      </c>
    </row>
    <row r="968" spans="2:2" x14ac:dyDescent="0.25">
      <c r="B968" t="s">
        <v>1038</v>
      </c>
    </row>
    <row r="969" spans="2:2" x14ac:dyDescent="0.25">
      <c r="B969" t="s">
        <v>1039</v>
      </c>
    </row>
    <row r="970" spans="2:2" x14ac:dyDescent="0.25">
      <c r="B970" t="s">
        <v>1040</v>
      </c>
    </row>
    <row r="971" spans="2:2" x14ac:dyDescent="0.25">
      <c r="B971" t="s">
        <v>1041</v>
      </c>
    </row>
    <row r="972" spans="2:2" x14ac:dyDescent="0.25">
      <c r="B972" t="s">
        <v>1042</v>
      </c>
    </row>
    <row r="973" spans="2:2" x14ac:dyDescent="0.25">
      <c r="B973" t="s">
        <v>1043</v>
      </c>
    </row>
    <row r="974" spans="2:2" x14ac:dyDescent="0.25">
      <c r="B974" t="s">
        <v>1044</v>
      </c>
    </row>
    <row r="975" spans="2:2" x14ac:dyDescent="0.25">
      <c r="B975" t="s">
        <v>1045</v>
      </c>
    </row>
    <row r="976" spans="2:2" x14ac:dyDescent="0.25">
      <c r="B976" t="s">
        <v>1046</v>
      </c>
    </row>
    <row r="977" spans="2:2" x14ac:dyDescent="0.25">
      <c r="B977" t="s">
        <v>1047</v>
      </c>
    </row>
    <row r="978" spans="2:2" x14ac:dyDescent="0.25">
      <c r="B978" t="s">
        <v>1048</v>
      </c>
    </row>
    <row r="979" spans="2:2" x14ac:dyDescent="0.25">
      <c r="B979" t="s">
        <v>1049</v>
      </c>
    </row>
    <row r="980" spans="2:2" x14ac:dyDescent="0.25">
      <c r="B980" t="s">
        <v>1050</v>
      </c>
    </row>
    <row r="981" spans="2:2" x14ac:dyDescent="0.25">
      <c r="B981" t="s">
        <v>1051</v>
      </c>
    </row>
    <row r="982" spans="2:2" x14ac:dyDescent="0.25">
      <c r="B982" t="s">
        <v>1052</v>
      </c>
    </row>
    <row r="983" spans="2:2" x14ac:dyDescent="0.25">
      <c r="B983" t="s">
        <v>1053</v>
      </c>
    </row>
    <row r="984" spans="2:2" x14ac:dyDescent="0.25">
      <c r="B984" t="s">
        <v>1054</v>
      </c>
    </row>
    <row r="985" spans="2:2" x14ac:dyDescent="0.25">
      <c r="B985" t="s">
        <v>1055</v>
      </c>
    </row>
    <row r="986" spans="2:2" x14ac:dyDescent="0.25">
      <c r="B986" t="s">
        <v>1056</v>
      </c>
    </row>
    <row r="987" spans="2:2" x14ac:dyDescent="0.25">
      <c r="B987" t="s">
        <v>1057</v>
      </c>
    </row>
    <row r="988" spans="2:2" x14ac:dyDescent="0.25">
      <c r="B988" t="s">
        <v>1058</v>
      </c>
    </row>
    <row r="989" spans="2:2" x14ac:dyDescent="0.25">
      <c r="B989" t="s">
        <v>1059</v>
      </c>
    </row>
    <row r="990" spans="2:2" x14ac:dyDescent="0.25">
      <c r="B990" t="s">
        <v>1060</v>
      </c>
    </row>
    <row r="991" spans="2:2" x14ac:dyDescent="0.25">
      <c r="B991" t="s">
        <v>1061</v>
      </c>
    </row>
    <row r="992" spans="2:2" x14ac:dyDescent="0.25">
      <c r="B992" t="s">
        <v>1062</v>
      </c>
    </row>
    <row r="993" spans="2:2" x14ac:dyDescent="0.25">
      <c r="B993" t="s">
        <v>1063</v>
      </c>
    </row>
    <row r="994" spans="2:2" x14ac:dyDescent="0.25">
      <c r="B994" t="s">
        <v>1064</v>
      </c>
    </row>
    <row r="995" spans="2:2" x14ac:dyDescent="0.25">
      <c r="B995" t="s">
        <v>1065</v>
      </c>
    </row>
    <row r="996" spans="2:2" x14ac:dyDescent="0.25">
      <c r="B996" t="s">
        <v>1066</v>
      </c>
    </row>
    <row r="997" spans="2:2" x14ac:dyDescent="0.25">
      <c r="B997" t="s">
        <v>1067</v>
      </c>
    </row>
    <row r="998" spans="2:2" x14ac:dyDescent="0.25">
      <c r="B998" t="s">
        <v>1068</v>
      </c>
    </row>
    <row r="999" spans="2:2" x14ac:dyDescent="0.25">
      <c r="B999" t="s">
        <v>1069</v>
      </c>
    </row>
    <row r="1000" spans="2:2" x14ac:dyDescent="0.25">
      <c r="B1000" t="s">
        <v>1070</v>
      </c>
    </row>
    <row r="1001" spans="2:2" x14ac:dyDescent="0.25">
      <c r="B1001" t="s">
        <v>1071</v>
      </c>
    </row>
    <row r="1002" spans="2:2" x14ac:dyDescent="0.25">
      <c r="B1002" t="s">
        <v>1072</v>
      </c>
    </row>
    <row r="1003" spans="2:2" x14ac:dyDescent="0.25">
      <c r="B1003" t="s">
        <v>1073</v>
      </c>
    </row>
    <row r="1004" spans="2:2" x14ac:dyDescent="0.25">
      <c r="B1004" t="s">
        <v>1074</v>
      </c>
    </row>
    <row r="1005" spans="2:2" x14ac:dyDescent="0.25">
      <c r="B1005" t="s">
        <v>1075</v>
      </c>
    </row>
    <row r="1006" spans="2:2" x14ac:dyDescent="0.25">
      <c r="B1006" t="s">
        <v>1076</v>
      </c>
    </row>
    <row r="1007" spans="2:2" x14ac:dyDescent="0.25">
      <c r="B1007" t="s">
        <v>1077</v>
      </c>
    </row>
    <row r="1008" spans="2:2" x14ac:dyDescent="0.25">
      <c r="B1008" t="s">
        <v>1078</v>
      </c>
    </row>
    <row r="1009" spans="2:2" x14ac:dyDescent="0.25">
      <c r="B1009" t="s">
        <v>1079</v>
      </c>
    </row>
    <row r="1010" spans="2:2" x14ac:dyDescent="0.25">
      <c r="B1010" t="s">
        <v>1080</v>
      </c>
    </row>
    <row r="1011" spans="2:2" x14ac:dyDescent="0.25">
      <c r="B1011" t="s">
        <v>1081</v>
      </c>
    </row>
    <row r="1012" spans="2:2" x14ac:dyDescent="0.25">
      <c r="B1012" t="s">
        <v>1082</v>
      </c>
    </row>
    <row r="1013" spans="2:2" x14ac:dyDescent="0.25">
      <c r="B1013" t="s">
        <v>1083</v>
      </c>
    </row>
    <row r="1014" spans="2:2" x14ac:dyDescent="0.25">
      <c r="B1014" t="s">
        <v>1084</v>
      </c>
    </row>
    <row r="1015" spans="2:2" x14ac:dyDescent="0.25">
      <c r="B1015" t="s">
        <v>1085</v>
      </c>
    </row>
    <row r="1016" spans="2:2" x14ac:dyDescent="0.25">
      <c r="B1016" t="s">
        <v>1086</v>
      </c>
    </row>
    <row r="1017" spans="2:2" x14ac:dyDescent="0.25">
      <c r="B1017" t="s">
        <v>1087</v>
      </c>
    </row>
    <row r="1018" spans="2:2" x14ac:dyDescent="0.25">
      <c r="B1018" t="s">
        <v>1088</v>
      </c>
    </row>
    <row r="1019" spans="2:2" x14ac:dyDescent="0.25">
      <c r="B1019" t="s">
        <v>1089</v>
      </c>
    </row>
    <row r="1020" spans="2:2" x14ac:dyDescent="0.25">
      <c r="B1020" t="s">
        <v>1090</v>
      </c>
    </row>
    <row r="1021" spans="2:2" x14ac:dyDescent="0.25">
      <c r="B1021" t="s">
        <v>1091</v>
      </c>
    </row>
    <row r="1022" spans="2:2" x14ac:dyDescent="0.25">
      <c r="B1022" t="s">
        <v>1092</v>
      </c>
    </row>
    <row r="1023" spans="2:2" x14ac:dyDescent="0.25">
      <c r="B1023" t="s">
        <v>1093</v>
      </c>
    </row>
    <row r="1024" spans="2:2" x14ac:dyDescent="0.25">
      <c r="B1024" t="s">
        <v>1094</v>
      </c>
    </row>
    <row r="1025" spans="2:2" x14ac:dyDescent="0.25">
      <c r="B1025" t="s">
        <v>1095</v>
      </c>
    </row>
    <row r="1026" spans="2:2" x14ac:dyDescent="0.25">
      <c r="B1026" t="s">
        <v>1096</v>
      </c>
    </row>
    <row r="1027" spans="2:2" x14ac:dyDescent="0.25">
      <c r="B1027" t="s">
        <v>1097</v>
      </c>
    </row>
    <row r="1028" spans="2:2" x14ac:dyDescent="0.25">
      <c r="B1028" t="s">
        <v>1098</v>
      </c>
    </row>
    <row r="1029" spans="2:2" x14ac:dyDescent="0.25">
      <c r="B1029" t="s">
        <v>1099</v>
      </c>
    </row>
    <row r="1030" spans="2:2" x14ac:dyDescent="0.25">
      <c r="B1030" t="s">
        <v>1100</v>
      </c>
    </row>
    <row r="1031" spans="2:2" x14ac:dyDescent="0.25">
      <c r="B1031" t="s">
        <v>1101</v>
      </c>
    </row>
    <row r="1032" spans="2:2" x14ac:dyDescent="0.25">
      <c r="B1032" t="s">
        <v>1102</v>
      </c>
    </row>
    <row r="1033" spans="2:2" x14ac:dyDescent="0.25">
      <c r="B1033" t="s">
        <v>1103</v>
      </c>
    </row>
    <row r="1034" spans="2:2" x14ac:dyDescent="0.25">
      <c r="B1034" t="s">
        <v>1104</v>
      </c>
    </row>
    <row r="1035" spans="2:2" x14ac:dyDescent="0.25">
      <c r="B1035" t="s">
        <v>1105</v>
      </c>
    </row>
    <row r="1036" spans="2:2" x14ac:dyDescent="0.25">
      <c r="B1036" t="s">
        <v>1106</v>
      </c>
    </row>
    <row r="1037" spans="2:2" x14ac:dyDescent="0.25">
      <c r="B1037" t="s">
        <v>1107</v>
      </c>
    </row>
    <row r="1038" spans="2:2" x14ac:dyDescent="0.25">
      <c r="B1038" t="s">
        <v>1108</v>
      </c>
    </row>
    <row r="1039" spans="2:2" x14ac:dyDescent="0.25">
      <c r="B1039" t="s">
        <v>83</v>
      </c>
    </row>
    <row r="1040" spans="2:2" x14ac:dyDescent="0.25">
      <c r="B1040" t="s">
        <v>1109</v>
      </c>
    </row>
    <row r="1041" spans="2:2" x14ac:dyDescent="0.25">
      <c r="B1041" t="s">
        <v>1110</v>
      </c>
    </row>
    <row r="1042" spans="2:2" x14ac:dyDescent="0.25">
      <c r="B1042" t="s">
        <v>1111</v>
      </c>
    </row>
    <row r="1043" spans="2:2" x14ac:dyDescent="0.25">
      <c r="B1043" t="s">
        <v>1112</v>
      </c>
    </row>
    <row r="1044" spans="2:2" x14ac:dyDescent="0.25">
      <c r="B1044" t="s">
        <v>1113</v>
      </c>
    </row>
    <row r="1045" spans="2:2" x14ac:dyDescent="0.25">
      <c r="B1045" t="s">
        <v>1114</v>
      </c>
    </row>
    <row r="1046" spans="2:2" x14ac:dyDescent="0.25">
      <c r="B1046" t="s">
        <v>1115</v>
      </c>
    </row>
    <row r="1047" spans="2:2" x14ac:dyDescent="0.25">
      <c r="B1047" t="s">
        <v>1116</v>
      </c>
    </row>
    <row r="1048" spans="2:2" x14ac:dyDescent="0.25">
      <c r="B1048" t="s">
        <v>1117</v>
      </c>
    </row>
    <row r="1049" spans="2:2" x14ac:dyDescent="0.25">
      <c r="B1049" t="s">
        <v>1118</v>
      </c>
    </row>
    <row r="1050" spans="2:2" x14ac:dyDescent="0.25">
      <c r="B1050" t="s">
        <v>1119</v>
      </c>
    </row>
    <row r="1051" spans="2:2" x14ac:dyDescent="0.25">
      <c r="B1051" t="s">
        <v>1120</v>
      </c>
    </row>
    <row r="1052" spans="2:2" x14ac:dyDescent="0.25">
      <c r="B1052" t="s">
        <v>1121</v>
      </c>
    </row>
    <row r="1053" spans="2:2" x14ac:dyDescent="0.25">
      <c r="B1053" t="s">
        <v>1122</v>
      </c>
    </row>
    <row r="1054" spans="2:2" x14ac:dyDescent="0.25">
      <c r="B1054" t="s">
        <v>1123</v>
      </c>
    </row>
    <row r="1055" spans="2:2" x14ac:dyDescent="0.25">
      <c r="B1055" t="s">
        <v>1124</v>
      </c>
    </row>
    <row r="1056" spans="2:2" x14ac:dyDescent="0.25">
      <c r="B1056" t="s">
        <v>1125</v>
      </c>
    </row>
    <row r="1057" spans="2:2" x14ac:dyDescent="0.25">
      <c r="B1057" t="s">
        <v>1126</v>
      </c>
    </row>
    <row r="1058" spans="2:2" x14ac:dyDescent="0.25">
      <c r="B1058" t="s">
        <v>1127</v>
      </c>
    </row>
    <row r="1059" spans="2:2" x14ac:dyDescent="0.25">
      <c r="B1059" t="s">
        <v>1128</v>
      </c>
    </row>
    <row r="1060" spans="2:2" x14ac:dyDescent="0.25">
      <c r="B1060" t="s">
        <v>1129</v>
      </c>
    </row>
    <row r="1061" spans="2:2" x14ac:dyDescent="0.25">
      <c r="B1061" t="s">
        <v>1130</v>
      </c>
    </row>
    <row r="1062" spans="2:2" x14ac:dyDescent="0.25">
      <c r="B1062" t="s">
        <v>1131</v>
      </c>
    </row>
    <row r="1063" spans="2:2" x14ac:dyDescent="0.25">
      <c r="B1063" t="s">
        <v>1132</v>
      </c>
    </row>
    <row r="1064" spans="2:2" x14ac:dyDescent="0.25">
      <c r="B1064" t="s">
        <v>1133</v>
      </c>
    </row>
    <row r="1065" spans="2:2" x14ac:dyDescent="0.25">
      <c r="B1065" t="s">
        <v>1134</v>
      </c>
    </row>
    <row r="1066" spans="2:2" x14ac:dyDescent="0.25">
      <c r="B1066" t="s">
        <v>1135</v>
      </c>
    </row>
    <row r="1067" spans="2:2" x14ac:dyDescent="0.25">
      <c r="B1067" t="s">
        <v>1136</v>
      </c>
    </row>
    <row r="1068" spans="2:2" x14ac:dyDescent="0.25">
      <c r="B1068" t="s">
        <v>1137</v>
      </c>
    </row>
    <row r="1069" spans="2:2" x14ac:dyDescent="0.25">
      <c r="B1069" t="s">
        <v>1138</v>
      </c>
    </row>
    <row r="1070" spans="2:2" x14ac:dyDescent="0.25">
      <c r="B1070" t="s">
        <v>1139</v>
      </c>
    </row>
    <row r="1071" spans="2:2" x14ac:dyDescent="0.25">
      <c r="B1071" t="s">
        <v>1140</v>
      </c>
    </row>
    <row r="1072" spans="2:2" x14ac:dyDescent="0.25">
      <c r="B1072" t="s">
        <v>1141</v>
      </c>
    </row>
    <row r="1073" spans="2:2" x14ac:dyDescent="0.25">
      <c r="B1073" t="s">
        <v>1142</v>
      </c>
    </row>
    <row r="1074" spans="2:2" x14ac:dyDescent="0.25">
      <c r="B1074" t="s">
        <v>1143</v>
      </c>
    </row>
    <row r="1075" spans="2:2" x14ac:dyDescent="0.25">
      <c r="B1075" t="s">
        <v>1144</v>
      </c>
    </row>
    <row r="1076" spans="2:2" x14ac:dyDescent="0.25">
      <c r="B1076" t="s">
        <v>1145</v>
      </c>
    </row>
    <row r="1077" spans="2:2" x14ac:dyDescent="0.25">
      <c r="B1077" t="s">
        <v>1146</v>
      </c>
    </row>
    <row r="1078" spans="2:2" x14ac:dyDescent="0.25">
      <c r="B1078" t="s">
        <v>1147</v>
      </c>
    </row>
    <row r="1079" spans="2:2" x14ac:dyDescent="0.25">
      <c r="B1079" t="s">
        <v>1148</v>
      </c>
    </row>
    <row r="1080" spans="2:2" x14ac:dyDescent="0.25">
      <c r="B1080" t="s">
        <v>1149</v>
      </c>
    </row>
    <row r="1081" spans="2:2" x14ac:dyDescent="0.25">
      <c r="B1081" t="s">
        <v>1150</v>
      </c>
    </row>
    <row r="1082" spans="2:2" x14ac:dyDescent="0.25">
      <c r="B1082" t="s">
        <v>1151</v>
      </c>
    </row>
    <row r="1083" spans="2:2" x14ac:dyDescent="0.25">
      <c r="B1083" t="s">
        <v>1152</v>
      </c>
    </row>
    <row r="1084" spans="2:2" x14ac:dyDescent="0.25">
      <c r="B1084" t="s">
        <v>1153</v>
      </c>
    </row>
    <row r="1085" spans="2:2" x14ac:dyDescent="0.25">
      <c r="B1085" t="s">
        <v>1154</v>
      </c>
    </row>
    <row r="1086" spans="2:2" x14ac:dyDescent="0.25">
      <c r="B1086" t="s">
        <v>1155</v>
      </c>
    </row>
    <row r="1087" spans="2:2" x14ac:dyDescent="0.25">
      <c r="B1087" t="s">
        <v>1156</v>
      </c>
    </row>
    <row r="1088" spans="2:2" x14ac:dyDescent="0.25">
      <c r="B1088" t="s">
        <v>1157</v>
      </c>
    </row>
    <row r="1089" spans="2:2" x14ac:dyDescent="0.25">
      <c r="B1089" t="s">
        <v>1158</v>
      </c>
    </row>
    <row r="1090" spans="2:2" x14ac:dyDescent="0.25">
      <c r="B1090" t="s">
        <v>1159</v>
      </c>
    </row>
    <row r="1091" spans="2:2" x14ac:dyDescent="0.25">
      <c r="B1091" t="s">
        <v>1160</v>
      </c>
    </row>
    <row r="1092" spans="2:2" x14ac:dyDescent="0.25">
      <c r="B1092" t="s">
        <v>1161</v>
      </c>
    </row>
    <row r="1093" spans="2:2" x14ac:dyDescent="0.25">
      <c r="B1093" t="s">
        <v>1162</v>
      </c>
    </row>
    <row r="1094" spans="2:2" x14ac:dyDescent="0.25">
      <c r="B1094" t="s">
        <v>1163</v>
      </c>
    </row>
    <row r="1095" spans="2:2" x14ac:dyDescent="0.25">
      <c r="B1095" t="s">
        <v>1164</v>
      </c>
    </row>
    <row r="1096" spans="2:2" x14ac:dyDescent="0.25">
      <c r="B1096" t="s">
        <v>1165</v>
      </c>
    </row>
    <row r="1097" spans="2:2" x14ac:dyDescent="0.25">
      <c r="B1097" t="s">
        <v>1166</v>
      </c>
    </row>
    <row r="1098" spans="2:2" x14ac:dyDescent="0.25">
      <c r="B1098" t="s">
        <v>1167</v>
      </c>
    </row>
    <row r="1099" spans="2:2" x14ac:dyDescent="0.25">
      <c r="B1099" t="s">
        <v>1168</v>
      </c>
    </row>
    <row r="1100" spans="2:2" x14ac:dyDescent="0.25">
      <c r="B1100" t="s">
        <v>1169</v>
      </c>
    </row>
    <row r="1101" spans="2:2" x14ac:dyDescent="0.25">
      <c r="B1101" t="s">
        <v>1170</v>
      </c>
    </row>
    <row r="1102" spans="2:2" x14ac:dyDescent="0.25">
      <c r="B1102" t="s">
        <v>1171</v>
      </c>
    </row>
    <row r="1103" spans="2:2" x14ac:dyDescent="0.25">
      <c r="B1103" t="s">
        <v>1172</v>
      </c>
    </row>
    <row r="1104" spans="2:2" x14ac:dyDescent="0.25">
      <c r="B1104" t="s">
        <v>1173</v>
      </c>
    </row>
    <row r="1105" spans="2:2" x14ac:dyDescent="0.25">
      <c r="B1105" t="s">
        <v>1174</v>
      </c>
    </row>
    <row r="1106" spans="2:2" x14ac:dyDescent="0.25">
      <c r="B1106" t="s">
        <v>1175</v>
      </c>
    </row>
    <row r="1107" spans="2:2" x14ac:dyDescent="0.25">
      <c r="B1107" t="s">
        <v>1176</v>
      </c>
    </row>
    <row r="1108" spans="2:2" x14ac:dyDescent="0.25">
      <c r="B1108" t="s">
        <v>1177</v>
      </c>
    </row>
    <row r="1109" spans="2:2" x14ac:dyDescent="0.25">
      <c r="B1109" t="s">
        <v>1178</v>
      </c>
    </row>
    <row r="1110" spans="2:2" x14ac:dyDescent="0.25">
      <c r="B1110" t="s">
        <v>1179</v>
      </c>
    </row>
    <row r="1111" spans="2:2" x14ac:dyDescent="0.25">
      <c r="B1111" t="s">
        <v>59</v>
      </c>
    </row>
    <row r="1112" spans="2:2" x14ac:dyDescent="0.25">
      <c r="B1112" t="s">
        <v>80</v>
      </c>
    </row>
    <row r="1113" spans="2:2" x14ac:dyDescent="0.25">
      <c r="B1113" t="s">
        <v>1180</v>
      </c>
    </row>
    <row r="1114" spans="2:2" x14ac:dyDescent="0.25">
      <c r="B1114" t="s">
        <v>1181</v>
      </c>
    </row>
    <row r="1115" spans="2:2" x14ac:dyDescent="0.25">
      <c r="B1115" t="s">
        <v>1182</v>
      </c>
    </row>
    <row r="1116" spans="2:2" x14ac:dyDescent="0.25">
      <c r="B1116" t="s">
        <v>1183</v>
      </c>
    </row>
    <row r="1117" spans="2:2" x14ac:dyDescent="0.25">
      <c r="B1117" t="s">
        <v>1184</v>
      </c>
    </row>
    <row r="1118" spans="2:2" x14ac:dyDescent="0.25">
      <c r="B1118" t="s">
        <v>1185</v>
      </c>
    </row>
    <row r="1119" spans="2:2" x14ac:dyDescent="0.25">
      <c r="B1119" t="s">
        <v>1186</v>
      </c>
    </row>
    <row r="1120" spans="2:2" x14ac:dyDescent="0.25">
      <c r="B1120" t="s">
        <v>1187</v>
      </c>
    </row>
    <row r="1121" spans="2:2" x14ac:dyDescent="0.25">
      <c r="B1121" t="s">
        <v>1188</v>
      </c>
    </row>
    <row r="1122" spans="2:2" x14ac:dyDescent="0.25">
      <c r="B1122" t="s">
        <v>1189</v>
      </c>
    </row>
    <row r="1123" spans="2:2" x14ac:dyDescent="0.25">
      <c r="B1123" t="s">
        <v>1190</v>
      </c>
    </row>
    <row r="1124" spans="2:2" x14ac:dyDescent="0.25">
      <c r="B1124" t="s">
        <v>1191</v>
      </c>
    </row>
    <row r="1125" spans="2:2" x14ac:dyDescent="0.25">
      <c r="B1125" t="s">
        <v>1192</v>
      </c>
    </row>
    <row r="1126" spans="2:2" x14ac:dyDescent="0.25">
      <c r="B1126" t="s">
        <v>1193</v>
      </c>
    </row>
    <row r="1127" spans="2:2" x14ac:dyDescent="0.25">
      <c r="B1127" t="s">
        <v>1194</v>
      </c>
    </row>
    <row r="1128" spans="2:2" x14ac:dyDescent="0.25">
      <c r="B1128" t="s">
        <v>1195</v>
      </c>
    </row>
    <row r="1129" spans="2:2" x14ac:dyDescent="0.25">
      <c r="B1129" t="s">
        <v>1196</v>
      </c>
    </row>
    <row r="1130" spans="2:2" x14ac:dyDescent="0.25">
      <c r="B1130" t="s">
        <v>1197</v>
      </c>
    </row>
    <row r="1131" spans="2:2" x14ac:dyDescent="0.25">
      <c r="B1131" t="s">
        <v>1198</v>
      </c>
    </row>
    <row r="1132" spans="2:2" x14ac:dyDescent="0.25">
      <c r="B1132" t="s">
        <v>1199</v>
      </c>
    </row>
    <row r="1133" spans="2:2" x14ac:dyDescent="0.25">
      <c r="B1133" t="s">
        <v>1200</v>
      </c>
    </row>
    <row r="1134" spans="2:2" x14ac:dyDescent="0.25">
      <c r="B1134" t="s">
        <v>1201</v>
      </c>
    </row>
    <row r="1135" spans="2:2" x14ac:dyDescent="0.25">
      <c r="B1135" t="s">
        <v>1202</v>
      </c>
    </row>
    <row r="1136" spans="2:2" x14ac:dyDescent="0.25">
      <c r="B1136" t="s">
        <v>1203</v>
      </c>
    </row>
    <row r="1137" spans="2:2" x14ac:dyDescent="0.25">
      <c r="B1137" t="s">
        <v>1204</v>
      </c>
    </row>
    <row r="1138" spans="2:2" x14ac:dyDescent="0.25">
      <c r="B1138" t="s">
        <v>1205</v>
      </c>
    </row>
    <row r="1139" spans="2:2" x14ac:dyDescent="0.25">
      <c r="B1139" t="s">
        <v>1206</v>
      </c>
    </row>
    <row r="1140" spans="2:2" x14ac:dyDescent="0.25">
      <c r="B1140" t="s">
        <v>1207</v>
      </c>
    </row>
    <row r="1141" spans="2:2" x14ac:dyDescent="0.25">
      <c r="B1141" t="s">
        <v>1208</v>
      </c>
    </row>
    <row r="1142" spans="2:2" x14ac:dyDescent="0.25">
      <c r="B1142" t="s">
        <v>1209</v>
      </c>
    </row>
    <row r="1143" spans="2:2" x14ac:dyDescent="0.25">
      <c r="B1143" t="s">
        <v>1210</v>
      </c>
    </row>
    <row r="1144" spans="2:2" x14ac:dyDescent="0.25">
      <c r="B1144" t="s">
        <v>1211</v>
      </c>
    </row>
    <row r="1145" spans="2:2" x14ac:dyDescent="0.25">
      <c r="B1145" t="s">
        <v>1212</v>
      </c>
    </row>
    <row r="1146" spans="2:2" x14ac:dyDescent="0.25">
      <c r="B1146" t="s">
        <v>1213</v>
      </c>
    </row>
    <row r="1147" spans="2:2" x14ac:dyDescent="0.25">
      <c r="B1147" t="s">
        <v>1214</v>
      </c>
    </row>
    <row r="1148" spans="2:2" x14ac:dyDescent="0.25">
      <c r="B1148" t="s">
        <v>1215</v>
      </c>
    </row>
    <row r="1149" spans="2:2" x14ac:dyDescent="0.25">
      <c r="B1149" t="s">
        <v>1216</v>
      </c>
    </row>
    <row r="1150" spans="2:2" x14ac:dyDescent="0.25">
      <c r="B1150" t="s">
        <v>1217</v>
      </c>
    </row>
    <row r="1151" spans="2:2" x14ac:dyDescent="0.25">
      <c r="B1151" t="s">
        <v>1218</v>
      </c>
    </row>
    <row r="1152" spans="2:2" x14ac:dyDescent="0.25">
      <c r="B1152" t="s">
        <v>1219</v>
      </c>
    </row>
    <row r="1153" spans="2:2" x14ac:dyDescent="0.25">
      <c r="B1153" t="s">
        <v>1220</v>
      </c>
    </row>
    <row r="1154" spans="2:2" x14ac:dyDescent="0.25">
      <c r="B1154" t="s">
        <v>1221</v>
      </c>
    </row>
    <row r="1155" spans="2:2" x14ac:dyDescent="0.25">
      <c r="B1155" t="s">
        <v>1222</v>
      </c>
    </row>
    <row r="1156" spans="2:2" x14ac:dyDescent="0.25">
      <c r="B1156" t="s">
        <v>1223</v>
      </c>
    </row>
    <row r="1157" spans="2:2" x14ac:dyDescent="0.25">
      <c r="B1157" t="s">
        <v>1224</v>
      </c>
    </row>
    <row r="1158" spans="2:2" x14ac:dyDescent="0.25">
      <c r="B1158" t="s">
        <v>1225</v>
      </c>
    </row>
    <row r="1159" spans="2:2" x14ac:dyDescent="0.25">
      <c r="B1159" t="s">
        <v>1226</v>
      </c>
    </row>
    <row r="1160" spans="2:2" x14ac:dyDescent="0.25">
      <c r="B1160" t="s">
        <v>1227</v>
      </c>
    </row>
    <row r="1161" spans="2:2" x14ac:dyDescent="0.25">
      <c r="B1161" t="s">
        <v>1228</v>
      </c>
    </row>
    <row r="1162" spans="2:2" x14ac:dyDescent="0.25">
      <c r="B1162" t="s">
        <v>1229</v>
      </c>
    </row>
    <row r="1163" spans="2:2" x14ac:dyDescent="0.25">
      <c r="B1163" t="s">
        <v>1230</v>
      </c>
    </row>
    <row r="1164" spans="2:2" x14ac:dyDescent="0.25">
      <c r="B1164" t="s">
        <v>1231</v>
      </c>
    </row>
    <row r="1165" spans="2:2" x14ac:dyDescent="0.25">
      <c r="B1165" t="s">
        <v>1232</v>
      </c>
    </row>
    <row r="1166" spans="2:2" x14ac:dyDescent="0.25">
      <c r="B1166" t="s">
        <v>1233</v>
      </c>
    </row>
    <row r="1167" spans="2:2" x14ac:dyDescent="0.25">
      <c r="B1167" t="s">
        <v>1234</v>
      </c>
    </row>
    <row r="1168" spans="2:2" x14ac:dyDescent="0.25">
      <c r="B1168" t="s">
        <v>1235</v>
      </c>
    </row>
    <row r="1169" spans="2:2" x14ac:dyDescent="0.25">
      <c r="B1169" t="s">
        <v>1236</v>
      </c>
    </row>
    <row r="1170" spans="2:2" x14ac:dyDescent="0.25">
      <c r="B1170" t="s">
        <v>1237</v>
      </c>
    </row>
    <row r="1171" spans="2:2" x14ac:dyDescent="0.25">
      <c r="B1171" t="s">
        <v>1238</v>
      </c>
    </row>
    <row r="1172" spans="2:2" x14ac:dyDescent="0.25">
      <c r="B1172" t="s">
        <v>1239</v>
      </c>
    </row>
    <row r="1173" spans="2:2" x14ac:dyDescent="0.25">
      <c r="B1173" t="s">
        <v>1240</v>
      </c>
    </row>
    <row r="1174" spans="2:2" x14ac:dyDescent="0.25">
      <c r="B1174" t="s">
        <v>1241</v>
      </c>
    </row>
    <row r="1175" spans="2:2" x14ac:dyDescent="0.25">
      <c r="B1175" t="s">
        <v>1242</v>
      </c>
    </row>
    <row r="1176" spans="2:2" x14ac:dyDescent="0.25">
      <c r="B1176" t="s">
        <v>1243</v>
      </c>
    </row>
    <row r="1177" spans="2:2" x14ac:dyDescent="0.25">
      <c r="B1177" t="s">
        <v>1244</v>
      </c>
    </row>
    <row r="1178" spans="2:2" x14ac:dyDescent="0.25">
      <c r="B1178" t="s">
        <v>1245</v>
      </c>
    </row>
    <row r="1179" spans="2:2" x14ac:dyDescent="0.25">
      <c r="B1179" t="s">
        <v>1246</v>
      </c>
    </row>
    <row r="1180" spans="2:2" x14ac:dyDescent="0.25">
      <c r="B1180" t="s">
        <v>1247</v>
      </c>
    </row>
    <row r="1181" spans="2:2" x14ac:dyDescent="0.25">
      <c r="B1181" t="s">
        <v>1248</v>
      </c>
    </row>
    <row r="1182" spans="2:2" x14ac:dyDescent="0.25">
      <c r="B1182" t="s">
        <v>1249</v>
      </c>
    </row>
    <row r="1183" spans="2:2" x14ac:dyDescent="0.25">
      <c r="B1183" t="s">
        <v>1250</v>
      </c>
    </row>
    <row r="1184" spans="2:2" x14ac:dyDescent="0.25">
      <c r="B1184" t="s">
        <v>1251</v>
      </c>
    </row>
    <row r="1185" spans="2:2" x14ac:dyDescent="0.25">
      <c r="B1185" t="s">
        <v>1252</v>
      </c>
    </row>
    <row r="1186" spans="2:2" x14ac:dyDescent="0.25">
      <c r="B1186" t="s">
        <v>1253</v>
      </c>
    </row>
    <row r="1187" spans="2:2" x14ac:dyDescent="0.25">
      <c r="B1187" t="s">
        <v>1254</v>
      </c>
    </row>
    <row r="1188" spans="2:2" x14ac:dyDescent="0.25">
      <c r="B1188" t="s">
        <v>85</v>
      </c>
    </row>
    <row r="1189" spans="2:2" x14ac:dyDescent="0.25">
      <c r="B1189" t="s">
        <v>1255</v>
      </c>
    </row>
    <row r="1190" spans="2:2" x14ac:dyDescent="0.25">
      <c r="B1190" t="s">
        <v>1256</v>
      </c>
    </row>
    <row r="1191" spans="2:2" x14ac:dyDescent="0.25">
      <c r="B1191" t="s">
        <v>1257</v>
      </c>
    </row>
    <row r="1192" spans="2:2" x14ac:dyDescent="0.25">
      <c r="B1192" t="s">
        <v>1258</v>
      </c>
    </row>
    <row r="1193" spans="2:2" x14ac:dyDescent="0.25">
      <c r="B1193" t="s">
        <v>1259</v>
      </c>
    </row>
    <row r="1194" spans="2:2" x14ac:dyDescent="0.25">
      <c r="B1194" t="s">
        <v>1260</v>
      </c>
    </row>
    <row r="1195" spans="2:2" x14ac:dyDescent="0.25">
      <c r="B1195" t="s">
        <v>1261</v>
      </c>
    </row>
    <row r="1196" spans="2:2" x14ac:dyDescent="0.25">
      <c r="B1196" t="s">
        <v>1262</v>
      </c>
    </row>
    <row r="1197" spans="2:2" x14ac:dyDescent="0.25">
      <c r="B1197" t="s">
        <v>1263</v>
      </c>
    </row>
    <row r="1198" spans="2:2" x14ac:dyDescent="0.25">
      <c r="B1198" t="s">
        <v>1264</v>
      </c>
    </row>
    <row r="1199" spans="2:2" x14ac:dyDescent="0.25">
      <c r="B1199" t="s">
        <v>1265</v>
      </c>
    </row>
    <row r="1200" spans="2:2" x14ac:dyDescent="0.25">
      <c r="B1200" t="s">
        <v>1266</v>
      </c>
    </row>
    <row r="1201" spans="2:2" x14ac:dyDescent="0.25">
      <c r="B1201" t="s">
        <v>1267</v>
      </c>
    </row>
    <row r="1202" spans="2:2" x14ac:dyDescent="0.25">
      <c r="B1202" t="s">
        <v>1268</v>
      </c>
    </row>
    <row r="1203" spans="2:2" x14ac:dyDescent="0.25">
      <c r="B1203" t="s">
        <v>1269</v>
      </c>
    </row>
    <row r="1204" spans="2:2" x14ac:dyDescent="0.25">
      <c r="B1204" t="s">
        <v>1270</v>
      </c>
    </row>
    <row r="1205" spans="2:2" x14ac:dyDescent="0.25">
      <c r="B1205" t="s">
        <v>1271</v>
      </c>
    </row>
    <row r="1206" spans="2:2" x14ac:dyDescent="0.25">
      <c r="B1206" t="s">
        <v>1272</v>
      </c>
    </row>
    <row r="1207" spans="2:2" x14ac:dyDescent="0.25">
      <c r="B1207" t="s">
        <v>1273</v>
      </c>
    </row>
    <row r="1208" spans="2:2" x14ac:dyDescent="0.25">
      <c r="B1208" t="s">
        <v>1274</v>
      </c>
    </row>
    <row r="1209" spans="2:2" x14ac:dyDescent="0.25">
      <c r="B1209" t="s">
        <v>1275</v>
      </c>
    </row>
    <row r="1210" spans="2:2" x14ac:dyDescent="0.25">
      <c r="B1210" t="s">
        <v>1276</v>
      </c>
    </row>
    <row r="1211" spans="2:2" x14ac:dyDescent="0.25">
      <c r="B1211" t="s">
        <v>1277</v>
      </c>
    </row>
    <row r="1212" spans="2:2" x14ac:dyDescent="0.25">
      <c r="B1212" t="s">
        <v>1278</v>
      </c>
    </row>
    <row r="1213" spans="2:2" x14ac:dyDescent="0.25">
      <c r="B1213" t="s">
        <v>1279</v>
      </c>
    </row>
    <row r="1214" spans="2:2" x14ac:dyDescent="0.25">
      <c r="B1214" t="s">
        <v>1280</v>
      </c>
    </row>
    <row r="1215" spans="2:2" x14ac:dyDescent="0.25">
      <c r="B1215" t="s">
        <v>1281</v>
      </c>
    </row>
    <row r="1216" spans="2:2" x14ac:dyDescent="0.25">
      <c r="B1216" t="s">
        <v>1282</v>
      </c>
    </row>
    <row r="1217" spans="2:2" x14ac:dyDescent="0.25">
      <c r="B1217" t="s">
        <v>1283</v>
      </c>
    </row>
    <row r="1218" spans="2:2" x14ac:dyDescent="0.25">
      <c r="B1218" t="s">
        <v>1284</v>
      </c>
    </row>
    <row r="1219" spans="2:2" x14ac:dyDescent="0.25">
      <c r="B1219" t="s">
        <v>1285</v>
      </c>
    </row>
    <row r="1220" spans="2:2" x14ac:dyDescent="0.25">
      <c r="B1220" t="s">
        <v>1286</v>
      </c>
    </row>
    <row r="1221" spans="2:2" x14ac:dyDescent="0.25">
      <c r="B1221" t="s">
        <v>1287</v>
      </c>
    </row>
    <row r="1222" spans="2:2" x14ac:dyDescent="0.25">
      <c r="B1222" t="s">
        <v>1288</v>
      </c>
    </row>
    <row r="1223" spans="2:2" x14ac:dyDescent="0.25">
      <c r="B1223" t="s">
        <v>1289</v>
      </c>
    </row>
    <row r="1224" spans="2:2" x14ac:dyDescent="0.25">
      <c r="B1224" t="s">
        <v>1290</v>
      </c>
    </row>
    <row r="1225" spans="2:2" x14ac:dyDescent="0.25">
      <c r="B1225" t="s">
        <v>1291</v>
      </c>
    </row>
    <row r="1226" spans="2:2" x14ac:dyDescent="0.25">
      <c r="B1226" t="s">
        <v>1292</v>
      </c>
    </row>
    <row r="1227" spans="2:2" x14ac:dyDescent="0.25">
      <c r="B1227" t="s">
        <v>89</v>
      </c>
    </row>
    <row r="1228" spans="2:2" x14ac:dyDescent="0.25">
      <c r="B1228" t="s">
        <v>1293</v>
      </c>
    </row>
    <row r="1229" spans="2:2" x14ac:dyDescent="0.25">
      <c r="B1229" t="s">
        <v>1294</v>
      </c>
    </row>
    <row r="1230" spans="2:2" x14ac:dyDescent="0.25">
      <c r="B1230" t="s">
        <v>1295</v>
      </c>
    </row>
    <row r="1231" spans="2:2" x14ac:dyDescent="0.25">
      <c r="B1231" t="s">
        <v>1296</v>
      </c>
    </row>
    <row r="1232" spans="2:2" x14ac:dyDescent="0.25">
      <c r="B1232" t="s">
        <v>1297</v>
      </c>
    </row>
    <row r="1233" spans="2:2" x14ac:dyDescent="0.25">
      <c r="B1233" t="s">
        <v>1298</v>
      </c>
    </row>
    <row r="1234" spans="2:2" x14ac:dyDescent="0.25">
      <c r="B1234" t="s">
        <v>1299</v>
      </c>
    </row>
    <row r="1235" spans="2:2" x14ac:dyDescent="0.25">
      <c r="B1235" t="s">
        <v>1300</v>
      </c>
    </row>
    <row r="1236" spans="2:2" x14ac:dyDescent="0.25">
      <c r="B1236" t="s">
        <v>1301</v>
      </c>
    </row>
    <row r="1237" spans="2:2" x14ac:dyDescent="0.25">
      <c r="B1237" t="s">
        <v>1302</v>
      </c>
    </row>
    <row r="1238" spans="2:2" x14ac:dyDescent="0.25">
      <c r="B1238" t="s">
        <v>1303</v>
      </c>
    </row>
    <row r="1239" spans="2:2" x14ac:dyDescent="0.25">
      <c r="B1239" t="s">
        <v>1304</v>
      </c>
    </row>
    <row r="1240" spans="2:2" x14ac:dyDescent="0.25">
      <c r="B1240" t="s">
        <v>1305</v>
      </c>
    </row>
    <row r="1241" spans="2:2" x14ac:dyDescent="0.25">
      <c r="B1241" t="s">
        <v>1306</v>
      </c>
    </row>
    <row r="1242" spans="2:2" x14ac:dyDescent="0.25">
      <c r="B1242" t="s">
        <v>1307</v>
      </c>
    </row>
    <row r="1243" spans="2:2" x14ac:dyDescent="0.25">
      <c r="B1243" t="s">
        <v>1308</v>
      </c>
    </row>
    <row r="1244" spans="2:2" x14ac:dyDescent="0.25">
      <c r="B1244" t="s">
        <v>1309</v>
      </c>
    </row>
    <row r="1245" spans="2:2" x14ac:dyDescent="0.25">
      <c r="B1245" t="s">
        <v>1310</v>
      </c>
    </row>
    <row r="1246" spans="2:2" x14ac:dyDescent="0.25">
      <c r="B1246" t="s">
        <v>1311</v>
      </c>
    </row>
    <row r="1247" spans="2:2" x14ac:dyDescent="0.25">
      <c r="B1247" t="s">
        <v>1312</v>
      </c>
    </row>
    <row r="1248" spans="2:2" x14ac:dyDescent="0.25">
      <c r="B1248" t="s">
        <v>1313</v>
      </c>
    </row>
    <row r="1249" spans="2:2" x14ac:dyDescent="0.25">
      <c r="B1249" t="s">
        <v>1314</v>
      </c>
    </row>
    <row r="1250" spans="2:2" x14ac:dyDescent="0.25">
      <c r="B1250" t="s">
        <v>1315</v>
      </c>
    </row>
    <row r="1251" spans="2:2" x14ac:dyDescent="0.25">
      <c r="B1251" t="s">
        <v>50</v>
      </c>
    </row>
    <row r="1252" spans="2:2" x14ac:dyDescent="0.25">
      <c r="B1252" t="s">
        <v>1316</v>
      </c>
    </row>
    <row r="1253" spans="2:2" x14ac:dyDescent="0.25">
      <c r="B1253" t="s">
        <v>1317</v>
      </c>
    </row>
    <row r="1254" spans="2:2" x14ac:dyDescent="0.25">
      <c r="B1254" t="s">
        <v>1318</v>
      </c>
    </row>
    <row r="1255" spans="2:2" x14ac:dyDescent="0.25">
      <c r="B1255" t="s">
        <v>1319</v>
      </c>
    </row>
    <row r="1256" spans="2:2" x14ac:dyDescent="0.25">
      <c r="B1256" t="s">
        <v>1320</v>
      </c>
    </row>
    <row r="1257" spans="2:2" x14ac:dyDescent="0.25">
      <c r="B1257" t="s">
        <v>1321</v>
      </c>
    </row>
    <row r="1258" spans="2:2" x14ac:dyDescent="0.25">
      <c r="B1258" t="s">
        <v>1322</v>
      </c>
    </row>
    <row r="1259" spans="2:2" x14ac:dyDescent="0.25">
      <c r="B1259" t="s">
        <v>1323</v>
      </c>
    </row>
    <row r="1260" spans="2:2" x14ac:dyDescent="0.25">
      <c r="B1260" t="s">
        <v>1324</v>
      </c>
    </row>
    <row r="1261" spans="2:2" x14ac:dyDescent="0.25">
      <c r="B1261" t="s">
        <v>1325</v>
      </c>
    </row>
    <row r="1262" spans="2:2" x14ac:dyDescent="0.25">
      <c r="B1262" t="s">
        <v>1326</v>
      </c>
    </row>
    <row r="1263" spans="2:2" x14ac:dyDescent="0.25">
      <c r="B1263" t="s">
        <v>1327</v>
      </c>
    </row>
    <row r="1264" spans="2:2" x14ac:dyDescent="0.25">
      <c r="B1264" t="s">
        <v>1328</v>
      </c>
    </row>
    <row r="1265" spans="2:2" x14ac:dyDescent="0.25">
      <c r="B1265" t="s">
        <v>1329</v>
      </c>
    </row>
    <row r="1266" spans="2:2" x14ac:dyDescent="0.25">
      <c r="B1266" t="s">
        <v>1330</v>
      </c>
    </row>
    <row r="1267" spans="2:2" x14ac:dyDescent="0.25">
      <c r="B1267" t="s">
        <v>1331</v>
      </c>
    </row>
    <row r="1268" spans="2:2" x14ac:dyDescent="0.25">
      <c r="B1268" t="s">
        <v>1332</v>
      </c>
    </row>
    <row r="1269" spans="2:2" x14ac:dyDescent="0.25">
      <c r="B1269" t="s">
        <v>1333</v>
      </c>
    </row>
    <row r="1270" spans="2:2" x14ac:dyDescent="0.25">
      <c r="B1270" t="s">
        <v>1334</v>
      </c>
    </row>
    <row r="1271" spans="2:2" x14ac:dyDescent="0.25">
      <c r="B1271" t="s">
        <v>1335</v>
      </c>
    </row>
    <row r="1272" spans="2:2" x14ac:dyDescent="0.25">
      <c r="B1272" t="s">
        <v>1336</v>
      </c>
    </row>
    <row r="1273" spans="2:2" x14ac:dyDescent="0.25">
      <c r="B1273" t="s">
        <v>1337</v>
      </c>
    </row>
    <row r="1274" spans="2:2" x14ac:dyDescent="0.25">
      <c r="B1274" t="s">
        <v>1338</v>
      </c>
    </row>
    <row r="1275" spans="2:2" x14ac:dyDescent="0.25">
      <c r="B1275" t="s">
        <v>1339</v>
      </c>
    </row>
    <row r="1276" spans="2:2" x14ac:dyDescent="0.25">
      <c r="B1276" t="s">
        <v>1340</v>
      </c>
    </row>
    <row r="1277" spans="2:2" x14ac:dyDescent="0.25">
      <c r="B1277" t="s">
        <v>1341</v>
      </c>
    </row>
    <row r="1278" spans="2:2" x14ac:dyDescent="0.25">
      <c r="B1278" t="s">
        <v>1342</v>
      </c>
    </row>
    <row r="1279" spans="2:2" x14ac:dyDescent="0.25">
      <c r="B1279" t="s">
        <v>1343</v>
      </c>
    </row>
    <row r="1280" spans="2:2" x14ac:dyDescent="0.25">
      <c r="B1280" t="s">
        <v>1344</v>
      </c>
    </row>
    <row r="1281" spans="2:2" x14ac:dyDescent="0.25">
      <c r="B1281" t="s">
        <v>1345</v>
      </c>
    </row>
    <row r="1282" spans="2:2" x14ac:dyDescent="0.25">
      <c r="B1282" t="s">
        <v>1346</v>
      </c>
    </row>
    <row r="1283" spans="2:2" x14ac:dyDescent="0.25">
      <c r="B1283" t="s">
        <v>1347</v>
      </c>
    </row>
    <row r="1284" spans="2:2" x14ac:dyDescent="0.25">
      <c r="B1284" t="s">
        <v>1348</v>
      </c>
    </row>
    <row r="1285" spans="2:2" x14ac:dyDescent="0.25">
      <c r="B1285" t="s">
        <v>1349</v>
      </c>
    </row>
    <row r="1286" spans="2:2" x14ac:dyDescent="0.25">
      <c r="B1286" t="s">
        <v>1350</v>
      </c>
    </row>
    <row r="1287" spans="2:2" x14ac:dyDescent="0.25">
      <c r="B1287" t="s">
        <v>1351</v>
      </c>
    </row>
    <row r="1288" spans="2:2" x14ac:dyDescent="0.25">
      <c r="B1288" t="s">
        <v>1352</v>
      </c>
    </row>
    <row r="1289" spans="2:2" x14ac:dyDescent="0.25">
      <c r="B1289" t="s">
        <v>1353</v>
      </c>
    </row>
    <row r="1290" spans="2:2" x14ac:dyDescent="0.25">
      <c r="B1290" t="s">
        <v>1354</v>
      </c>
    </row>
    <row r="1291" spans="2:2" x14ac:dyDescent="0.25">
      <c r="B1291" t="s">
        <v>1355</v>
      </c>
    </row>
    <row r="1292" spans="2:2" x14ac:dyDescent="0.25">
      <c r="B1292" t="s">
        <v>1356</v>
      </c>
    </row>
    <row r="1293" spans="2:2" x14ac:dyDescent="0.25">
      <c r="B1293" t="s">
        <v>1357</v>
      </c>
    </row>
    <row r="1294" spans="2:2" x14ac:dyDescent="0.25">
      <c r="B1294" t="s">
        <v>1358</v>
      </c>
    </row>
    <row r="1295" spans="2:2" x14ac:dyDescent="0.25">
      <c r="B1295" t="s">
        <v>1359</v>
      </c>
    </row>
    <row r="1296" spans="2:2" x14ac:dyDescent="0.25">
      <c r="B1296" t="s">
        <v>1360</v>
      </c>
    </row>
    <row r="1297" spans="2:2" x14ac:dyDescent="0.25">
      <c r="B1297" t="s">
        <v>1361</v>
      </c>
    </row>
    <row r="1298" spans="2:2" x14ac:dyDescent="0.25">
      <c r="B1298" t="s">
        <v>1362</v>
      </c>
    </row>
    <row r="1299" spans="2:2" x14ac:dyDescent="0.25">
      <c r="B1299" t="s">
        <v>1363</v>
      </c>
    </row>
    <row r="1300" spans="2:2" x14ac:dyDescent="0.25">
      <c r="B1300" t="s">
        <v>1364</v>
      </c>
    </row>
    <row r="1301" spans="2:2" x14ac:dyDescent="0.25">
      <c r="B1301" t="s">
        <v>1365</v>
      </c>
    </row>
    <row r="1302" spans="2:2" x14ac:dyDescent="0.25">
      <c r="B1302" t="s">
        <v>1366</v>
      </c>
    </row>
    <row r="1303" spans="2:2" x14ac:dyDescent="0.25">
      <c r="B1303" t="s">
        <v>1367</v>
      </c>
    </row>
    <row r="1304" spans="2:2" x14ac:dyDescent="0.25">
      <c r="B1304" t="s">
        <v>1368</v>
      </c>
    </row>
    <row r="1305" spans="2:2" x14ac:dyDescent="0.25">
      <c r="B1305" t="s">
        <v>1369</v>
      </c>
    </row>
    <row r="1306" spans="2:2" x14ac:dyDescent="0.25">
      <c r="B1306" t="s">
        <v>1370</v>
      </c>
    </row>
    <row r="1307" spans="2:2" x14ac:dyDescent="0.25">
      <c r="B1307" t="s">
        <v>1371</v>
      </c>
    </row>
    <row r="1308" spans="2:2" x14ac:dyDescent="0.25">
      <c r="B1308" t="s">
        <v>1372</v>
      </c>
    </row>
    <row r="1309" spans="2:2" x14ac:dyDescent="0.25">
      <c r="B1309" t="s">
        <v>1373</v>
      </c>
    </row>
    <row r="1310" spans="2:2" x14ac:dyDescent="0.25">
      <c r="B1310" t="s">
        <v>1374</v>
      </c>
    </row>
    <row r="1311" spans="2:2" x14ac:dyDescent="0.25">
      <c r="B1311" t="s">
        <v>1375</v>
      </c>
    </row>
    <row r="1312" spans="2:2" x14ac:dyDescent="0.25">
      <c r="B1312" t="s">
        <v>1376</v>
      </c>
    </row>
    <row r="1313" spans="2:2" x14ac:dyDescent="0.25">
      <c r="B1313" t="s">
        <v>1377</v>
      </c>
    </row>
    <row r="1314" spans="2:2" x14ac:dyDescent="0.25">
      <c r="B1314" t="s">
        <v>1378</v>
      </c>
    </row>
    <row r="1315" spans="2:2" x14ac:dyDescent="0.25">
      <c r="B1315" t="s">
        <v>1379</v>
      </c>
    </row>
    <row r="1316" spans="2:2" x14ac:dyDescent="0.25">
      <c r="B1316" t="s">
        <v>1380</v>
      </c>
    </row>
    <row r="1317" spans="2:2" x14ac:dyDescent="0.25">
      <c r="B1317" t="s">
        <v>1381</v>
      </c>
    </row>
    <row r="1318" spans="2:2" x14ac:dyDescent="0.25">
      <c r="B1318" t="s">
        <v>1382</v>
      </c>
    </row>
    <row r="1319" spans="2:2" x14ac:dyDescent="0.25">
      <c r="B1319" t="s">
        <v>1383</v>
      </c>
    </row>
    <row r="1320" spans="2:2" x14ac:dyDescent="0.25">
      <c r="B1320" t="s">
        <v>1384</v>
      </c>
    </row>
    <row r="1321" spans="2:2" x14ac:dyDescent="0.25">
      <c r="B1321" t="s">
        <v>1385</v>
      </c>
    </row>
    <row r="1322" spans="2:2" x14ac:dyDescent="0.25">
      <c r="B1322" t="s">
        <v>1386</v>
      </c>
    </row>
    <row r="1323" spans="2:2" x14ac:dyDescent="0.25">
      <c r="B1323" t="s">
        <v>1387</v>
      </c>
    </row>
    <row r="1324" spans="2:2" x14ac:dyDescent="0.25">
      <c r="B1324" t="s">
        <v>1388</v>
      </c>
    </row>
    <row r="1325" spans="2:2" x14ac:dyDescent="0.25">
      <c r="B1325" t="s">
        <v>1389</v>
      </c>
    </row>
    <row r="1326" spans="2:2" x14ac:dyDescent="0.25">
      <c r="B1326" t="s">
        <v>49</v>
      </c>
    </row>
    <row r="1327" spans="2:2" x14ac:dyDescent="0.25">
      <c r="B1327" t="s">
        <v>1390</v>
      </c>
    </row>
    <row r="1328" spans="2:2" x14ac:dyDescent="0.25">
      <c r="B1328" t="s">
        <v>1391</v>
      </c>
    </row>
    <row r="1329" spans="2:2" x14ac:dyDescent="0.25">
      <c r="B1329" t="s">
        <v>1392</v>
      </c>
    </row>
    <row r="1330" spans="2:2" x14ac:dyDescent="0.25">
      <c r="B1330" t="s">
        <v>1393</v>
      </c>
    </row>
    <row r="1331" spans="2:2" x14ac:dyDescent="0.25">
      <c r="B1331" t="s">
        <v>1394</v>
      </c>
    </row>
    <row r="1332" spans="2:2" x14ac:dyDescent="0.25">
      <c r="B1332" t="s">
        <v>1395</v>
      </c>
    </row>
    <row r="1333" spans="2:2" x14ac:dyDescent="0.25">
      <c r="B1333" t="s">
        <v>1396</v>
      </c>
    </row>
    <row r="1334" spans="2:2" x14ac:dyDescent="0.25">
      <c r="B1334" t="s">
        <v>1397</v>
      </c>
    </row>
    <row r="1335" spans="2:2" x14ac:dyDescent="0.25">
      <c r="B1335" t="s">
        <v>1398</v>
      </c>
    </row>
    <row r="1336" spans="2:2" x14ac:dyDescent="0.25">
      <c r="B1336" t="s">
        <v>1399</v>
      </c>
    </row>
    <row r="1337" spans="2:2" x14ac:dyDescent="0.25">
      <c r="B1337" t="s">
        <v>1400</v>
      </c>
    </row>
    <row r="1338" spans="2:2" x14ac:dyDescent="0.25">
      <c r="B1338" t="s">
        <v>1401</v>
      </c>
    </row>
    <row r="1339" spans="2:2" x14ac:dyDescent="0.25">
      <c r="B1339" t="s">
        <v>1402</v>
      </c>
    </row>
    <row r="1340" spans="2:2" x14ac:dyDescent="0.25">
      <c r="B1340" t="s">
        <v>1403</v>
      </c>
    </row>
    <row r="1341" spans="2:2" x14ac:dyDescent="0.25">
      <c r="B1341" t="s">
        <v>1404</v>
      </c>
    </row>
    <row r="1342" spans="2:2" x14ac:dyDescent="0.25">
      <c r="B1342" t="s">
        <v>1405</v>
      </c>
    </row>
    <row r="1343" spans="2:2" x14ac:dyDescent="0.25">
      <c r="B1343" t="s">
        <v>1406</v>
      </c>
    </row>
    <row r="1344" spans="2:2" x14ac:dyDescent="0.25">
      <c r="B1344" t="s">
        <v>1407</v>
      </c>
    </row>
    <row r="1345" spans="2:2" x14ac:dyDescent="0.25">
      <c r="B1345" t="s">
        <v>1408</v>
      </c>
    </row>
    <row r="1346" spans="2:2" x14ac:dyDescent="0.25">
      <c r="B1346" t="s">
        <v>1409</v>
      </c>
    </row>
    <row r="1347" spans="2:2" x14ac:dyDescent="0.25">
      <c r="B1347" t="s">
        <v>1410</v>
      </c>
    </row>
    <row r="1348" spans="2:2" x14ac:dyDescent="0.25">
      <c r="B1348" t="s">
        <v>1411</v>
      </c>
    </row>
    <row r="1349" spans="2:2" x14ac:dyDescent="0.25">
      <c r="B1349" t="s">
        <v>1412</v>
      </c>
    </row>
    <row r="1350" spans="2:2" x14ac:dyDescent="0.25">
      <c r="B1350" t="s">
        <v>1413</v>
      </c>
    </row>
    <row r="1351" spans="2:2" x14ac:dyDescent="0.25">
      <c r="B1351" t="s">
        <v>1414</v>
      </c>
    </row>
    <row r="1352" spans="2:2" x14ac:dyDescent="0.25">
      <c r="B1352" t="s">
        <v>1415</v>
      </c>
    </row>
    <row r="1353" spans="2:2" x14ac:dyDescent="0.25">
      <c r="B1353" t="s">
        <v>1416</v>
      </c>
    </row>
    <row r="1354" spans="2:2" x14ac:dyDescent="0.25">
      <c r="B1354" t="s">
        <v>1417</v>
      </c>
    </row>
    <row r="1355" spans="2:2" x14ac:dyDescent="0.25">
      <c r="B1355" t="s">
        <v>1418</v>
      </c>
    </row>
    <row r="1356" spans="2:2" x14ac:dyDescent="0.25">
      <c r="B1356" t="s">
        <v>1419</v>
      </c>
    </row>
    <row r="1357" spans="2:2" x14ac:dyDescent="0.25">
      <c r="B1357" t="s">
        <v>1420</v>
      </c>
    </row>
    <row r="1358" spans="2:2" x14ac:dyDescent="0.25">
      <c r="B1358" t="s">
        <v>1421</v>
      </c>
    </row>
    <row r="1359" spans="2:2" x14ac:dyDescent="0.25">
      <c r="B1359" t="s">
        <v>1422</v>
      </c>
    </row>
    <row r="1360" spans="2:2" x14ac:dyDescent="0.25">
      <c r="B1360" t="s">
        <v>1423</v>
      </c>
    </row>
    <row r="1361" spans="2:2" x14ac:dyDescent="0.25">
      <c r="B1361" t="s">
        <v>1424</v>
      </c>
    </row>
    <row r="1362" spans="2:2" x14ac:dyDescent="0.25">
      <c r="B1362" t="s">
        <v>1425</v>
      </c>
    </row>
    <row r="1363" spans="2:2" x14ac:dyDescent="0.25">
      <c r="B1363" t="s">
        <v>1426</v>
      </c>
    </row>
    <row r="1364" spans="2:2" x14ac:dyDescent="0.25">
      <c r="B1364" t="s">
        <v>1427</v>
      </c>
    </row>
    <row r="1365" spans="2:2" x14ac:dyDescent="0.25">
      <c r="B1365" t="s">
        <v>1428</v>
      </c>
    </row>
    <row r="1366" spans="2:2" x14ac:dyDescent="0.25">
      <c r="B1366" t="s">
        <v>1429</v>
      </c>
    </row>
    <row r="1367" spans="2:2" x14ac:dyDescent="0.25">
      <c r="B1367" t="s">
        <v>1430</v>
      </c>
    </row>
    <row r="1368" spans="2:2" x14ac:dyDescent="0.25">
      <c r="B1368" t="s">
        <v>1431</v>
      </c>
    </row>
    <row r="1369" spans="2:2" x14ac:dyDescent="0.25">
      <c r="B1369" t="s">
        <v>1432</v>
      </c>
    </row>
    <row r="1370" spans="2:2" x14ac:dyDescent="0.25">
      <c r="B1370" t="s">
        <v>1433</v>
      </c>
    </row>
    <row r="1371" spans="2:2" x14ac:dyDescent="0.25">
      <c r="B1371" t="s">
        <v>1434</v>
      </c>
    </row>
    <row r="1372" spans="2:2" x14ac:dyDescent="0.25">
      <c r="B1372" t="s">
        <v>1435</v>
      </c>
    </row>
    <row r="1373" spans="2:2" x14ac:dyDescent="0.25">
      <c r="B1373" t="s">
        <v>1436</v>
      </c>
    </row>
    <row r="1374" spans="2:2" x14ac:dyDescent="0.25">
      <c r="B1374" t="s">
        <v>1437</v>
      </c>
    </row>
    <row r="1375" spans="2:2" x14ac:dyDescent="0.25">
      <c r="B1375" t="s">
        <v>1438</v>
      </c>
    </row>
    <row r="1376" spans="2:2" x14ac:dyDescent="0.25">
      <c r="B1376" t="s">
        <v>1439</v>
      </c>
    </row>
    <row r="1377" spans="2:2" x14ac:dyDescent="0.25">
      <c r="B1377" t="s">
        <v>1440</v>
      </c>
    </row>
    <row r="1378" spans="2:2" x14ac:dyDescent="0.25">
      <c r="B1378" t="s">
        <v>1441</v>
      </c>
    </row>
    <row r="1379" spans="2:2" x14ac:dyDescent="0.25">
      <c r="B1379" t="s">
        <v>1442</v>
      </c>
    </row>
    <row r="1380" spans="2:2" x14ac:dyDescent="0.25">
      <c r="B1380" t="s">
        <v>1443</v>
      </c>
    </row>
    <row r="1381" spans="2:2" x14ac:dyDescent="0.25">
      <c r="B1381" t="s">
        <v>1444</v>
      </c>
    </row>
    <row r="1382" spans="2:2" x14ac:dyDescent="0.25">
      <c r="B1382" t="s">
        <v>1445</v>
      </c>
    </row>
    <row r="1383" spans="2:2" x14ac:dyDescent="0.25">
      <c r="B1383" t="s">
        <v>1446</v>
      </c>
    </row>
    <row r="1384" spans="2:2" x14ac:dyDescent="0.25">
      <c r="B1384" t="s">
        <v>1447</v>
      </c>
    </row>
    <row r="1385" spans="2:2" x14ac:dyDescent="0.25">
      <c r="B1385" t="s">
        <v>1448</v>
      </c>
    </row>
    <row r="1386" spans="2:2" x14ac:dyDescent="0.25">
      <c r="B1386" t="s">
        <v>1449</v>
      </c>
    </row>
    <row r="1387" spans="2:2" x14ac:dyDescent="0.25">
      <c r="B1387" t="s">
        <v>1450</v>
      </c>
    </row>
    <row r="1388" spans="2:2" x14ac:dyDescent="0.25">
      <c r="B1388" t="s">
        <v>1451</v>
      </c>
    </row>
    <row r="1389" spans="2:2" x14ac:dyDescent="0.25">
      <c r="B1389" t="s">
        <v>1452</v>
      </c>
    </row>
    <row r="1390" spans="2:2" x14ac:dyDescent="0.25">
      <c r="B1390" t="s">
        <v>1453</v>
      </c>
    </row>
    <row r="1391" spans="2:2" x14ac:dyDescent="0.25">
      <c r="B1391" t="s">
        <v>1454</v>
      </c>
    </row>
    <row r="1392" spans="2:2" x14ac:dyDescent="0.25">
      <c r="B1392" t="s">
        <v>1455</v>
      </c>
    </row>
    <row r="1393" spans="2:2" x14ac:dyDescent="0.25">
      <c r="B1393" t="s">
        <v>1456</v>
      </c>
    </row>
    <row r="1394" spans="2:2" x14ac:dyDescent="0.25">
      <c r="B1394" t="s">
        <v>1457</v>
      </c>
    </row>
    <row r="1395" spans="2:2" x14ac:dyDescent="0.25">
      <c r="B1395" t="s">
        <v>1458</v>
      </c>
    </row>
    <row r="1396" spans="2:2" x14ac:dyDescent="0.25">
      <c r="B1396" t="s">
        <v>1459</v>
      </c>
    </row>
    <row r="1397" spans="2:2" x14ac:dyDescent="0.25">
      <c r="B1397" t="s">
        <v>1460</v>
      </c>
    </row>
    <row r="1398" spans="2:2" x14ac:dyDescent="0.25">
      <c r="B1398" t="s">
        <v>1461</v>
      </c>
    </row>
    <row r="1399" spans="2:2" x14ac:dyDescent="0.25">
      <c r="B1399" t="s">
        <v>1462</v>
      </c>
    </row>
    <row r="1400" spans="2:2" x14ac:dyDescent="0.25">
      <c r="B1400" t="s">
        <v>1463</v>
      </c>
    </row>
    <row r="1401" spans="2:2" x14ac:dyDescent="0.25">
      <c r="B1401" t="s">
        <v>1464</v>
      </c>
    </row>
    <row r="1402" spans="2:2" x14ac:dyDescent="0.25">
      <c r="B1402" t="s">
        <v>1465</v>
      </c>
    </row>
    <row r="1403" spans="2:2" x14ac:dyDescent="0.25">
      <c r="B1403" t="s">
        <v>1466</v>
      </c>
    </row>
    <row r="1404" spans="2:2" x14ac:dyDescent="0.25">
      <c r="B1404" t="s">
        <v>1467</v>
      </c>
    </row>
    <row r="1405" spans="2:2" x14ac:dyDescent="0.25">
      <c r="B1405" t="s">
        <v>1468</v>
      </c>
    </row>
    <row r="1406" spans="2:2" x14ac:dyDescent="0.25">
      <c r="B1406" t="s">
        <v>1469</v>
      </c>
    </row>
    <row r="1407" spans="2:2" x14ac:dyDescent="0.25">
      <c r="B1407" t="s">
        <v>1470</v>
      </c>
    </row>
    <row r="1408" spans="2:2" x14ac:dyDescent="0.25">
      <c r="B1408" t="s">
        <v>1471</v>
      </c>
    </row>
    <row r="1409" spans="2:2" x14ac:dyDescent="0.25">
      <c r="B1409" t="s">
        <v>1472</v>
      </c>
    </row>
    <row r="1410" spans="2:2" x14ac:dyDescent="0.25">
      <c r="B1410" t="s">
        <v>1473</v>
      </c>
    </row>
    <row r="1411" spans="2:2" x14ac:dyDescent="0.25">
      <c r="B1411" t="s">
        <v>1474</v>
      </c>
    </row>
    <row r="1412" spans="2:2" x14ac:dyDescent="0.25">
      <c r="B1412" t="s">
        <v>1475</v>
      </c>
    </row>
    <row r="1413" spans="2:2" x14ac:dyDescent="0.25">
      <c r="B1413" t="s">
        <v>1476</v>
      </c>
    </row>
    <row r="1414" spans="2:2" x14ac:dyDescent="0.25">
      <c r="B1414" t="s">
        <v>1477</v>
      </c>
    </row>
    <row r="1415" spans="2:2" x14ac:dyDescent="0.25">
      <c r="B1415" t="s">
        <v>1478</v>
      </c>
    </row>
    <row r="1416" spans="2:2" x14ac:dyDescent="0.25">
      <c r="B1416" t="s">
        <v>1479</v>
      </c>
    </row>
    <row r="1417" spans="2:2" x14ac:dyDescent="0.25">
      <c r="B1417" t="s">
        <v>1480</v>
      </c>
    </row>
    <row r="1418" spans="2:2" x14ac:dyDescent="0.25">
      <c r="B1418" t="s">
        <v>1481</v>
      </c>
    </row>
    <row r="1419" spans="2:2" x14ac:dyDescent="0.25">
      <c r="B1419" t="s">
        <v>1482</v>
      </c>
    </row>
    <row r="1420" spans="2:2" x14ac:dyDescent="0.25">
      <c r="B1420" t="s">
        <v>1483</v>
      </c>
    </row>
    <row r="1421" spans="2:2" x14ac:dyDescent="0.25">
      <c r="B1421" t="s">
        <v>1484</v>
      </c>
    </row>
    <row r="1422" spans="2:2" x14ac:dyDescent="0.25">
      <c r="B1422" t="s">
        <v>1485</v>
      </c>
    </row>
    <row r="1423" spans="2:2" x14ac:dyDescent="0.25">
      <c r="B1423" t="s">
        <v>1486</v>
      </c>
    </row>
    <row r="1424" spans="2:2" x14ac:dyDescent="0.25">
      <c r="B1424" t="s">
        <v>1487</v>
      </c>
    </row>
    <row r="1425" spans="2:2" x14ac:dyDescent="0.25">
      <c r="B1425" t="s">
        <v>1488</v>
      </c>
    </row>
    <row r="1426" spans="2:2" x14ac:dyDescent="0.25">
      <c r="B1426" t="s">
        <v>1489</v>
      </c>
    </row>
    <row r="1427" spans="2:2" x14ac:dyDescent="0.25">
      <c r="B1427" t="s">
        <v>1490</v>
      </c>
    </row>
    <row r="1428" spans="2:2" x14ac:dyDescent="0.25">
      <c r="B1428" t="s">
        <v>1491</v>
      </c>
    </row>
    <row r="1429" spans="2:2" x14ac:dyDescent="0.25">
      <c r="B1429" t="s">
        <v>1492</v>
      </c>
    </row>
    <row r="1430" spans="2:2" x14ac:dyDescent="0.25">
      <c r="B1430" t="s">
        <v>1493</v>
      </c>
    </row>
    <row r="1431" spans="2:2" x14ac:dyDescent="0.25">
      <c r="B1431" t="s">
        <v>1494</v>
      </c>
    </row>
    <row r="1432" spans="2:2" x14ac:dyDescent="0.25">
      <c r="B1432" t="s">
        <v>1495</v>
      </c>
    </row>
    <row r="1433" spans="2:2" x14ac:dyDescent="0.25">
      <c r="B1433" t="s">
        <v>1496</v>
      </c>
    </row>
    <row r="1434" spans="2:2" x14ac:dyDescent="0.25">
      <c r="B1434" t="s">
        <v>1497</v>
      </c>
    </row>
    <row r="1435" spans="2:2" x14ac:dyDescent="0.25">
      <c r="B1435" t="s">
        <v>1498</v>
      </c>
    </row>
    <row r="1436" spans="2:2" x14ac:dyDescent="0.25">
      <c r="B1436" t="s">
        <v>1499</v>
      </c>
    </row>
    <row r="1437" spans="2:2" x14ac:dyDescent="0.25">
      <c r="B1437" t="s">
        <v>1500</v>
      </c>
    </row>
    <row r="1438" spans="2:2" x14ac:dyDescent="0.25">
      <c r="B1438" t="s">
        <v>1501</v>
      </c>
    </row>
    <row r="1439" spans="2:2" x14ac:dyDescent="0.25">
      <c r="B1439" t="s">
        <v>1502</v>
      </c>
    </row>
    <row r="1440" spans="2:2" x14ac:dyDescent="0.25">
      <c r="B1440" t="s">
        <v>1503</v>
      </c>
    </row>
    <row r="1441" spans="2:2" x14ac:dyDescent="0.25">
      <c r="B1441" t="s">
        <v>1504</v>
      </c>
    </row>
    <row r="1442" spans="2:2" x14ac:dyDescent="0.25">
      <c r="B1442" t="s">
        <v>1505</v>
      </c>
    </row>
    <row r="1443" spans="2:2" x14ac:dyDescent="0.25">
      <c r="B1443" t="s">
        <v>1506</v>
      </c>
    </row>
    <row r="1444" spans="2:2" x14ac:dyDescent="0.25">
      <c r="B1444" t="s">
        <v>1507</v>
      </c>
    </row>
    <row r="1445" spans="2:2" x14ac:dyDescent="0.25">
      <c r="B1445" t="s">
        <v>1508</v>
      </c>
    </row>
    <row r="1446" spans="2:2" x14ac:dyDescent="0.25">
      <c r="B1446" t="s">
        <v>1509</v>
      </c>
    </row>
    <row r="1447" spans="2:2" x14ac:dyDescent="0.25">
      <c r="B1447" t="s">
        <v>1510</v>
      </c>
    </row>
    <row r="1448" spans="2:2" x14ac:dyDescent="0.25">
      <c r="B1448" t="s">
        <v>1511</v>
      </c>
    </row>
    <row r="1449" spans="2:2" x14ac:dyDescent="0.25">
      <c r="B1449" t="s">
        <v>1512</v>
      </c>
    </row>
    <row r="1450" spans="2:2" x14ac:dyDescent="0.25">
      <c r="B1450" t="s">
        <v>1513</v>
      </c>
    </row>
    <row r="1451" spans="2:2" x14ac:dyDescent="0.25">
      <c r="B1451" t="s">
        <v>1514</v>
      </c>
    </row>
    <row r="1452" spans="2:2" x14ac:dyDescent="0.25">
      <c r="B1452" t="s">
        <v>1515</v>
      </c>
    </row>
    <row r="1453" spans="2:2" x14ac:dyDescent="0.25">
      <c r="B1453" t="s">
        <v>1516</v>
      </c>
    </row>
    <row r="1454" spans="2:2" x14ac:dyDescent="0.25">
      <c r="B1454" t="s">
        <v>1517</v>
      </c>
    </row>
    <row r="1455" spans="2:2" x14ac:dyDescent="0.25">
      <c r="B1455" t="s">
        <v>1518</v>
      </c>
    </row>
    <row r="1456" spans="2:2" x14ac:dyDescent="0.25">
      <c r="B1456" t="s">
        <v>1519</v>
      </c>
    </row>
    <row r="1457" spans="2:2" x14ac:dyDescent="0.25">
      <c r="B1457" t="s">
        <v>1520</v>
      </c>
    </row>
    <row r="1458" spans="2:2" x14ac:dyDescent="0.25">
      <c r="B1458" t="s">
        <v>1521</v>
      </c>
    </row>
    <row r="1459" spans="2:2" x14ac:dyDescent="0.25">
      <c r="B1459" t="s">
        <v>1522</v>
      </c>
    </row>
    <row r="1460" spans="2:2" x14ac:dyDescent="0.25">
      <c r="B1460" t="s">
        <v>1523</v>
      </c>
    </row>
    <row r="1461" spans="2:2" x14ac:dyDescent="0.25">
      <c r="B1461" t="s">
        <v>1524</v>
      </c>
    </row>
    <row r="1462" spans="2:2" x14ac:dyDescent="0.25">
      <c r="B1462" t="s">
        <v>1525</v>
      </c>
    </row>
    <row r="1463" spans="2:2" x14ac:dyDescent="0.25">
      <c r="B1463" t="s">
        <v>1526</v>
      </c>
    </row>
    <row r="1464" spans="2:2" x14ac:dyDescent="0.25">
      <c r="B1464" t="s">
        <v>1527</v>
      </c>
    </row>
    <row r="1465" spans="2:2" x14ac:dyDescent="0.25">
      <c r="B1465" t="s">
        <v>1528</v>
      </c>
    </row>
    <row r="1466" spans="2:2" x14ac:dyDescent="0.25">
      <c r="B1466" t="s">
        <v>1529</v>
      </c>
    </row>
    <row r="1467" spans="2:2" x14ac:dyDescent="0.25">
      <c r="B1467" t="s">
        <v>1530</v>
      </c>
    </row>
    <row r="1468" spans="2:2" x14ac:dyDescent="0.25">
      <c r="B1468" t="s">
        <v>1531</v>
      </c>
    </row>
    <row r="1469" spans="2:2" x14ac:dyDescent="0.25">
      <c r="B1469" t="s">
        <v>1532</v>
      </c>
    </row>
    <row r="1470" spans="2:2" x14ac:dyDescent="0.25">
      <c r="B1470" t="s">
        <v>1533</v>
      </c>
    </row>
    <row r="1471" spans="2:2" x14ac:dyDescent="0.25">
      <c r="B1471" t="s">
        <v>1534</v>
      </c>
    </row>
    <row r="1472" spans="2:2" x14ac:dyDescent="0.25">
      <c r="B1472" t="s">
        <v>1535</v>
      </c>
    </row>
    <row r="1473" spans="2:2" x14ac:dyDescent="0.25">
      <c r="B1473" t="s">
        <v>1536</v>
      </c>
    </row>
    <row r="1474" spans="2:2" x14ac:dyDescent="0.25">
      <c r="B1474" t="s">
        <v>1537</v>
      </c>
    </row>
    <row r="1475" spans="2:2" x14ac:dyDescent="0.25">
      <c r="B1475" t="s">
        <v>1538</v>
      </c>
    </row>
    <row r="1476" spans="2:2" x14ac:dyDescent="0.25">
      <c r="B1476" t="s">
        <v>1539</v>
      </c>
    </row>
    <row r="1477" spans="2:2" x14ac:dyDescent="0.25">
      <c r="B1477" t="s">
        <v>1540</v>
      </c>
    </row>
    <row r="1478" spans="2:2" x14ac:dyDescent="0.25">
      <c r="B1478" t="s">
        <v>1541</v>
      </c>
    </row>
    <row r="1479" spans="2:2" x14ac:dyDescent="0.25">
      <c r="B1479" t="s">
        <v>1542</v>
      </c>
    </row>
    <row r="1480" spans="2:2" x14ac:dyDescent="0.25">
      <c r="B1480" t="s">
        <v>1543</v>
      </c>
    </row>
    <row r="1481" spans="2:2" x14ac:dyDescent="0.25">
      <c r="B1481" t="s">
        <v>1544</v>
      </c>
    </row>
    <row r="1482" spans="2:2" x14ac:dyDescent="0.25">
      <c r="B1482" t="s">
        <v>1545</v>
      </c>
    </row>
    <row r="1483" spans="2:2" x14ac:dyDescent="0.25">
      <c r="B1483" t="s">
        <v>1546</v>
      </c>
    </row>
    <row r="1484" spans="2:2" x14ac:dyDescent="0.25">
      <c r="B1484" t="s">
        <v>1547</v>
      </c>
    </row>
    <row r="1485" spans="2:2" x14ac:dyDescent="0.25">
      <c r="B1485" t="s">
        <v>1548</v>
      </c>
    </row>
    <row r="1486" spans="2:2" x14ac:dyDescent="0.25">
      <c r="B1486" t="s">
        <v>1549</v>
      </c>
    </row>
    <row r="1487" spans="2:2" x14ac:dyDescent="0.25">
      <c r="B1487" t="s">
        <v>1550</v>
      </c>
    </row>
    <row r="1488" spans="2:2" x14ac:dyDescent="0.25">
      <c r="B1488" t="s">
        <v>1551</v>
      </c>
    </row>
    <row r="1489" spans="2:2" x14ac:dyDescent="0.25">
      <c r="B1489" t="s">
        <v>1552</v>
      </c>
    </row>
    <row r="1490" spans="2:2" x14ac:dyDescent="0.25">
      <c r="B1490" t="s">
        <v>1553</v>
      </c>
    </row>
    <row r="1491" spans="2:2" x14ac:dyDescent="0.25">
      <c r="B1491" t="s">
        <v>1554</v>
      </c>
    </row>
    <row r="1492" spans="2:2" x14ac:dyDescent="0.25">
      <c r="B1492" t="s">
        <v>1555</v>
      </c>
    </row>
    <row r="1493" spans="2:2" x14ac:dyDescent="0.25">
      <c r="B1493" t="s">
        <v>1556</v>
      </c>
    </row>
    <row r="1494" spans="2:2" x14ac:dyDescent="0.25">
      <c r="B1494" t="s">
        <v>1557</v>
      </c>
    </row>
    <row r="1495" spans="2:2" x14ac:dyDescent="0.25">
      <c r="B1495" t="s">
        <v>1558</v>
      </c>
    </row>
    <row r="1496" spans="2:2" x14ac:dyDescent="0.25">
      <c r="B1496" t="s">
        <v>1559</v>
      </c>
    </row>
    <row r="1497" spans="2:2" x14ac:dyDescent="0.25">
      <c r="B1497" t="s">
        <v>1560</v>
      </c>
    </row>
    <row r="1498" spans="2:2" x14ac:dyDescent="0.25">
      <c r="B1498" t="s">
        <v>1561</v>
      </c>
    </row>
    <row r="1499" spans="2:2" x14ac:dyDescent="0.25">
      <c r="B1499" t="s">
        <v>1562</v>
      </c>
    </row>
    <row r="1500" spans="2:2" x14ac:dyDescent="0.25">
      <c r="B1500" t="s">
        <v>1563</v>
      </c>
    </row>
    <row r="1501" spans="2:2" x14ac:dyDescent="0.25">
      <c r="B1501" t="s">
        <v>1564</v>
      </c>
    </row>
    <row r="1502" spans="2:2" x14ac:dyDescent="0.25">
      <c r="B1502" t="s">
        <v>1565</v>
      </c>
    </row>
    <row r="1503" spans="2:2" x14ac:dyDescent="0.25">
      <c r="B1503" t="s">
        <v>1566</v>
      </c>
    </row>
    <row r="1504" spans="2:2" x14ac:dyDescent="0.25">
      <c r="B1504" t="s">
        <v>1567</v>
      </c>
    </row>
    <row r="1505" spans="2:2" x14ac:dyDescent="0.25">
      <c r="B1505" t="s">
        <v>1568</v>
      </c>
    </row>
    <row r="1506" spans="2:2" x14ac:dyDescent="0.25">
      <c r="B1506" t="s">
        <v>1569</v>
      </c>
    </row>
    <row r="1507" spans="2:2" x14ac:dyDescent="0.25">
      <c r="B1507" t="s">
        <v>1570</v>
      </c>
    </row>
    <row r="1508" spans="2:2" x14ac:dyDescent="0.25">
      <c r="B1508" t="s">
        <v>1571</v>
      </c>
    </row>
    <row r="1509" spans="2:2" x14ac:dyDescent="0.25">
      <c r="B1509" t="s">
        <v>1572</v>
      </c>
    </row>
    <row r="1510" spans="2:2" x14ac:dyDescent="0.25">
      <c r="B1510" t="s">
        <v>1573</v>
      </c>
    </row>
    <row r="1511" spans="2:2" x14ac:dyDescent="0.25">
      <c r="B1511" t="s">
        <v>1574</v>
      </c>
    </row>
    <row r="1512" spans="2:2" x14ac:dyDescent="0.25">
      <c r="B1512" t="s">
        <v>1575</v>
      </c>
    </row>
    <row r="1513" spans="2:2" x14ac:dyDescent="0.25">
      <c r="B1513" t="s">
        <v>1576</v>
      </c>
    </row>
    <row r="1514" spans="2:2" x14ac:dyDescent="0.25">
      <c r="B1514" t="s">
        <v>1577</v>
      </c>
    </row>
    <row r="1515" spans="2:2" x14ac:dyDescent="0.25">
      <c r="B1515" t="s">
        <v>1578</v>
      </c>
    </row>
    <row r="1516" spans="2:2" x14ac:dyDescent="0.25">
      <c r="B1516" t="s">
        <v>1579</v>
      </c>
    </row>
    <row r="1517" spans="2:2" x14ac:dyDescent="0.25">
      <c r="B1517" t="s">
        <v>1580</v>
      </c>
    </row>
    <row r="1518" spans="2:2" x14ac:dyDescent="0.25">
      <c r="B1518" t="s">
        <v>1581</v>
      </c>
    </row>
    <row r="1519" spans="2:2" x14ac:dyDescent="0.25">
      <c r="B1519" t="s">
        <v>1582</v>
      </c>
    </row>
    <row r="1520" spans="2:2" x14ac:dyDescent="0.25">
      <c r="B1520" t="s">
        <v>1583</v>
      </c>
    </row>
    <row r="1521" spans="2:2" x14ac:dyDescent="0.25">
      <c r="B1521" t="s">
        <v>1584</v>
      </c>
    </row>
    <row r="1522" spans="2:2" x14ac:dyDescent="0.25">
      <c r="B1522" t="s">
        <v>1585</v>
      </c>
    </row>
    <row r="1523" spans="2:2" x14ac:dyDescent="0.25">
      <c r="B1523" t="s">
        <v>1586</v>
      </c>
    </row>
    <row r="1524" spans="2:2" x14ac:dyDescent="0.25">
      <c r="B1524" t="s">
        <v>1587</v>
      </c>
    </row>
    <row r="1525" spans="2:2" x14ac:dyDescent="0.25">
      <c r="B1525" t="s">
        <v>1588</v>
      </c>
    </row>
    <row r="1526" spans="2:2" x14ac:dyDescent="0.25">
      <c r="B1526" t="s">
        <v>1589</v>
      </c>
    </row>
    <row r="1527" spans="2:2" x14ac:dyDescent="0.25">
      <c r="B1527" t="s">
        <v>1590</v>
      </c>
    </row>
    <row r="1528" spans="2:2" x14ac:dyDescent="0.25">
      <c r="B1528" t="s">
        <v>1591</v>
      </c>
    </row>
    <row r="1529" spans="2:2" x14ac:dyDescent="0.25">
      <c r="B1529" t="s">
        <v>1592</v>
      </c>
    </row>
    <row r="1530" spans="2:2" x14ac:dyDescent="0.25">
      <c r="B1530" t="s">
        <v>1593</v>
      </c>
    </row>
    <row r="1531" spans="2:2" x14ac:dyDescent="0.25">
      <c r="B1531" t="s">
        <v>1594</v>
      </c>
    </row>
    <row r="1532" spans="2:2" x14ac:dyDescent="0.25">
      <c r="B1532" t="s">
        <v>1595</v>
      </c>
    </row>
    <row r="1533" spans="2:2" x14ac:dyDescent="0.25">
      <c r="B1533" t="s">
        <v>1596</v>
      </c>
    </row>
    <row r="1534" spans="2:2" x14ac:dyDescent="0.25">
      <c r="B1534" t="s">
        <v>1597</v>
      </c>
    </row>
    <row r="1535" spans="2:2" x14ac:dyDescent="0.25">
      <c r="B1535" t="s">
        <v>1598</v>
      </c>
    </row>
    <row r="1536" spans="2:2" x14ac:dyDescent="0.25">
      <c r="B1536" t="s">
        <v>1599</v>
      </c>
    </row>
    <row r="1537" spans="2:2" x14ac:dyDescent="0.25">
      <c r="B1537" t="s">
        <v>1600</v>
      </c>
    </row>
    <row r="1538" spans="2:2" x14ac:dyDescent="0.25">
      <c r="B1538" t="s">
        <v>1601</v>
      </c>
    </row>
    <row r="1539" spans="2:2" x14ac:dyDescent="0.25">
      <c r="B1539" t="s">
        <v>1602</v>
      </c>
    </row>
    <row r="1540" spans="2:2" x14ac:dyDescent="0.25">
      <c r="B1540" t="s">
        <v>1603</v>
      </c>
    </row>
    <row r="1541" spans="2:2" x14ac:dyDescent="0.25">
      <c r="B1541" t="s">
        <v>1604</v>
      </c>
    </row>
    <row r="1542" spans="2:2" x14ac:dyDescent="0.25">
      <c r="B1542" t="s">
        <v>1605</v>
      </c>
    </row>
    <row r="1543" spans="2:2" x14ac:dyDescent="0.25">
      <c r="B1543" t="s">
        <v>1606</v>
      </c>
    </row>
    <row r="1544" spans="2:2" x14ac:dyDescent="0.25">
      <c r="B1544" t="s">
        <v>1607</v>
      </c>
    </row>
    <row r="1545" spans="2:2" x14ac:dyDescent="0.25">
      <c r="B1545" t="s">
        <v>1608</v>
      </c>
    </row>
    <row r="1546" spans="2:2" x14ac:dyDescent="0.25">
      <c r="B1546" t="s">
        <v>1609</v>
      </c>
    </row>
    <row r="1547" spans="2:2" x14ac:dyDescent="0.25">
      <c r="B1547" t="s">
        <v>1610</v>
      </c>
    </row>
    <row r="1548" spans="2:2" x14ac:dyDescent="0.25">
      <c r="B1548" t="s">
        <v>1611</v>
      </c>
    </row>
    <row r="1549" spans="2:2" x14ac:dyDescent="0.25">
      <c r="B1549" t="s">
        <v>1612</v>
      </c>
    </row>
    <row r="1550" spans="2:2" x14ac:dyDescent="0.25">
      <c r="B1550" t="s">
        <v>1613</v>
      </c>
    </row>
    <row r="1551" spans="2:2" x14ac:dyDescent="0.25">
      <c r="B1551" t="s">
        <v>1614</v>
      </c>
    </row>
    <row r="1552" spans="2:2" x14ac:dyDescent="0.25">
      <c r="B1552" t="s">
        <v>1615</v>
      </c>
    </row>
    <row r="1553" spans="2:2" x14ac:dyDescent="0.25">
      <c r="B1553" t="s">
        <v>1616</v>
      </c>
    </row>
    <row r="1554" spans="2:2" x14ac:dyDescent="0.25">
      <c r="B1554" t="s">
        <v>1617</v>
      </c>
    </row>
    <row r="1555" spans="2:2" x14ac:dyDescent="0.25">
      <c r="B1555" t="s">
        <v>1618</v>
      </c>
    </row>
    <row r="1556" spans="2:2" x14ac:dyDescent="0.25">
      <c r="B1556" t="s">
        <v>1619</v>
      </c>
    </row>
    <row r="1557" spans="2:2" x14ac:dyDescent="0.25">
      <c r="B1557" t="s">
        <v>1620</v>
      </c>
    </row>
    <row r="1558" spans="2:2" x14ac:dyDescent="0.25">
      <c r="B1558" t="s">
        <v>1621</v>
      </c>
    </row>
    <row r="1559" spans="2:2" x14ac:dyDescent="0.25">
      <c r="B1559" t="s">
        <v>1622</v>
      </c>
    </row>
    <row r="1560" spans="2:2" x14ac:dyDescent="0.25">
      <c r="B1560" t="s">
        <v>1623</v>
      </c>
    </row>
    <row r="1561" spans="2:2" x14ac:dyDescent="0.25">
      <c r="B1561" t="s">
        <v>1624</v>
      </c>
    </row>
    <row r="1562" spans="2:2" x14ac:dyDescent="0.25">
      <c r="B1562" t="s">
        <v>1625</v>
      </c>
    </row>
    <row r="1563" spans="2:2" x14ac:dyDescent="0.25">
      <c r="B1563" t="s">
        <v>1626</v>
      </c>
    </row>
    <row r="1564" spans="2:2" x14ac:dyDescent="0.25">
      <c r="B1564" t="s">
        <v>1627</v>
      </c>
    </row>
    <row r="1565" spans="2:2" x14ac:dyDescent="0.25">
      <c r="B1565" t="s">
        <v>1628</v>
      </c>
    </row>
    <row r="1566" spans="2:2" x14ac:dyDescent="0.25">
      <c r="B1566" t="s">
        <v>1629</v>
      </c>
    </row>
    <row r="1567" spans="2:2" x14ac:dyDescent="0.25">
      <c r="B1567" t="s">
        <v>1630</v>
      </c>
    </row>
    <row r="1568" spans="2:2" x14ac:dyDescent="0.25">
      <c r="B1568" t="s">
        <v>1631</v>
      </c>
    </row>
    <row r="1569" spans="2:2" x14ac:dyDescent="0.25">
      <c r="B1569" t="s">
        <v>1632</v>
      </c>
    </row>
    <row r="1570" spans="2:2" x14ac:dyDescent="0.25">
      <c r="B1570" t="s">
        <v>1633</v>
      </c>
    </row>
    <row r="1571" spans="2:2" x14ac:dyDescent="0.25">
      <c r="B1571" t="s">
        <v>1634</v>
      </c>
    </row>
    <row r="1572" spans="2:2" x14ac:dyDescent="0.25">
      <c r="B1572" t="s">
        <v>1635</v>
      </c>
    </row>
    <row r="1573" spans="2:2" x14ac:dyDescent="0.25">
      <c r="B1573" t="s">
        <v>1636</v>
      </c>
    </row>
    <row r="1574" spans="2:2" x14ac:dyDescent="0.25">
      <c r="B1574" t="s">
        <v>1637</v>
      </c>
    </row>
    <row r="1575" spans="2:2" x14ac:dyDescent="0.25">
      <c r="B1575" t="s">
        <v>1638</v>
      </c>
    </row>
    <row r="1576" spans="2:2" x14ac:dyDescent="0.25">
      <c r="B1576" t="s">
        <v>1639</v>
      </c>
    </row>
    <row r="1577" spans="2:2" x14ac:dyDescent="0.25">
      <c r="B1577" t="s">
        <v>1640</v>
      </c>
    </row>
    <row r="1578" spans="2:2" x14ac:dyDescent="0.25">
      <c r="B1578" t="s">
        <v>1641</v>
      </c>
    </row>
    <row r="1579" spans="2:2" x14ac:dyDescent="0.25">
      <c r="B1579" t="s">
        <v>1642</v>
      </c>
    </row>
    <row r="1580" spans="2:2" x14ac:dyDescent="0.25">
      <c r="B1580" t="s">
        <v>1643</v>
      </c>
    </row>
    <row r="1581" spans="2:2" x14ac:dyDescent="0.25">
      <c r="B1581" t="s">
        <v>1644</v>
      </c>
    </row>
    <row r="1582" spans="2:2" x14ac:dyDescent="0.25">
      <c r="B1582" t="s">
        <v>1645</v>
      </c>
    </row>
    <row r="1583" spans="2:2" x14ac:dyDescent="0.25">
      <c r="B1583" t="s">
        <v>1646</v>
      </c>
    </row>
    <row r="1584" spans="2:2" x14ac:dyDescent="0.25">
      <c r="B1584" t="s">
        <v>1647</v>
      </c>
    </row>
    <row r="1585" spans="2:2" x14ac:dyDescent="0.25">
      <c r="B1585" t="s">
        <v>1648</v>
      </c>
    </row>
    <row r="1586" spans="2:2" x14ac:dyDescent="0.25">
      <c r="B1586" t="s">
        <v>1649</v>
      </c>
    </row>
    <row r="1587" spans="2:2" x14ac:dyDescent="0.25">
      <c r="B1587" t="s">
        <v>1650</v>
      </c>
    </row>
    <row r="1588" spans="2:2" x14ac:dyDescent="0.25">
      <c r="B1588" t="s">
        <v>1651</v>
      </c>
    </row>
    <row r="1589" spans="2:2" x14ac:dyDescent="0.25">
      <c r="B1589" t="s">
        <v>1652</v>
      </c>
    </row>
    <row r="1590" spans="2:2" x14ac:dyDescent="0.25">
      <c r="B1590" t="s">
        <v>1653</v>
      </c>
    </row>
    <row r="1591" spans="2:2" x14ac:dyDescent="0.25">
      <c r="B1591" t="s">
        <v>1654</v>
      </c>
    </row>
    <row r="1592" spans="2:2" x14ac:dyDescent="0.25">
      <c r="B1592" t="s">
        <v>1655</v>
      </c>
    </row>
    <row r="1593" spans="2:2" x14ac:dyDescent="0.25">
      <c r="B1593" t="s">
        <v>1656</v>
      </c>
    </row>
    <row r="1594" spans="2:2" x14ac:dyDescent="0.25">
      <c r="B1594" t="s">
        <v>1657</v>
      </c>
    </row>
    <row r="1595" spans="2:2" x14ac:dyDescent="0.25">
      <c r="B1595" t="s">
        <v>87</v>
      </c>
    </row>
    <row r="1596" spans="2:2" x14ac:dyDescent="0.25">
      <c r="B1596" t="s">
        <v>1658</v>
      </c>
    </row>
    <row r="1597" spans="2:2" x14ac:dyDescent="0.25">
      <c r="B1597" t="s">
        <v>1659</v>
      </c>
    </row>
    <row r="1598" spans="2:2" x14ac:dyDescent="0.25">
      <c r="B1598" t="s">
        <v>1660</v>
      </c>
    </row>
    <row r="1599" spans="2:2" x14ac:dyDescent="0.25">
      <c r="B1599" t="s">
        <v>1661</v>
      </c>
    </row>
    <row r="1600" spans="2:2" x14ac:dyDescent="0.25">
      <c r="B1600" t="s">
        <v>1662</v>
      </c>
    </row>
    <row r="1601" spans="2:2" x14ac:dyDescent="0.25">
      <c r="B1601" t="s">
        <v>1663</v>
      </c>
    </row>
    <row r="1602" spans="2:2" x14ac:dyDescent="0.25">
      <c r="B1602" t="s">
        <v>1664</v>
      </c>
    </row>
    <row r="1603" spans="2:2" x14ac:dyDescent="0.25">
      <c r="B1603" t="s">
        <v>1665</v>
      </c>
    </row>
    <row r="1604" spans="2:2" x14ac:dyDescent="0.25">
      <c r="B1604" t="s">
        <v>1666</v>
      </c>
    </row>
    <row r="1605" spans="2:2" x14ac:dyDescent="0.25">
      <c r="B1605" t="s">
        <v>1667</v>
      </c>
    </row>
    <row r="1606" spans="2:2" x14ac:dyDescent="0.25">
      <c r="B1606" t="s">
        <v>1668</v>
      </c>
    </row>
    <row r="1607" spans="2:2" x14ac:dyDescent="0.25">
      <c r="B1607" t="s">
        <v>1669</v>
      </c>
    </row>
    <row r="1608" spans="2:2" x14ac:dyDescent="0.25">
      <c r="B1608" t="s">
        <v>1670</v>
      </c>
    </row>
    <row r="1609" spans="2:2" x14ac:dyDescent="0.25">
      <c r="B1609" t="s">
        <v>1671</v>
      </c>
    </row>
    <row r="1610" spans="2:2" x14ac:dyDescent="0.25">
      <c r="B1610" t="s">
        <v>1672</v>
      </c>
    </row>
    <row r="1611" spans="2:2" x14ac:dyDescent="0.25">
      <c r="B1611" t="s">
        <v>1673</v>
      </c>
    </row>
    <row r="1612" spans="2:2" x14ac:dyDescent="0.25">
      <c r="B1612" t="s">
        <v>1674</v>
      </c>
    </row>
    <row r="1613" spans="2:2" x14ac:dyDescent="0.25">
      <c r="B1613" t="s">
        <v>1675</v>
      </c>
    </row>
    <row r="1614" spans="2:2" x14ac:dyDescent="0.25">
      <c r="B1614" t="s">
        <v>1676</v>
      </c>
    </row>
    <row r="1615" spans="2:2" x14ac:dyDescent="0.25">
      <c r="B1615" t="s">
        <v>1677</v>
      </c>
    </row>
    <row r="1616" spans="2:2" x14ac:dyDescent="0.25">
      <c r="B1616" t="s">
        <v>1678</v>
      </c>
    </row>
    <row r="1617" spans="2:2" x14ac:dyDescent="0.25">
      <c r="B1617" t="s">
        <v>1679</v>
      </c>
    </row>
    <row r="1618" spans="2:2" x14ac:dyDescent="0.25">
      <c r="B1618" t="s">
        <v>1680</v>
      </c>
    </row>
    <row r="1619" spans="2:2" x14ac:dyDescent="0.25">
      <c r="B1619" t="s">
        <v>1681</v>
      </c>
    </row>
    <row r="1620" spans="2:2" x14ac:dyDescent="0.25">
      <c r="B1620" t="s">
        <v>1682</v>
      </c>
    </row>
    <row r="1621" spans="2:2" x14ac:dyDescent="0.25">
      <c r="B1621" t="s">
        <v>1683</v>
      </c>
    </row>
    <row r="1622" spans="2:2" x14ac:dyDescent="0.25">
      <c r="B1622" t="s">
        <v>1684</v>
      </c>
    </row>
    <row r="1623" spans="2:2" x14ac:dyDescent="0.25">
      <c r="B1623" t="s">
        <v>1685</v>
      </c>
    </row>
    <row r="1624" spans="2:2" x14ac:dyDescent="0.25">
      <c r="B1624" t="s">
        <v>1686</v>
      </c>
    </row>
    <row r="1625" spans="2:2" x14ac:dyDescent="0.25">
      <c r="B1625" t="s">
        <v>1687</v>
      </c>
    </row>
    <row r="1626" spans="2:2" x14ac:dyDescent="0.25">
      <c r="B1626" t="s">
        <v>1688</v>
      </c>
    </row>
    <row r="1627" spans="2:2" x14ac:dyDescent="0.25">
      <c r="B1627" t="s">
        <v>1689</v>
      </c>
    </row>
    <row r="1628" spans="2:2" x14ac:dyDescent="0.25">
      <c r="B1628" t="s">
        <v>1690</v>
      </c>
    </row>
    <row r="1629" spans="2:2" x14ac:dyDescent="0.25">
      <c r="B1629" t="s">
        <v>1691</v>
      </c>
    </row>
    <row r="1630" spans="2:2" x14ac:dyDescent="0.25">
      <c r="B1630" t="s">
        <v>1692</v>
      </c>
    </row>
    <row r="1631" spans="2:2" x14ac:dyDescent="0.25">
      <c r="B1631" t="s">
        <v>1693</v>
      </c>
    </row>
    <row r="1632" spans="2:2" x14ac:dyDescent="0.25">
      <c r="B1632" t="s">
        <v>1694</v>
      </c>
    </row>
    <row r="1633" spans="2:2" x14ac:dyDescent="0.25">
      <c r="B1633" t="s">
        <v>1695</v>
      </c>
    </row>
    <row r="1634" spans="2:2" x14ac:dyDescent="0.25">
      <c r="B1634" t="s">
        <v>1696</v>
      </c>
    </row>
    <row r="1635" spans="2:2" x14ac:dyDescent="0.25">
      <c r="B1635" t="s">
        <v>1697</v>
      </c>
    </row>
    <row r="1636" spans="2:2" x14ac:dyDescent="0.25">
      <c r="B1636" t="s">
        <v>1698</v>
      </c>
    </row>
    <row r="1637" spans="2:2" x14ac:dyDescent="0.25">
      <c r="B1637" t="s">
        <v>1699</v>
      </c>
    </row>
    <row r="1638" spans="2:2" x14ac:dyDescent="0.25">
      <c r="B1638" t="s">
        <v>1700</v>
      </c>
    </row>
    <row r="1639" spans="2:2" x14ac:dyDescent="0.25">
      <c r="B1639" t="s">
        <v>1701</v>
      </c>
    </row>
    <row r="1640" spans="2:2" x14ac:dyDescent="0.25">
      <c r="B1640" t="s">
        <v>1702</v>
      </c>
    </row>
    <row r="1641" spans="2:2" x14ac:dyDescent="0.25">
      <c r="B1641" t="s">
        <v>1703</v>
      </c>
    </row>
    <row r="1642" spans="2:2" x14ac:dyDescent="0.25">
      <c r="B1642" t="s">
        <v>1704</v>
      </c>
    </row>
    <row r="1643" spans="2:2" x14ac:dyDescent="0.25">
      <c r="B1643" t="s">
        <v>1705</v>
      </c>
    </row>
    <row r="1644" spans="2:2" x14ac:dyDescent="0.25">
      <c r="B1644" t="s">
        <v>1706</v>
      </c>
    </row>
    <row r="1645" spans="2:2" x14ac:dyDescent="0.25">
      <c r="B1645" t="s">
        <v>1707</v>
      </c>
    </row>
    <row r="1646" spans="2:2" x14ac:dyDescent="0.25">
      <c r="B1646" t="s">
        <v>1708</v>
      </c>
    </row>
    <row r="1647" spans="2:2" x14ac:dyDescent="0.25">
      <c r="B1647" t="s">
        <v>1709</v>
      </c>
    </row>
    <row r="1648" spans="2:2" x14ac:dyDescent="0.25">
      <c r="B1648" t="s">
        <v>1710</v>
      </c>
    </row>
    <row r="1649" spans="2:2" x14ac:dyDescent="0.25">
      <c r="B1649" t="s">
        <v>1711</v>
      </c>
    </row>
    <row r="1650" spans="2:2" x14ac:dyDescent="0.25">
      <c r="B1650" t="s">
        <v>1712</v>
      </c>
    </row>
    <row r="1651" spans="2:2" x14ac:dyDescent="0.25">
      <c r="B1651" t="s">
        <v>1713</v>
      </c>
    </row>
    <row r="1652" spans="2:2" x14ac:dyDescent="0.25">
      <c r="B1652" t="s">
        <v>1714</v>
      </c>
    </row>
    <row r="1653" spans="2:2" x14ac:dyDescent="0.25">
      <c r="B1653" t="s">
        <v>1715</v>
      </c>
    </row>
    <row r="1654" spans="2:2" x14ac:dyDescent="0.25">
      <c r="B1654" t="s">
        <v>1716</v>
      </c>
    </row>
    <row r="1655" spans="2:2" x14ac:dyDescent="0.25">
      <c r="B1655" t="s">
        <v>1717</v>
      </c>
    </row>
    <row r="1656" spans="2:2" x14ac:dyDescent="0.25">
      <c r="B1656" t="s">
        <v>1718</v>
      </c>
    </row>
    <row r="1657" spans="2:2" x14ac:dyDescent="0.25">
      <c r="B1657" t="s">
        <v>1719</v>
      </c>
    </row>
    <row r="1658" spans="2:2" x14ac:dyDescent="0.25">
      <c r="B1658" t="s">
        <v>1720</v>
      </c>
    </row>
    <row r="1659" spans="2:2" x14ac:dyDescent="0.25">
      <c r="B1659" t="s">
        <v>1721</v>
      </c>
    </row>
    <row r="1660" spans="2:2" x14ac:dyDescent="0.25">
      <c r="B1660" t="s">
        <v>1722</v>
      </c>
    </row>
    <row r="1661" spans="2:2" x14ac:dyDescent="0.25">
      <c r="B1661" t="s">
        <v>1723</v>
      </c>
    </row>
    <row r="1662" spans="2:2" x14ac:dyDescent="0.25">
      <c r="B1662" t="s">
        <v>1724</v>
      </c>
    </row>
    <row r="1663" spans="2:2" x14ac:dyDescent="0.25">
      <c r="B1663" t="s">
        <v>1725</v>
      </c>
    </row>
    <row r="1664" spans="2:2" x14ac:dyDescent="0.25">
      <c r="B1664" t="s">
        <v>1726</v>
      </c>
    </row>
    <row r="1665" spans="2:2" x14ac:dyDescent="0.25">
      <c r="B1665" t="s">
        <v>1727</v>
      </c>
    </row>
    <row r="1666" spans="2:2" x14ac:dyDescent="0.25">
      <c r="B1666" t="s">
        <v>1728</v>
      </c>
    </row>
    <row r="1667" spans="2:2" x14ac:dyDescent="0.25">
      <c r="B1667" t="s">
        <v>1729</v>
      </c>
    </row>
    <row r="1668" spans="2:2" x14ac:dyDescent="0.25">
      <c r="B1668" t="s">
        <v>1730</v>
      </c>
    </row>
    <row r="1669" spans="2:2" x14ac:dyDescent="0.25">
      <c r="B1669" t="s">
        <v>1731</v>
      </c>
    </row>
    <row r="1670" spans="2:2" x14ac:dyDescent="0.25">
      <c r="B1670" t="s">
        <v>1732</v>
      </c>
    </row>
    <row r="1671" spans="2:2" x14ac:dyDescent="0.25">
      <c r="B1671" t="s">
        <v>1733</v>
      </c>
    </row>
    <row r="1672" spans="2:2" x14ac:dyDescent="0.25">
      <c r="B1672" t="s">
        <v>1734</v>
      </c>
    </row>
    <row r="1673" spans="2:2" x14ac:dyDescent="0.25">
      <c r="B1673" t="s">
        <v>1735</v>
      </c>
    </row>
    <row r="1674" spans="2:2" x14ac:dyDescent="0.25">
      <c r="B1674" t="s">
        <v>1736</v>
      </c>
    </row>
    <row r="1675" spans="2:2" x14ac:dyDescent="0.25">
      <c r="B1675" t="s">
        <v>1737</v>
      </c>
    </row>
    <row r="1676" spans="2:2" x14ac:dyDescent="0.25">
      <c r="B1676" t="s">
        <v>1738</v>
      </c>
    </row>
    <row r="1677" spans="2:2" x14ac:dyDescent="0.25">
      <c r="B1677" t="s">
        <v>1739</v>
      </c>
    </row>
    <row r="1678" spans="2:2" x14ac:dyDescent="0.25">
      <c r="B1678" t="s">
        <v>1740</v>
      </c>
    </row>
    <row r="1679" spans="2:2" x14ac:dyDescent="0.25">
      <c r="B1679" t="s">
        <v>1741</v>
      </c>
    </row>
    <row r="1680" spans="2:2" x14ac:dyDescent="0.25">
      <c r="B1680" t="s">
        <v>1742</v>
      </c>
    </row>
    <row r="1681" spans="2:2" x14ac:dyDescent="0.25">
      <c r="B1681" t="s">
        <v>1743</v>
      </c>
    </row>
    <row r="1682" spans="2:2" x14ac:dyDescent="0.25">
      <c r="B1682" t="s">
        <v>1744</v>
      </c>
    </row>
    <row r="1683" spans="2:2" x14ac:dyDescent="0.25">
      <c r="B1683" t="s">
        <v>1745</v>
      </c>
    </row>
    <row r="1684" spans="2:2" x14ac:dyDescent="0.25">
      <c r="B1684" t="s">
        <v>1746</v>
      </c>
    </row>
    <row r="1685" spans="2:2" x14ac:dyDescent="0.25">
      <c r="B1685" t="s">
        <v>1747</v>
      </c>
    </row>
    <row r="1686" spans="2:2" x14ac:dyDescent="0.25">
      <c r="B1686" t="s">
        <v>1748</v>
      </c>
    </row>
    <row r="1687" spans="2:2" x14ac:dyDescent="0.25">
      <c r="B1687" t="s">
        <v>1749</v>
      </c>
    </row>
    <row r="1688" spans="2:2" x14ac:dyDescent="0.25">
      <c r="B1688" t="s">
        <v>1750</v>
      </c>
    </row>
    <row r="1689" spans="2:2" x14ac:dyDescent="0.25">
      <c r="B1689" t="s">
        <v>1751</v>
      </c>
    </row>
    <row r="1690" spans="2:2" x14ac:dyDescent="0.25">
      <c r="B1690" t="s">
        <v>1752</v>
      </c>
    </row>
    <row r="1691" spans="2:2" x14ac:dyDescent="0.25">
      <c r="B1691" t="s">
        <v>1753</v>
      </c>
    </row>
    <row r="1692" spans="2:2" x14ac:dyDescent="0.25">
      <c r="B1692" t="s">
        <v>1754</v>
      </c>
    </row>
    <row r="1693" spans="2:2" x14ac:dyDescent="0.25">
      <c r="B1693" t="s">
        <v>1755</v>
      </c>
    </row>
    <row r="1694" spans="2:2" x14ac:dyDescent="0.25">
      <c r="B1694" t="s">
        <v>1756</v>
      </c>
    </row>
    <row r="1695" spans="2:2" x14ac:dyDescent="0.25">
      <c r="B1695" t="s">
        <v>1757</v>
      </c>
    </row>
    <row r="1696" spans="2:2" x14ac:dyDescent="0.25">
      <c r="B1696" t="s">
        <v>1758</v>
      </c>
    </row>
    <row r="1697" spans="2:2" x14ac:dyDescent="0.25">
      <c r="B1697" t="s">
        <v>1759</v>
      </c>
    </row>
    <row r="1698" spans="2:2" x14ac:dyDescent="0.25">
      <c r="B1698" t="s">
        <v>1760</v>
      </c>
    </row>
    <row r="1699" spans="2:2" x14ac:dyDescent="0.25">
      <c r="B1699" t="s">
        <v>1761</v>
      </c>
    </row>
    <row r="1700" spans="2:2" x14ac:dyDescent="0.25">
      <c r="B1700" t="s">
        <v>1762</v>
      </c>
    </row>
    <row r="1701" spans="2:2" x14ac:dyDescent="0.25">
      <c r="B1701" t="s">
        <v>1763</v>
      </c>
    </row>
    <row r="1702" spans="2:2" x14ac:dyDescent="0.25">
      <c r="B1702" t="s">
        <v>1764</v>
      </c>
    </row>
    <row r="1703" spans="2:2" x14ac:dyDescent="0.25">
      <c r="B1703" t="s">
        <v>1765</v>
      </c>
    </row>
    <row r="1704" spans="2:2" x14ac:dyDescent="0.25">
      <c r="B1704" t="s">
        <v>1766</v>
      </c>
    </row>
    <row r="1705" spans="2:2" x14ac:dyDescent="0.25">
      <c r="B1705" t="s">
        <v>1767</v>
      </c>
    </row>
    <row r="1706" spans="2:2" x14ac:dyDescent="0.25">
      <c r="B1706" t="s">
        <v>1768</v>
      </c>
    </row>
    <row r="1707" spans="2:2" x14ac:dyDescent="0.25">
      <c r="B1707" t="s">
        <v>1769</v>
      </c>
    </row>
    <row r="1708" spans="2:2" x14ac:dyDescent="0.25">
      <c r="B1708" t="s">
        <v>1770</v>
      </c>
    </row>
    <row r="1709" spans="2:2" x14ac:dyDescent="0.25">
      <c r="B1709" t="s">
        <v>1771</v>
      </c>
    </row>
    <row r="1710" spans="2:2" x14ac:dyDescent="0.25">
      <c r="B1710" t="s">
        <v>1772</v>
      </c>
    </row>
    <row r="1711" spans="2:2" x14ac:dyDescent="0.25">
      <c r="B1711" t="s">
        <v>1773</v>
      </c>
    </row>
    <row r="1712" spans="2:2" x14ac:dyDescent="0.25">
      <c r="B1712" t="s">
        <v>1774</v>
      </c>
    </row>
    <row r="1713" spans="2:2" x14ac:dyDescent="0.25">
      <c r="B1713" t="s">
        <v>1775</v>
      </c>
    </row>
    <row r="1714" spans="2:2" x14ac:dyDescent="0.25">
      <c r="B1714" t="s">
        <v>1776</v>
      </c>
    </row>
    <row r="1715" spans="2:2" x14ac:dyDescent="0.25">
      <c r="B1715" t="s">
        <v>1777</v>
      </c>
    </row>
    <row r="1716" spans="2:2" x14ac:dyDescent="0.25">
      <c r="B1716" t="s">
        <v>1778</v>
      </c>
    </row>
    <row r="1717" spans="2:2" x14ac:dyDescent="0.25">
      <c r="B1717" t="s">
        <v>1779</v>
      </c>
    </row>
    <row r="1718" spans="2:2" x14ac:dyDescent="0.25">
      <c r="B1718" t="s">
        <v>1780</v>
      </c>
    </row>
    <row r="1719" spans="2:2" x14ac:dyDescent="0.25">
      <c r="B1719" t="s">
        <v>1781</v>
      </c>
    </row>
    <row r="1720" spans="2:2" x14ac:dyDescent="0.25">
      <c r="B1720" t="s">
        <v>1782</v>
      </c>
    </row>
    <row r="1721" spans="2:2" x14ac:dyDescent="0.25">
      <c r="B1721" t="s">
        <v>1783</v>
      </c>
    </row>
    <row r="1722" spans="2:2" x14ac:dyDescent="0.25">
      <c r="B1722" t="s">
        <v>1784</v>
      </c>
    </row>
    <row r="1723" spans="2:2" x14ac:dyDescent="0.25">
      <c r="B1723" t="s">
        <v>1785</v>
      </c>
    </row>
    <row r="1724" spans="2:2" x14ac:dyDescent="0.25">
      <c r="B1724" t="s">
        <v>1786</v>
      </c>
    </row>
    <row r="1725" spans="2:2" x14ac:dyDescent="0.25">
      <c r="B1725" t="s">
        <v>1787</v>
      </c>
    </row>
    <row r="1726" spans="2:2" x14ac:dyDescent="0.25">
      <c r="B1726" t="s">
        <v>1788</v>
      </c>
    </row>
    <row r="1727" spans="2:2" x14ac:dyDescent="0.25">
      <c r="B1727" t="s">
        <v>1789</v>
      </c>
    </row>
    <row r="1728" spans="2:2" x14ac:dyDescent="0.25">
      <c r="B1728" t="s">
        <v>1790</v>
      </c>
    </row>
    <row r="1729" spans="2:2" x14ac:dyDescent="0.25">
      <c r="B1729" t="s">
        <v>1791</v>
      </c>
    </row>
    <row r="1730" spans="2:2" x14ac:dyDescent="0.25">
      <c r="B1730" t="s">
        <v>1792</v>
      </c>
    </row>
    <row r="1731" spans="2:2" x14ac:dyDescent="0.25">
      <c r="B1731" t="s">
        <v>1793</v>
      </c>
    </row>
    <row r="1732" spans="2:2" x14ac:dyDescent="0.25">
      <c r="B1732" t="s">
        <v>1794</v>
      </c>
    </row>
    <row r="1733" spans="2:2" x14ac:dyDescent="0.25">
      <c r="B1733" t="s">
        <v>1795</v>
      </c>
    </row>
    <row r="1734" spans="2:2" x14ac:dyDescent="0.25">
      <c r="B1734" t="s">
        <v>1796</v>
      </c>
    </row>
    <row r="1735" spans="2:2" x14ac:dyDescent="0.25">
      <c r="B1735" t="s">
        <v>1797</v>
      </c>
    </row>
    <row r="1736" spans="2:2" x14ac:dyDescent="0.25">
      <c r="B1736" t="s">
        <v>1798</v>
      </c>
    </row>
    <row r="1737" spans="2:2" x14ac:dyDescent="0.25">
      <c r="B1737" t="s">
        <v>1799</v>
      </c>
    </row>
    <row r="1738" spans="2:2" x14ac:dyDescent="0.25">
      <c r="B1738" t="s">
        <v>1800</v>
      </c>
    </row>
    <row r="1739" spans="2:2" x14ac:dyDescent="0.25">
      <c r="B1739" t="s">
        <v>1801</v>
      </c>
    </row>
    <row r="1740" spans="2:2" x14ac:dyDescent="0.25">
      <c r="B1740" t="s">
        <v>1802</v>
      </c>
    </row>
    <row r="1741" spans="2:2" x14ac:dyDescent="0.25">
      <c r="B1741" t="s">
        <v>1803</v>
      </c>
    </row>
    <row r="1742" spans="2:2" x14ac:dyDescent="0.25">
      <c r="B1742" t="s">
        <v>1804</v>
      </c>
    </row>
    <row r="1743" spans="2:2" x14ac:dyDescent="0.25">
      <c r="B1743" t="s">
        <v>1805</v>
      </c>
    </row>
    <row r="1744" spans="2:2" x14ac:dyDescent="0.25">
      <c r="B1744" t="s">
        <v>1806</v>
      </c>
    </row>
    <row r="1745" spans="2:2" x14ac:dyDescent="0.25">
      <c r="B1745" t="s">
        <v>1807</v>
      </c>
    </row>
    <row r="1746" spans="2:2" x14ac:dyDescent="0.25">
      <c r="B1746" t="s">
        <v>1808</v>
      </c>
    </row>
    <row r="1747" spans="2:2" x14ac:dyDescent="0.25">
      <c r="B1747" t="s">
        <v>1809</v>
      </c>
    </row>
    <row r="1748" spans="2:2" x14ac:dyDescent="0.25">
      <c r="B1748" t="s">
        <v>1810</v>
      </c>
    </row>
    <row r="1749" spans="2:2" x14ac:dyDescent="0.25">
      <c r="B1749" t="s">
        <v>1811</v>
      </c>
    </row>
    <row r="1750" spans="2:2" x14ac:dyDescent="0.25">
      <c r="B1750" t="s">
        <v>1812</v>
      </c>
    </row>
    <row r="1751" spans="2:2" x14ac:dyDescent="0.25">
      <c r="B1751" t="s">
        <v>1813</v>
      </c>
    </row>
    <row r="1752" spans="2:2" x14ac:dyDescent="0.25">
      <c r="B1752" t="s">
        <v>1814</v>
      </c>
    </row>
    <row r="1753" spans="2:2" x14ac:dyDescent="0.25">
      <c r="B1753" t="s">
        <v>1815</v>
      </c>
    </row>
    <row r="1754" spans="2:2" x14ac:dyDescent="0.25">
      <c r="B1754" t="s">
        <v>86</v>
      </c>
    </row>
    <row r="1755" spans="2:2" x14ac:dyDescent="0.25">
      <c r="B1755" t="s">
        <v>1816</v>
      </c>
    </row>
    <row r="1756" spans="2:2" x14ac:dyDescent="0.25">
      <c r="B1756" t="s">
        <v>1817</v>
      </c>
    </row>
    <row r="1757" spans="2:2" x14ac:dyDescent="0.25">
      <c r="B1757" t="s">
        <v>1818</v>
      </c>
    </row>
    <row r="1758" spans="2:2" x14ac:dyDescent="0.25">
      <c r="B1758" t="s">
        <v>1819</v>
      </c>
    </row>
    <row r="1759" spans="2:2" x14ac:dyDescent="0.25">
      <c r="B1759" t="s">
        <v>1820</v>
      </c>
    </row>
    <row r="1760" spans="2:2" x14ac:dyDescent="0.25">
      <c r="B1760" t="s">
        <v>1821</v>
      </c>
    </row>
    <row r="1761" spans="2:2" x14ac:dyDescent="0.25">
      <c r="B1761" t="s">
        <v>1822</v>
      </c>
    </row>
    <row r="1762" spans="2:2" x14ac:dyDescent="0.25">
      <c r="B1762" t="s">
        <v>1823</v>
      </c>
    </row>
    <row r="1763" spans="2:2" x14ac:dyDescent="0.25">
      <c r="B1763" t="s">
        <v>1824</v>
      </c>
    </row>
    <row r="1764" spans="2:2" x14ac:dyDescent="0.25">
      <c r="B1764" t="s">
        <v>1825</v>
      </c>
    </row>
    <row r="1765" spans="2:2" x14ac:dyDescent="0.25">
      <c r="B1765" t="s">
        <v>1826</v>
      </c>
    </row>
    <row r="1766" spans="2:2" x14ac:dyDescent="0.25">
      <c r="B1766" t="s">
        <v>1827</v>
      </c>
    </row>
    <row r="1767" spans="2:2" x14ac:dyDescent="0.25">
      <c r="B1767" t="s">
        <v>1828</v>
      </c>
    </row>
    <row r="1768" spans="2:2" x14ac:dyDescent="0.25">
      <c r="B1768" t="s">
        <v>1829</v>
      </c>
    </row>
    <row r="1769" spans="2:2" x14ac:dyDescent="0.25">
      <c r="B1769" t="s">
        <v>1830</v>
      </c>
    </row>
    <row r="1770" spans="2:2" x14ac:dyDescent="0.25">
      <c r="B1770" t="s">
        <v>1831</v>
      </c>
    </row>
    <row r="1771" spans="2:2" x14ac:dyDescent="0.25">
      <c r="B1771" t="s">
        <v>1832</v>
      </c>
    </row>
    <row r="1772" spans="2:2" x14ac:dyDescent="0.25">
      <c r="B1772" t="s">
        <v>1833</v>
      </c>
    </row>
    <row r="1773" spans="2:2" x14ac:dyDescent="0.25">
      <c r="B1773" t="s">
        <v>1834</v>
      </c>
    </row>
    <row r="1774" spans="2:2" x14ac:dyDescent="0.25">
      <c r="B1774" t="s">
        <v>1835</v>
      </c>
    </row>
    <row r="1775" spans="2:2" x14ac:dyDescent="0.25">
      <c r="B1775" t="s">
        <v>1836</v>
      </c>
    </row>
    <row r="1776" spans="2:2" x14ac:dyDescent="0.25">
      <c r="B1776" t="s">
        <v>1837</v>
      </c>
    </row>
    <row r="1777" spans="2:2" x14ac:dyDescent="0.25">
      <c r="B1777" t="s">
        <v>1838</v>
      </c>
    </row>
    <row r="1778" spans="2:2" x14ac:dyDescent="0.25">
      <c r="B1778" t="s">
        <v>1839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Macro</vt:lpstr>
      <vt:lpstr>Sectors</vt:lpstr>
      <vt:lpstr>Strategies</vt:lpstr>
      <vt:lpstr>News</vt:lpstr>
      <vt:lpstr>Stock</vt:lpstr>
      <vt:lpstr>Reference Information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2020-04-16T11:57:00Z</dcterms:modified>
</cp:coreProperties>
</file>