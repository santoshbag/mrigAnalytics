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30" activeTab="3"/>
  </bookViews>
  <sheets>
    <sheet name="Interest Rates Term Structures" sheetId="1" r:id="rId1"/>
    <sheet name="Vol Term Structure" sheetId="9" r:id="rId2"/>
    <sheet name="Index" sheetId="6" r:id="rId3"/>
    <sheet name="Bonds" sheetId="2" r:id="rId4"/>
    <sheet name="Options" sheetId="3" r:id="rId5"/>
    <sheet name="Reference" sheetId="4" r:id="rId6"/>
    <sheet name="Admin" sheetId="8" r:id="rId7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" l="1"/>
  <c r="C5" i="3"/>
  <c r="C5" i="2"/>
  <c r="R5" i="2" s="1"/>
  <c r="B4" i="8"/>
  <c r="C5" i="9"/>
  <c r="C28" i="1"/>
  <c r="C15" i="1"/>
  <c r="C5" i="1"/>
  <c r="L12" i="2" l="1"/>
  <c r="L11" i="2"/>
  <c r="L10" i="2"/>
  <c r="L9" i="2"/>
  <c r="P6" i="2" l="1"/>
  <c r="P7" i="2"/>
  <c r="P8" i="2"/>
  <c r="V6" i="2"/>
  <c r="J9" i="3"/>
  <c r="J8" i="3"/>
  <c r="J7" i="3"/>
  <c r="J5" i="9" l="1"/>
  <c r="P4" i="4"/>
  <c r="Q4" i="4"/>
  <c r="O5" i="3" l="1"/>
  <c r="C13" i="6"/>
  <c r="C5" i="6"/>
  <c r="V5" i="2" l="1"/>
</calcChain>
</file>

<file path=xl/sharedStrings.xml><?xml version="1.0" encoding="utf-8"?>
<sst xmlns="http://schemas.openxmlformats.org/spreadsheetml/2006/main" count="257" uniqueCount="183">
  <si>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</si>
  <si>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</si>
  <si>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</si>
  <si>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</si>
  <si>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</si>
  <si>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</si>
  <si>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</si>
  <si>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</si>
  <si>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</si>
  <si>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</si>
  <si>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</si>
  <si>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</si>
  <si>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</si>
  <si>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</si>
  <si>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</si>
  <si>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</si>
  <si>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</si>
  <si>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</si>
  <si>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</si>
  <si>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</si>
  <si>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</si>
  <si>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</si>
  <si>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</si>
  <si>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</si>
  <si>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</si>
  <si>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</si>
  <si>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</si>
  <si>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</si>
  <si>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</si>
  <si>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</si>
  <si>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</si>
  <si>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</si>
  <si>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</si>
  <si>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</si>
  <si>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</si>
  <si>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</si>
  <si>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</si>
  <si>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</si>
  <si>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</si>
  <si>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</si>
  <si>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</si>
  <si>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</si>
  <si>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</si>
  <si>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</si>
  <si>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</si>
  <si>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</si>
  <si>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</si>
  <si>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</si>
  <si>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Bond1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</si>
  <si>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</si>
  <si>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</si>
  <si>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</si>
  <si>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</si>
  <si>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</si>
  <si>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</si>
  <si>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</si>
  <si>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</si>
  <si>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</si>
  <si>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</si>
  <si>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</si>
  <si>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</si>
  <si>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</si>
  <si>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</si>
  <si>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</si>
  <si>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</si>
  <si>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</si>
  <si>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</si>
  <si>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</si>
  <si>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</si>
  <si>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</si>
  <si>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</si>
  <si>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</si>
  <si>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</si>
  <si>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</si>
  <si>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</si>
  <si>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</si>
  <si>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</si>
  <si>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</si>
  <si>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</si>
  <si>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</si>
  <si>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</si>
  <si>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</si>
  <si>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</si>
  <si>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</si>
  <si>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</si>
  <si>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</si>
  <si>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</si>
  <si>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</si>
  <si>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</si>
  <si>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</si>
  <si>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</si>
  <si>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</si>
  <si>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</si>
  <si>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</si>
  <si>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</si>
  <si>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</si>
  <si>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</si>
  <si>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</si>
  <si>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</si>
  <si>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</si>
  <si>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</si>
  <si>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</si>
  <si>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</si>
  <si>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</si>
  <si>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</si>
  <si>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</si>
  <si>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</si>
  <si>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</si>
  <si>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</si>
  <si>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LIBOR Tenors</t>
  </si>
  <si>
    <t>D</t>
  </si>
  <si>
    <t>W</t>
  </si>
  <si>
    <t>M</t>
  </si>
  <si>
    <t>Y</t>
  </si>
  <si>
    <t>34M</t>
  </si>
  <si>
    <t>Bond</t>
  </si>
  <si>
    <t xml:space="preserve"> </t>
  </si>
  <si>
    <t>Arguments</t>
  </si>
  <si>
    <t>Discount Curve</t>
  </si>
  <si>
    <t>Values</t>
  </si>
  <si>
    <t>NPV</t>
  </si>
  <si>
    <t>6M</t>
  </si>
  <si>
    <t>Libor6M</t>
  </si>
  <si>
    <t>Cap</t>
  </si>
  <si>
    <t>Floor</t>
  </si>
  <si>
    <t>Last Libor Fixing</t>
  </si>
  <si>
    <t>O P T I O N S</t>
  </si>
  <si>
    <t>O P T I O N  A N A L Y T I C S</t>
  </si>
  <si>
    <t>Option Name</t>
  </si>
  <si>
    <t>Underlying Name</t>
  </si>
  <si>
    <t>Option Type</t>
  </si>
  <si>
    <t>Strike</t>
  </si>
  <si>
    <t>Exercise Type</t>
  </si>
  <si>
    <t>Option</t>
  </si>
  <si>
    <t>Underlying Spot</t>
  </si>
  <si>
    <t>Volatility Curve</t>
  </si>
  <si>
    <t>Dividend Curve</t>
  </si>
  <si>
    <t>SBIOpt</t>
  </si>
  <si>
    <t>State Bank of India</t>
  </si>
  <si>
    <t>European</t>
  </si>
  <si>
    <t>V O L A T I L I T Y   C U R V E S</t>
  </si>
  <si>
    <t xml:space="preserve">Flat Vol </t>
  </si>
  <si>
    <t xml:space="preserve">Flat Dividend </t>
  </si>
  <si>
    <t>Valuation Method</t>
  </si>
  <si>
    <t>Black Scholes</t>
  </si>
  <si>
    <t>delta</t>
  </si>
  <si>
    <t>gamma</t>
  </si>
  <si>
    <t>theta</t>
  </si>
  <si>
    <t>theta_per_day</t>
  </si>
  <si>
    <t>rho</t>
  </si>
  <si>
    <t>vega</t>
  </si>
  <si>
    <t>strike_sensitivity</t>
  </si>
  <si>
    <t>dividendRho</t>
  </si>
  <si>
    <t>Put</t>
  </si>
  <si>
    <t>Parallel Shift</t>
  </si>
  <si>
    <t>A R G U M E N T S</t>
  </si>
  <si>
    <t>Conversion Ratio (per 100)</t>
  </si>
  <si>
    <t>Conversion Price</t>
  </si>
  <si>
    <t>Call Dates</t>
  </si>
  <si>
    <t>Call Price</t>
  </si>
  <si>
    <t>Put Dates</t>
  </si>
  <si>
    <t>Put Price</t>
  </si>
  <si>
    <t>Dividend Date</t>
  </si>
  <si>
    <t>Dividend</t>
  </si>
  <si>
    <t>Credit Spread</t>
  </si>
  <si>
    <t>FFYC|30-360|US|0.04|Compounded|Annual</t>
  </si>
  <si>
    <t>SZYC|Actual-360|India|Compounded|Annual|Linear</t>
  </si>
  <si>
    <t>FDYC|30-360|US|0.02|Compounded|Annual</t>
  </si>
  <si>
    <t>FVYC|30-360|US|0.4|Compounded|Annual</t>
  </si>
  <si>
    <t>Vanilla European | |SBIOpt|State Bank of India|2020-09-20 00:00:00|Put|261.0|European|30-360|India</t>
  </si>
  <si>
    <t>Index|Libor6M|INR|6M|30-360|India|3</t>
  </si>
  <si>
    <t>cleanPrice</t>
  </si>
  <si>
    <t>dirtyPrice</t>
  </si>
  <si>
    <t>accruedAmount</t>
  </si>
  <si>
    <t>Yield</t>
  </si>
  <si>
    <t>Spread</t>
  </si>
  <si>
    <t>Modified Duration</t>
  </si>
  <si>
    <t>Simple Duration</t>
  </si>
  <si>
    <t>Macualay Duration</t>
  </si>
  <si>
    <t>Convexity</t>
  </si>
  <si>
    <t>-----------------</t>
  </si>
  <si>
    <t>Cashflow Date</t>
  </si>
  <si>
    <t>Cashflow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</si>
</sst>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0.0000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39">
    <xf numFmtId="0" fontId="0" fillId="0" borderId="0" xfId="0"/>
    <xf numFmtId="15" fontId="0" fillId="0" borderId="0" xfId="0" applyNumberFormat="1"/>
    <xf numFmtId="0" fontId="3" fillId="2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2" borderId="0" xfId="0" applyFont="1" applyFill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8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15" fontId="3" fillId="2" borderId="1" xfId="0" applyNumberFormat="1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15" fontId="2" fillId="5" borderId="6" xfId="0" applyNumberFormat="1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1" fillId="3" borderId="1" xfId="0" applyFont="1" applyFill="1" applyBorder="1"/>
    <xf numFmtId="0" fontId="1" fillId="3" borderId="7" xfId="0" applyFont="1" applyFill="1" applyBorder="1"/>
    <xf numFmtId="0" fontId="3" fillId="2" borderId="11" xfId="0" applyFont="1" applyFill="1" applyBorder="1"/>
    <xf numFmtId="15" fontId="2" fillId="5" borderId="10" xfId="0" applyNumberFormat="1" applyFont="1" applyFill="1" applyBorder="1" applyAlignment="1"/>
    <xf numFmtId="0" fontId="1" fillId="3" borderId="7" xfId="0" applyFont="1" applyFill="1" applyBorder="1" applyAlignment="1"/>
    <xf numFmtId="0" fontId="2" fillId="5" borderId="10" xfId="0" applyNumberFormat="1" applyFont="1" applyFill="1" applyBorder="1" applyAlignment="1"/>
    <xf numFmtId="9" fontId="2" fillId="5" borderId="6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right"/>
    </xf>
    <xf numFmtId="14" fontId="3" fillId="2" borderId="0" xfId="0" applyNumberFormat="1" applyFont="1" applyFill="1" applyAlignment="1">
      <alignment horizontal="right"/>
    </xf>
    <xf numFmtId="0" fontId="3" fillId="0" borderId="0" xfId="0" applyFont="1" applyFill="1" applyAlignment="1">
      <alignment horizontal="right"/>
    </xf>
    <xf numFmtId="164" fontId="3" fillId="0" borderId="0" xfId="0" applyNumberFormat="1" applyFont="1" applyFill="1" applyAlignment="1">
      <alignment horizontal="right"/>
    </xf>
    <xf numFmtId="43" fontId="2" fillId="5" borderId="6" xfId="1" applyFont="1" applyFill="1" applyBorder="1" applyAlignment="1">
      <alignment horizontal="right"/>
    </xf>
    <xf numFmtId="2" fontId="3" fillId="2" borderId="0" xfId="0" applyNumberFormat="1" applyFont="1" applyFill="1" applyAlignment="1">
      <alignment horizontal="right"/>
    </xf>
    <xf numFmtId="2" fontId="3" fillId="0" borderId="0" xfId="0" applyNumberFormat="1" applyFont="1" applyFill="1" applyAlignment="1">
      <alignment horizontal="right"/>
    </xf>
    <xf numFmtId="165" fontId="2" fillId="5" borderId="6" xfId="0" applyNumberFormat="1" applyFont="1" applyFill="1" applyBorder="1" applyAlignment="1">
      <alignment horizontal="right"/>
    </xf>
    <xf numFmtId="14" fontId="3" fillId="2" borderId="0" xfId="0" applyNumberFormat="1" applyFont="1" applyFill="1"/>
    <xf numFmtId="14" fontId="3" fillId="0" borderId="0" xfId="0" applyNumberFormat="1" applyFont="1" applyFill="1"/>
    <xf numFmtId="10" fontId="2" fillId="5" borderId="6" xfId="0" applyNumberFormat="1" applyFont="1" applyFill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0"/>
  <sheetViews>
    <sheetView zoomScale="90" zoomScaleNormal="90" workbookViewId="0">
      <pane ySplit="3" topLeftCell="A5" activePane="bottomLeft" state="frozen"/>
      <selection pane="bottomLeft" activeCell="C29" sqref="C29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0</v>
      </c>
      <c r="C5" s="21" t="str">
        <f>mrigxl_FlatForwardYieldCurve(C7,C8,C9,C10,C11,C12,E18:F20)</f>
        <v>FFYC|30-360|US|0.04|Compounded|Annual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43257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0.04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154</v>
      </c>
      <c r="C13" s="23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19</v>
      </c>
      <c r="C15" s="21" t="str">
        <f>mrigxl_SpotZeroYieldCurve(C17,C18,C19,C20,C21,C22,C23,E18:F20)</f>
        <v>SZYC|Actual-360|India|Compounded|Annual|Linear</v>
      </c>
      <c r="D15" s="2" t="s">
        <v>116</v>
      </c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9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2</v>
      </c>
      <c r="C17" s="20">
        <v>43257</v>
      </c>
      <c r="D17" s="2"/>
      <c r="E17" s="8" t="s">
        <v>20</v>
      </c>
      <c r="F17" s="8" t="s">
        <v>21</v>
      </c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38</v>
      </c>
      <c r="C18" s="20" t="s">
        <v>39</v>
      </c>
      <c r="D18" s="2"/>
      <c r="E18" s="20">
        <v>43257</v>
      </c>
      <c r="F18" s="33">
        <v>0.01</v>
      </c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3</v>
      </c>
      <c r="C19" s="20" t="s">
        <v>6</v>
      </c>
      <c r="D19" s="2"/>
      <c r="E19" s="20">
        <v>45083</v>
      </c>
      <c r="F19" s="33">
        <v>5.0000000000000001E-3</v>
      </c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4</v>
      </c>
      <c r="C20" s="20" t="s">
        <v>12</v>
      </c>
      <c r="D20" s="2"/>
      <c r="E20" s="20">
        <v>46910</v>
      </c>
      <c r="F20" s="33">
        <v>0.01</v>
      </c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22</v>
      </c>
      <c r="C21" s="16" t="s">
        <v>24</v>
      </c>
      <c r="D21" s="2"/>
      <c r="E21" s="20">
        <v>43257</v>
      </c>
      <c r="F21" s="33">
        <v>0.01</v>
      </c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28</v>
      </c>
      <c r="C22" s="16" t="s">
        <v>29</v>
      </c>
      <c r="D22" s="2"/>
      <c r="E22" s="20">
        <v>43257</v>
      </c>
      <c r="F22" s="33">
        <v>0.01</v>
      </c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31</v>
      </c>
      <c r="C23" s="16" t="s">
        <v>32</v>
      </c>
      <c r="D23" s="2"/>
      <c r="E23" s="20">
        <v>43257</v>
      </c>
      <c r="F23" s="33">
        <v>0.01</v>
      </c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154</v>
      </c>
      <c r="C24" s="23">
        <v>0.01</v>
      </c>
      <c r="D24" s="7"/>
      <c r="E24" s="20">
        <v>43257</v>
      </c>
      <c r="F24" s="33">
        <v>0.01</v>
      </c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11"/>
      <c r="D25" s="7"/>
      <c r="E25" s="20">
        <v>43257</v>
      </c>
      <c r="F25" s="33">
        <v>0.01</v>
      </c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7"/>
      <c r="E26" s="20">
        <v>43257</v>
      </c>
      <c r="F26" s="33">
        <v>0.01</v>
      </c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20">
        <v>43257</v>
      </c>
      <c r="F27" s="33">
        <v>0.01</v>
      </c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18" t="s">
        <v>142</v>
      </c>
      <c r="C28" s="21" t="str">
        <f>mrigxl_FlatDividendYieldCurve(C30,C31,C32,C33,C34,C35)</f>
        <v>FDYC|30-360|US|0.02|Compounded|Annual</v>
      </c>
      <c r="D28" s="7"/>
      <c r="E28" s="20">
        <v>43257</v>
      </c>
      <c r="F28" s="33">
        <v>0.01</v>
      </c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6"/>
      <c r="C29" s="19"/>
      <c r="D29" s="7"/>
      <c r="E29" s="20">
        <v>43257</v>
      </c>
      <c r="F29" s="33">
        <v>0.01</v>
      </c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8" t="s">
        <v>2</v>
      </c>
      <c r="C30" s="20">
        <v>43257</v>
      </c>
      <c r="D30" s="7"/>
      <c r="E30" s="20">
        <v>43257</v>
      </c>
      <c r="F30" s="33">
        <v>0.01</v>
      </c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8" t="s">
        <v>3</v>
      </c>
      <c r="C31" s="20" t="s">
        <v>10</v>
      </c>
      <c r="D31" s="7"/>
      <c r="E31" s="20">
        <v>43257</v>
      </c>
      <c r="F31" s="33">
        <v>0.01</v>
      </c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8" t="s">
        <v>4</v>
      </c>
      <c r="C32" s="22" t="s">
        <v>13</v>
      </c>
      <c r="D32" s="7"/>
      <c r="E32" s="20">
        <v>43257</v>
      </c>
      <c r="F32" s="33">
        <v>0.01</v>
      </c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8" t="s">
        <v>5</v>
      </c>
      <c r="C33" s="23">
        <v>0.02</v>
      </c>
      <c r="D33" s="7"/>
      <c r="E33" s="20">
        <v>43257</v>
      </c>
      <c r="F33" s="33">
        <v>0.01</v>
      </c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8" t="s">
        <v>22</v>
      </c>
      <c r="C34" s="16" t="s">
        <v>24</v>
      </c>
      <c r="D34" s="7"/>
      <c r="E34" s="20">
        <v>43257</v>
      </c>
      <c r="F34" s="33">
        <v>0.01</v>
      </c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8" t="s">
        <v>28</v>
      </c>
      <c r="C35" s="16" t="s">
        <v>29</v>
      </c>
      <c r="D35" s="7"/>
      <c r="E35" s="20">
        <v>43257</v>
      </c>
      <c r="F35" s="33">
        <v>0.01</v>
      </c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20">
        <v>43257</v>
      </c>
      <c r="F36" s="33">
        <v>0.01</v>
      </c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20">
        <v>43257</v>
      </c>
      <c r="F37" s="33">
        <v>0.01</v>
      </c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20">
        <v>43257</v>
      </c>
      <c r="F38" s="33">
        <v>0.01</v>
      </c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20">
        <v>43257</v>
      </c>
      <c r="F39" s="33">
        <v>0.01</v>
      </c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20">
        <v>43257</v>
      </c>
      <c r="F40" s="33">
        <v>0.01</v>
      </c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20">
        <v>43257</v>
      </c>
      <c r="F41" s="33">
        <v>0.01</v>
      </c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20">
        <v>43257</v>
      </c>
      <c r="F42" s="33">
        <v>0.01</v>
      </c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C24 C10 C33 C13 F18:F4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 C31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 C32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 C34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 C35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C17 C30 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"/>
  <sheetViews>
    <sheetView zoomScale="90" zoomScaleNormal="90" workbookViewId="0">
      <pane ySplit="3" topLeftCell="A4" activePane="bottomLeft" state="frozen"/>
      <selection pane="bottomLeft" activeCell="C6" sqref="C6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140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141</v>
      </c>
      <c r="C5" s="21" t="str">
        <f>mrigxl_FlatVolatilityCurve(C7,C8,C9,C10,C11,C12)</f>
        <v>FVYC|30-360|US|0.4|Compounded|Annual</v>
      </c>
      <c r="D5" s="2" t="s">
        <v>116</v>
      </c>
      <c r="E5" s="2"/>
      <c r="F5" s="2"/>
      <c r="G5" s="2"/>
      <c r="H5" s="3"/>
      <c r="I5" s="2"/>
      <c r="J5" s="2" t="str">
        <f>C5</f>
        <v>FVYC|30-360|US|0.4|Compounded|Annual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43257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19"/>
      <c r="C13" s="11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7"/>
      <c r="C15" s="11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7"/>
      <c r="C16" s="11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7"/>
      <c r="C17" s="11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7"/>
      <c r="C18" s="11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7"/>
      <c r="C19" s="11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7"/>
      <c r="C20" s="11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11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11"/>
      <c r="D22" s="2"/>
      <c r="E22" s="2"/>
      <c r="F22" s="2"/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2"/>
      <c r="E23" s="2"/>
      <c r="F23" s="2"/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2"/>
      <c r="E24" s="2"/>
      <c r="F24" s="2"/>
      <c r="G24" s="2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11"/>
      <c r="D25" s="2"/>
      <c r="E25" s="2"/>
      <c r="F25" s="2"/>
      <c r="G25" s="2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2"/>
      <c r="E26" s="2"/>
      <c r="F26" s="2"/>
      <c r="G26" s="2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2"/>
      <c r="E27" s="2"/>
      <c r="F27" s="2"/>
      <c r="G27" s="2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11"/>
      <c r="D28" s="2"/>
      <c r="E28" s="2"/>
      <c r="F28" s="2"/>
      <c r="G28" s="2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11"/>
      <c r="D29" s="2"/>
      <c r="E29" s="2"/>
      <c r="F29" s="2"/>
      <c r="G29" s="2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11"/>
      <c r="D30" s="2"/>
      <c r="E30" s="2"/>
      <c r="F30" s="2"/>
      <c r="G30" s="2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11"/>
      <c r="D31" s="2"/>
      <c r="E31" s="2"/>
      <c r="F31" s="2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11"/>
      <c r="D32" s="2"/>
      <c r="E32" s="2"/>
      <c r="F32" s="2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7"/>
      <c r="C33" s="11"/>
      <c r="D33" s="2"/>
      <c r="E33" s="2"/>
      <c r="F33" s="2"/>
      <c r="G33" s="2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7"/>
      <c r="C34" s="11"/>
      <c r="D34" s="2"/>
      <c r="E34" s="2"/>
      <c r="F34" s="2"/>
      <c r="G34" s="2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7"/>
      <c r="C35" s="11"/>
      <c r="D35" s="2"/>
      <c r="E35" s="2"/>
      <c r="F35" s="2"/>
      <c r="G35" s="2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7"/>
      <c r="C36" s="11"/>
      <c r="D36" s="2"/>
      <c r="E36" s="2"/>
      <c r="F36" s="2"/>
      <c r="G36" s="2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7"/>
      <c r="C37" s="11"/>
      <c r="D37" s="2"/>
      <c r="E37" s="2"/>
      <c r="F37" s="2"/>
      <c r="G37" s="2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7"/>
      <c r="C38" s="11"/>
      <c r="D38" s="2"/>
      <c r="E38" s="2"/>
      <c r="F38" s="2"/>
      <c r="G38" s="2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7"/>
      <c r="C39" s="11"/>
      <c r="D39" s="2"/>
      <c r="E39" s="2"/>
      <c r="F39" s="2"/>
      <c r="G39" s="2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7"/>
      <c r="C40" s="11"/>
      <c r="D40" s="2"/>
      <c r="E40" s="2"/>
      <c r="F40" s="2"/>
      <c r="G40" s="2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7"/>
      <c r="C41" s="11"/>
      <c r="D41" s="2"/>
      <c r="E41" s="2"/>
      <c r="F41" s="2"/>
      <c r="G41" s="2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7"/>
      <c r="C42" s="11"/>
      <c r="D42" s="2"/>
      <c r="E42" s="2"/>
      <c r="F42" s="2"/>
      <c r="G42" s="2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7"/>
      <c r="C43" s="11"/>
      <c r="D43" s="2"/>
      <c r="E43" s="2"/>
      <c r="F43" s="2"/>
      <c r="G43" s="2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7"/>
      <c r="C44" s="11"/>
      <c r="D44" s="2"/>
      <c r="E44" s="2"/>
      <c r="F44" s="2"/>
      <c r="G44" s="2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7"/>
      <c r="C45" s="11"/>
      <c r="D45" s="2"/>
      <c r="E45" s="2"/>
      <c r="F45" s="2"/>
      <c r="G45" s="2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7"/>
      <c r="C46" s="11"/>
      <c r="D46" s="2"/>
      <c r="E46" s="2"/>
      <c r="F46" s="2"/>
      <c r="G46" s="2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7"/>
      <c r="C47" s="11"/>
      <c r="D47" s="2"/>
      <c r="E47" s="2"/>
      <c r="F47" s="2"/>
      <c r="G47" s="2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7"/>
      <c r="C48" s="11"/>
      <c r="D48" s="2"/>
      <c r="E48" s="2"/>
      <c r="F48" s="2"/>
      <c r="G48" s="2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7"/>
      <c r="C49" s="11"/>
      <c r="D49" s="2"/>
      <c r="E49" s="2"/>
      <c r="F49" s="2"/>
      <c r="G49" s="2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F18:F42 C10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</xm:sqref>
        </x14:dataValidation>
        <x14:dataValidation type="date" allowBlank="1" showInputMessage="1" showErrorMessage="1" promptTitle="Curve Date" prompt="_x000a_">
          <x14:formula1>
            <xm:f>Reference!F13</xm:f>
          </x14:formula1>
          <x14:formula2>
            <xm:f>Reference!F14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C17 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80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77</v>
      </c>
      <c r="C5" s="21" t="str">
        <f>mrigxl_Libor(C7,C8,C9,C10,C11,C12,C13)</f>
        <v>Index|Libor6M|INR|6M|30-360|India|3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78</v>
      </c>
      <c r="C7" s="20" t="s">
        <v>122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38</v>
      </c>
      <c r="C8" s="20" t="s">
        <v>39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79</v>
      </c>
      <c r="C9" s="22" t="s">
        <v>121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3</v>
      </c>
      <c r="C10" s="20" t="s">
        <v>10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4</v>
      </c>
      <c r="C11" s="20" t="s">
        <v>12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61</v>
      </c>
      <c r="C12" s="16">
        <v>3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107</v>
      </c>
      <c r="C13" s="20" t="str">
        <f>'Interest Rates Term Structures'!C5</f>
        <v>FFYC|30-360|US|0.04|Compounded|Annual</v>
      </c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/>
      <c r="C14" s="20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20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20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20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0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7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7"/>
      <c r="D22" s="7"/>
      <c r="E22" s="7"/>
      <c r="F22" s="7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7"/>
      <c r="F23" s="7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00"/>
  <sheetViews>
    <sheetView tabSelected="1" topLeftCell="D1" zoomScale="90" zoomScaleNormal="90" workbookViewId="0">
      <selection activeCell="K13" sqref="K13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12.85546875" style="4" bestFit="1" customWidth="1"/>
    <col min="6" max="6" width="9.85546875" style="4" bestFit="1" customWidth="1"/>
    <col min="7" max="7" width="3.140625" style="4" customWidth="1"/>
    <col min="8" max="8" width="12.85546875" style="4" bestFit="1" customWidth="1"/>
    <col min="9" max="9" width="9.85546875" style="4" customWidth="1"/>
    <col min="10" max="10" width="4" style="4" customWidth="1"/>
    <col min="11" max="11" width="14" style="4" customWidth="1"/>
    <col min="12" max="12" width="9.85546875" style="4" customWidth="1"/>
    <col min="13" max="13" width="4" style="4" customWidth="1"/>
    <col min="14" max="14" width="3.7109375" style="4" customWidth="1"/>
    <col min="15" max="15" width="24.7109375" style="4" customWidth="1"/>
    <col min="16" max="16" width="19.140625" style="4" customWidth="1"/>
    <col min="17" max="17" width="9.140625" style="4"/>
    <col min="18" max="18" width="18.28515625" style="28" bestFit="1" customWidth="1"/>
    <col min="19" max="19" width="20.85546875" style="32" bestFit="1" customWidth="1"/>
    <col min="20" max="20" width="9.140625" style="4"/>
    <col min="21" max="22" width="10.28515625" style="4" bestFit="1" customWidth="1"/>
    <col min="23" max="23" width="9.140625" style="4"/>
    <col min="24" max="24" width="10.42578125" style="4" bestFit="1" customWidth="1"/>
    <col min="25" max="27" width="10.28515625" style="4" bestFit="1" customWidth="1"/>
    <col min="28" max="16384" width="9.140625" style="4"/>
  </cols>
  <sheetData>
    <row r="1" spans="1:4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42" x14ac:dyDescent="0.2">
      <c r="A2" s="5" t="s">
        <v>45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5" t="s">
        <v>46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4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4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42" x14ac:dyDescent="0.2">
      <c r="A5" s="2"/>
      <c r="B5" s="17" t="s">
        <v>115</v>
      </c>
      <c r="C5" s="17" t="str">
        <f>mrigxl_Bond(C7,C8,C9,C10,C11,C12,C13,C14,C15,C16,C17,C18,C19,C20,C21,C22,C23,C24,C25,C26,C27,E9:F9,H9:I11,K9:L12)</f>
        <v>Convertible Bond |0.0575|3.84|26.0|0.03||Bond1|2002-03-15 00:00:00|2022-03-15 00:00:00|100.0|30-360|US|Unadjusted|False|3|Backward|Semiannual|True</v>
      </c>
      <c r="D5" s="2" t="s">
        <v>116</v>
      </c>
      <c r="E5" s="2"/>
      <c r="F5" s="2"/>
      <c r="G5" s="2"/>
      <c r="H5" s="2"/>
      <c r="I5" s="2"/>
      <c r="J5" s="2"/>
      <c r="K5" s="2"/>
      <c r="L5" s="2"/>
      <c r="M5" s="2"/>
      <c r="N5" s="3"/>
      <c r="O5" s="37" t="s">
        <v>155</v>
      </c>
      <c r="P5" s="38"/>
      <c r="Q5" s="2"/>
      <c r="R5" s="24" t="str">
        <f>mrigxl_Analytics(C5,O6:P9)</f>
        <v>Heads</v>
      </c>
      <c r="S5" s="24" t="s">
        <v>119</v>
      </c>
      <c r="T5" s="2"/>
      <c r="U5" s="2"/>
      <c r="V5" s="2" t="str">
        <f>R5</f>
        <v>Heads</v>
      </c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42" x14ac:dyDescent="0.2">
      <c r="A6" s="2"/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8" t="s">
        <v>118</v>
      </c>
      <c r="P6" s="23" t="str">
        <f>'Interest Rates Term Structures'!C5</f>
        <v>FFYC|30-360|US|0.04|Compounded|Annual</v>
      </c>
      <c r="Q6" s="2"/>
      <c r="R6" s="25" t="s">
        <v>120</v>
      </c>
      <c r="S6" s="31">
        <v>121.25416006786519</v>
      </c>
      <c r="T6" s="2"/>
      <c r="U6" s="2"/>
      <c r="V6" s="2" t="str">
        <f>C5</f>
        <v>Convertible Bond |0.0575|3.84|26.0|0.03||Bond1|2002-03-15 00:00:00|2022-03-15 00:00:00|100.0|30-360|US|Unadjusted|False|3|Backward|Semiannual|True</v>
      </c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42" x14ac:dyDescent="0.2">
      <c r="A7" s="2"/>
      <c r="B7" s="8" t="s">
        <v>47</v>
      </c>
      <c r="C7" s="15" t="s">
        <v>48</v>
      </c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8" t="s">
        <v>135</v>
      </c>
      <c r="P7" s="16" t="str">
        <f>'Vol Term Structure'!C5</f>
        <v>FVYC|30-360|US|0.4|Compounded|Annual</v>
      </c>
      <c r="Q7" s="2"/>
      <c r="R7" s="25" t="s">
        <v>171</v>
      </c>
      <c r="S7" s="31">
        <v>119.88054895675405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42" x14ac:dyDescent="0.2">
      <c r="A8" s="2"/>
      <c r="B8" s="8" t="s">
        <v>49</v>
      </c>
      <c r="C8" s="15">
        <v>37330</v>
      </c>
      <c r="D8" s="2"/>
      <c r="E8" s="8" t="s">
        <v>158</v>
      </c>
      <c r="F8" s="8" t="s">
        <v>159</v>
      </c>
      <c r="G8" s="2"/>
      <c r="H8" s="8" t="s">
        <v>160</v>
      </c>
      <c r="I8" s="8" t="s">
        <v>161</v>
      </c>
      <c r="J8" s="2"/>
      <c r="K8" s="8" t="s">
        <v>162</v>
      </c>
      <c r="L8" s="8" t="s">
        <v>163</v>
      </c>
      <c r="M8" s="2"/>
      <c r="N8" s="3"/>
      <c r="O8" s="8" t="s">
        <v>136</v>
      </c>
      <c r="P8" s="16" t="str">
        <f>'Interest Rates Term Structures'!C28</f>
        <v>FDYC|30-360|US|0.02|Compounded|Annual</v>
      </c>
      <c r="Q8" s="2"/>
      <c r="R8" s="25" t="s">
        <v>172</v>
      </c>
      <c r="S8" s="31">
        <v>121.25416006786517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42" x14ac:dyDescent="0.2">
      <c r="A9" s="2"/>
      <c r="B9" s="8" t="s">
        <v>50</v>
      </c>
      <c r="C9" s="15">
        <v>44635</v>
      </c>
      <c r="D9" s="2"/>
      <c r="E9" s="20">
        <v>43544</v>
      </c>
      <c r="F9" s="16">
        <v>100</v>
      </c>
      <c r="G9" s="2"/>
      <c r="H9" s="20">
        <v>43539</v>
      </c>
      <c r="I9" s="16">
        <v>100</v>
      </c>
      <c r="J9" s="2"/>
      <c r="K9" s="20">
        <v>43435</v>
      </c>
      <c r="L9" s="16">
        <f>2%*29</f>
        <v>0.57999999999999996</v>
      </c>
      <c r="M9" s="2"/>
      <c r="N9" s="3"/>
      <c r="O9" s="8" t="s">
        <v>134</v>
      </c>
      <c r="P9" s="30">
        <v>29</v>
      </c>
      <c r="Q9" s="2"/>
      <c r="R9" s="25" t="s">
        <v>173</v>
      </c>
      <c r="S9" s="31">
        <v>1.3736111111111171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42" x14ac:dyDescent="0.2">
      <c r="A10" s="2"/>
      <c r="B10" s="8" t="s">
        <v>62</v>
      </c>
      <c r="C10" s="16">
        <v>100</v>
      </c>
      <c r="D10" s="2"/>
      <c r="E10" s="20"/>
      <c r="F10" s="16"/>
      <c r="G10" s="2"/>
      <c r="H10" s="20">
        <v>43905</v>
      </c>
      <c r="I10" s="16">
        <v>100</v>
      </c>
      <c r="J10" s="2"/>
      <c r="K10" s="20">
        <v>43800</v>
      </c>
      <c r="L10" s="16">
        <f>2%*29</f>
        <v>0.57999999999999996</v>
      </c>
      <c r="M10" s="2"/>
      <c r="N10" s="3"/>
      <c r="O10" s="2"/>
      <c r="P10" s="2"/>
      <c r="Q10" s="2"/>
      <c r="R10" s="25" t="s">
        <v>174</v>
      </c>
      <c r="S10" s="31">
        <v>4.169224097728734E-3</v>
      </c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42" x14ac:dyDescent="0.2">
      <c r="A11" s="2"/>
      <c r="B11" s="8" t="s">
        <v>3</v>
      </c>
      <c r="C11" s="16" t="s">
        <v>10</v>
      </c>
      <c r="D11" s="2"/>
      <c r="E11" s="20"/>
      <c r="F11" s="16"/>
      <c r="G11" s="2"/>
      <c r="H11" s="20">
        <v>44270</v>
      </c>
      <c r="I11" s="16">
        <v>100</v>
      </c>
      <c r="J11" s="2"/>
      <c r="K11" s="20">
        <v>44166</v>
      </c>
      <c r="L11" s="16">
        <f>2%*29</f>
        <v>0.57999999999999996</v>
      </c>
      <c r="M11" s="2"/>
      <c r="N11" s="3"/>
      <c r="O11" s="2"/>
      <c r="P11" s="2"/>
      <c r="Q11" s="2"/>
      <c r="R11" s="25" t="s">
        <v>175</v>
      </c>
      <c r="S11" s="31">
        <v>-3.8724900610948174E-2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42" x14ac:dyDescent="0.2">
      <c r="A12" s="2"/>
      <c r="B12" s="8" t="s">
        <v>4</v>
      </c>
      <c r="C12" s="16" t="s">
        <v>13</v>
      </c>
      <c r="D12" s="2"/>
      <c r="E12" s="20"/>
      <c r="F12" s="16"/>
      <c r="G12" s="2"/>
      <c r="H12" s="20"/>
      <c r="I12" s="16"/>
      <c r="J12" s="2"/>
      <c r="K12" s="20">
        <v>44531</v>
      </c>
      <c r="L12" s="16">
        <f>2%*29</f>
        <v>0.57999999999999996</v>
      </c>
      <c r="M12" s="2"/>
      <c r="N12" s="3"/>
      <c r="O12" s="2"/>
      <c r="P12" s="2"/>
      <c r="Q12" s="2"/>
      <c r="R12" s="25" t="s">
        <v>176</v>
      </c>
      <c r="S12" s="31">
        <v>3.4237633186890828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42" x14ac:dyDescent="0.2">
      <c r="A13" s="2"/>
      <c r="B13" s="8" t="s">
        <v>52</v>
      </c>
      <c r="C13" s="16" t="s">
        <v>85</v>
      </c>
      <c r="D13" s="2"/>
      <c r="E13" s="20"/>
      <c r="F13" s="16"/>
      <c r="G13" s="2"/>
      <c r="H13" s="20"/>
      <c r="I13" s="16"/>
      <c r="J13" s="2"/>
      <c r="K13" s="20"/>
      <c r="L13" s="16"/>
      <c r="M13" s="2"/>
      <c r="N13" s="3"/>
      <c r="O13" s="2"/>
      <c r="P13" s="2"/>
      <c r="Q13" s="2"/>
      <c r="R13" s="27" t="s">
        <v>177</v>
      </c>
      <c r="S13" s="31">
        <v>3.4309005369556824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42" x14ac:dyDescent="0.2">
      <c r="A14" s="2"/>
      <c r="B14" s="8" t="s">
        <v>60</v>
      </c>
      <c r="C14" s="16" t="b">
        <v>0</v>
      </c>
      <c r="D14" s="2"/>
      <c r="E14" s="20"/>
      <c r="F14" s="16"/>
      <c r="G14" s="2"/>
      <c r="H14" s="20"/>
      <c r="I14" s="16"/>
      <c r="J14" s="2"/>
      <c r="K14" s="20"/>
      <c r="L14" s="16"/>
      <c r="M14" s="2"/>
      <c r="N14" s="3"/>
      <c r="O14" s="2"/>
      <c r="P14" s="2"/>
      <c r="Q14" s="2"/>
      <c r="R14" s="27" t="s">
        <v>178</v>
      </c>
      <c r="S14" s="31">
        <v>3.4309005369556824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42" x14ac:dyDescent="0.2">
      <c r="A15" s="2"/>
      <c r="B15" s="8" t="s">
        <v>61</v>
      </c>
      <c r="C15" s="16">
        <v>3</v>
      </c>
      <c r="D15" s="2"/>
      <c r="E15" s="20"/>
      <c r="F15" s="16"/>
      <c r="G15" s="2"/>
      <c r="H15" s="20"/>
      <c r="I15" s="16"/>
      <c r="J15" s="2"/>
      <c r="K15" s="20"/>
      <c r="L15" s="16"/>
      <c r="M15" s="2"/>
      <c r="N15" s="3"/>
      <c r="O15" s="2"/>
      <c r="P15" s="2"/>
      <c r="Q15" s="2"/>
      <c r="R15" s="27" t="s">
        <v>179</v>
      </c>
      <c r="S15" s="31">
        <v>14.145011375321364</v>
      </c>
      <c r="T15" s="2"/>
      <c r="U15" s="2"/>
      <c r="V15" s="2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 x14ac:dyDescent="0.2">
      <c r="A16" s="2"/>
      <c r="B16" s="8" t="s">
        <v>63</v>
      </c>
      <c r="C16" s="16" t="s">
        <v>88</v>
      </c>
      <c r="D16" s="2"/>
      <c r="E16" s="20"/>
      <c r="F16" s="16"/>
      <c r="G16" s="2"/>
      <c r="H16" s="20"/>
      <c r="I16" s="16"/>
      <c r="J16" s="2"/>
      <c r="K16" s="20"/>
      <c r="L16" s="16"/>
      <c r="M16" s="2"/>
      <c r="N16" s="3"/>
      <c r="O16" s="2"/>
      <c r="P16" s="2"/>
      <c r="Q16" s="2"/>
      <c r="R16" s="27" t="s">
        <v>180</v>
      </c>
      <c r="S16" s="31" t="s">
        <v>180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2"/>
      <c r="B17" s="8" t="s">
        <v>51</v>
      </c>
      <c r="C17" s="16" t="s">
        <v>97</v>
      </c>
      <c r="D17" s="2"/>
      <c r="E17" s="20"/>
      <c r="F17" s="16"/>
      <c r="G17" s="2"/>
      <c r="H17" s="20"/>
      <c r="I17" s="16"/>
      <c r="J17" s="2"/>
      <c r="K17" s="20"/>
      <c r="L17" s="16"/>
      <c r="M17" s="2"/>
      <c r="N17" s="3"/>
      <c r="O17" s="2"/>
      <c r="P17" s="2"/>
      <c r="Q17" s="2"/>
      <c r="R17" s="27" t="s">
        <v>181</v>
      </c>
      <c r="S17" s="31" t="s">
        <v>182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8" t="s">
        <v>73</v>
      </c>
      <c r="C18" s="36">
        <v>5.7500000000000002E-2</v>
      </c>
      <c r="D18" s="2"/>
      <c r="E18" s="20"/>
      <c r="F18" s="16"/>
      <c r="G18" s="2"/>
      <c r="H18" s="20"/>
      <c r="I18" s="16"/>
      <c r="J18" s="2"/>
      <c r="K18" s="20"/>
      <c r="L18" s="16"/>
      <c r="M18" s="2"/>
      <c r="N18" s="3"/>
      <c r="O18" s="2"/>
      <c r="P18" s="2"/>
      <c r="Q18" s="2"/>
      <c r="R18" s="27">
        <v>37514</v>
      </c>
      <c r="S18" s="31">
        <v>2.8750000000000053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8" t="s">
        <v>74</v>
      </c>
      <c r="C19" s="16"/>
      <c r="D19" s="2"/>
      <c r="E19" s="20"/>
      <c r="F19" s="16"/>
      <c r="G19" s="2"/>
      <c r="H19" s="20"/>
      <c r="I19" s="16"/>
      <c r="J19" s="2"/>
      <c r="K19" s="20"/>
      <c r="L19" s="16"/>
      <c r="M19" s="2"/>
      <c r="N19" s="3"/>
      <c r="O19" s="2"/>
      <c r="P19" s="2"/>
      <c r="Q19" s="2"/>
      <c r="R19" s="27">
        <v>37695</v>
      </c>
      <c r="S19" s="31">
        <v>2.8750000000000053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8" t="s">
        <v>75</v>
      </c>
      <c r="C20" s="16"/>
      <c r="D20" s="2"/>
      <c r="E20" s="20"/>
      <c r="F20" s="16"/>
      <c r="G20" s="2"/>
      <c r="H20" s="20"/>
      <c r="I20" s="16"/>
      <c r="J20" s="2"/>
      <c r="K20" s="20"/>
      <c r="L20" s="16"/>
      <c r="M20" s="2"/>
      <c r="N20" s="3"/>
      <c r="O20" s="2"/>
      <c r="P20" s="2"/>
      <c r="Q20" s="2"/>
      <c r="R20" s="27">
        <v>37879</v>
      </c>
      <c r="S20" s="31">
        <v>2.8750000000000053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8" t="s">
        <v>76</v>
      </c>
      <c r="C21" s="16" t="b">
        <v>1</v>
      </c>
      <c r="D21" s="2"/>
      <c r="E21" s="20"/>
      <c r="F21" s="16"/>
      <c r="G21" s="2"/>
      <c r="H21" s="20"/>
      <c r="I21" s="16"/>
      <c r="J21" s="2"/>
      <c r="K21" s="20"/>
      <c r="L21" s="16"/>
      <c r="M21" s="2"/>
      <c r="N21" s="3"/>
      <c r="O21" s="2"/>
      <c r="P21" s="2"/>
      <c r="Q21" s="2"/>
      <c r="R21" s="27">
        <v>38061</v>
      </c>
      <c r="S21" s="31">
        <v>2.8750000000000053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8" t="s">
        <v>123</v>
      </c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2"/>
      <c r="P22" s="2"/>
      <c r="Q22" s="2"/>
      <c r="R22" s="27">
        <v>38245</v>
      </c>
      <c r="S22" s="31">
        <v>2.8750000000000053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8" t="s">
        <v>124</v>
      </c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2"/>
      <c r="P23" s="2"/>
      <c r="Q23" s="2"/>
      <c r="R23" s="27">
        <v>38426</v>
      </c>
      <c r="S23" s="31">
        <v>2.8750000000000053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8" t="s">
        <v>125</v>
      </c>
      <c r="C24" s="23"/>
      <c r="D24" s="9"/>
      <c r="E24" s="7"/>
      <c r="F24" s="7"/>
      <c r="G24" s="2"/>
      <c r="H24" s="10"/>
      <c r="I24" s="10"/>
      <c r="J24" s="10"/>
      <c r="K24" s="10"/>
      <c r="L24" s="10"/>
      <c r="M24" s="10"/>
      <c r="N24" s="3"/>
      <c r="O24" s="2"/>
      <c r="P24" s="2"/>
      <c r="Q24" s="2"/>
      <c r="R24" s="27">
        <v>38610</v>
      </c>
      <c r="S24" s="31">
        <v>2.8750000000000053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8" t="s">
        <v>156</v>
      </c>
      <c r="C25" s="30">
        <v>3.84</v>
      </c>
      <c r="D25" s="10"/>
      <c r="E25" s="7"/>
      <c r="F25" s="7"/>
      <c r="G25" s="2"/>
      <c r="H25" s="10"/>
      <c r="I25" s="10"/>
      <c r="J25" s="10"/>
      <c r="K25" s="10"/>
      <c r="L25" s="10"/>
      <c r="M25" s="10"/>
      <c r="N25" s="3"/>
      <c r="O25" s="2"/>
      <c r="P25" s="2"/>
      <c r="Q25" s="2"/>
      <c r="R25" s="27">
        <v>38791</v>
      </c>
      <c r="S25" s="31">
        <v>2.8750000000000053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8" t="s">
        <v>157</v>
      </c>
      <c r="C26" s="16">
        <v>26</v>
      </c>
      <c r="D26" s="10"/>
      <c r="E26" s="7"/>
      <c r="F26" s="7"/>
      <c r="G26" s="10"/>
      <c r="H26" s="10"/>
      <c r="I26" s="10"/>
      <c r="J26" s="10"/>
      <c r="K26" s="10"/>
      <c r="L26" s="10"/>
      <c r="M26" s="10"/>
      <c r="N26" s="3"/>
      <c r="O26" s="2"/>
      <c r="P26" s="2"/>
      <c r="Q26" s="2"/>
      <c r="R26" s="27">
        <v>38975</v>
      </c>
      <c r="S26" s="31">
        <v>2.8750000000000053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8" t="s">
        <v>164</v>
      </c>
      <c r="C27" s="23">
        <v>0.03</v>
      </c>
      <c r="D27" s="10"/>
      <c r="E27" s="7"/>
      <c r="F27" s="7"/>
      <c r="G27" s="10"/>
      <c r="H27" s="10"/>
      <c r="I27" s="10"/>
      <c r="J27" s="10"/>
      <c r="K27" s="10"/>
      <c r="L27" s="10"/>
      <c r="M27" s="10"/>
      <c r="N27" s="3"/>
      <c r="O27" s="2"/>
      <c r="P27" s="2"/>
      <c r="Q27" s="2"/>
      <c r="R27" s="27">
        <v>39156</v>
      </c>
      <c r="S27" s="31">
        <v>2.8750000000000053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7"/>
      <c r="C28" s="7"/>
      <c r="D28" s="10"/>
      <c r="E28" s="7"/>
      <c r="F28" s="7"/>
      <c r="G28" s="10"/>
      <c r="H28" s="10"/>
      <c r="I28" s="10"/>
      <c r="J28" s="10"/>
      <c r="K28" s="10"/>
      <c r="L28" s="10"/>
      <c r="M28" s="10"/>
      <c r="N28" s="3"/>
      <c r="O28" s="2"/>
      <c r="P28" s="2"/>
      <c r="Q28" s="2"/>
      <c r="R28" s="27">
        <v>39340</v>
      </c>
      <c r="S28" s="31">
        <v>2.8750000000000053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7"/>
      <c r="C29" s="7"/>
      <c r="D29" s="10"/>
      <c r="E29" s="7"/>
      <c r="F29" s="7"/>
      <c r="G29" s="10"/>
      <c r="H29" s="10"/>
      <c r="I29" s="10"/>
      <c r="J29" s="10"/>
      <c r="K29" s="10"/>
      <c r="L29" s="10"/>
      <c r="M29" s="10"/>
      <c r="N29" s="3"/>
      <c r="O29" s="2"/>
      <c r="P29" s="2"/>
      <c r="Q29" s="2"/>
      <c r="R29" s="27">
        <v>39522</v>
      </c>
      <c r="S29" s="31">
        <v>2.8750000000000053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7"/>
      <c r="C30" s="7"/>
      <c r="D30" s="10"/>
      <c r="E30" s="7"/>
      <c r="F30" s="7"/>
      <c r="G30" s="10"/>
      <c r="H30" s="10"/>
      <c r="I30" s="10"/>
      <c r="J30" s="10"/>
      <c r="K30" s="10"/>
      <c r="L30" s="10"/>
      <c r="M30" s="10"/>
      <c r="N30" s="3"/>
      <c r="O30" s="2"/>
      <c r="P30" s="2"/>
      <c r="Q30" s="2"/>
      <c r="R30" s="27">
        <v>39706</v>
      </c>
      <c r="S30" s="31">
        <v>2.8750000000000053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7"/>
      <c r="C31" s="7"/>
      <c r="D31" s="10"/>
      <c r="E31" s="7"/>
      <c r="F31" s="7"/>
      <c r="G31" s="10"/>
      <c r="H31" s="10"/>
      <c r="I31" s="10"/>
      <c r="J31" s="10"/>
      <c r="K31" s="10"/>
      <c r="L31" s="10"/>
      <c r="M31" s="10"/>
      <c r="N31" s="3"/>
      <c r="O31" s="2"/>
      <c r="P31" s="2"/>
      <c r="Q31" s="2"/>
      <c r="R31" s="27">
        <v>39887</v>
      </c>
      <c r="S31" s="31">
        <v>2.8750000000000053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7"/>
      <c r="C32" s="7"/>
      <c r="D32" s="10"/>
      <c r="E32" s="7"/>
      <c r="F32" s="7"/>
      <c r="G32" s="10"/>
      <c r="H32" s="10"/>
      <c r="I32" s="10"/>
      <c r="J32" s="10"/>
      <c r="K32" s="10"/>
      <c r="L32" s="10"/>
      <c r="M32" s="10"/>
      <c r="N32" s="3"/>
      <c r="O32" s="2"/>
      <c r="P32" s="2"/>
      <c r="Q32" s="2"/>
      <c r="R32" s="27">
        <v>40071</v>
      </c>
      <c r="S32" s="31">
        <v>2.8750000000000053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12"/>
      <c r="C33" s="10"/>
      <c r="D33" s="10"/>
      <c r="E33" s="7"/>
      <c r="F33" s="7"/>
      <c r="G33" s="10"/>
      <c r="H33" s="10"/>
      <c r="I33" s="10"/>
      <c r="J33" s="10"/>
      <c r="K33" s="10"/>
      <c r="L33" s="10"/>
      <c r="M33" s="10"/>
      <c r="N33" s="3"/>
      <c r="O33" s="2"/>
      <c r="P33" s="2"/>
      <c r="Q33" s="2"/>
      <c r="R33" s="27">
        <v>40252</v>
      </c>
      <c r="S33" s="31">
        <v>2.8750000000000053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12"/>
      <c r="C34" s="10"/>
      <c r="D34" s="10"/>
      <c r="E34" s="7"/>
      <c r="F34" s="7"/>
      <c r="G34" s="10"/>
      <c r="H34" s="10"/>
      <c r="I34" s="10"/>
      <c r="J34" s="10"/>
      <c r="K34" s="10"/>
      <c r="L34" s="10"/>
      <c r="M34" s="10"/>
      <c r="N34" s="3"/>
      <c r="O34" s="2"/>
      <c r="P34" s="2"/>
      <c r="Q34" s="2"/>
      <c r="R34" s="27">
        <v>40436</v>
      </c>
      <c r="S34" s="31">
        <v>2.8750000000000053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12"/>
      <c r="C35" s="10"/>
      <c r="D35" s="10"/>
      <c r="E35" s="7"/>
      <c r="F35" s="7"/>
      <c r="G35" s="10"/>
      <c r="H35" s="10"/>
      <c r="I35" s="10"/>
      <c r="J35" s="10"/>
      <c r="K35" s="10"/>
      <c r="L35" s="10"/>
      <c r="M35" s="10"/>
      <c r="N35" s="3"/>
      <c r="O35" s="2"/>
      <c r="P35" s="2"/>
      <c r="Q35" s="2"/>
      <c r="R35" s="27">
        <v>40617</v>
      </c>
      <c r="S35" s="31">
        <v>2.8750000000000053</v>
      </c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12"/>
      <c r="C36" s="10"/>
      <c r="D36" s="10"/>
      <c r="E36" s="7"/>
      <c r="F36" s="7"/>
      <c r="G36" s="10"/>
      <c r="H36" s="10"/>
      <c r="I36" s="10"/>
      <c r="J36" s="10"/>
      <c r="K36" s="10"/>
      <c r="L36" s="10"/>
      <c r="M36" s="10"/>
      <c r="N36" s="3"/>
      <c r="O36" s="2"/>
      <c r="P36" s="2"/>
      <c r="Q36" s="2"/>
      <c r="R36" s="27">
        <v>40801</v>
      </c>
      <c r="S36" s="31">
        <v>2.8750000000000053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12"/>
      <c r="C37" s="10"/>
      <c r="D37" s="10"/>
      <c r="E37" s="7"/>
      <c r="F37" s="7"/>
      <c r="G37" s="10"/>
      <c r="H37" s="10"/>
      <c r="I37" s="10"/>
      <c r="J37" s="10"/>
      <c r="K37" s="10"/>
      <c r="L37" s="10"/>
      <c r="M37" s="10"/>
      <c r="N37" s="3"/>
      <c r="O37" s="2"/>
      <c r="P37" s="2"/>
      <c r="Q37" s="2"/>
      <c r="R37" s="27">
        <v>40983</v>
      </c>
      <c r="S37" s="31">
        <v>2.8750000000000053</v>
      </c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12"/>
      <c r="C38" s="10"/>
      <c r="D38" s="10"/>
      <c r="E38" s="7"/>
      <c r="F38" s="7"/>
      <c r="G38" s="10"/>
      <c r="H38" s="10"/>
      <c r="I38" s="10"/>
      <c r="J38" s="10"/>
      <c r="K38" s="10"/>
      <c r="L38" s="10"/>
      <c r="M38" s="10"/>
      <c r="N38" s="3"/>
      <c r="O38" s="2"/>
      <c r="P38" s="2"/>
      <c r="Q38" s="2"/>
      <c r="R38" s="27">
        <v>41167</v>
      </c>
      <c r="S38" s="31">
        <v>2.8750000000000053</v>
      </c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12"/>
      <c r="C39" s="10"/>
      <c r="D39" s="10"/>
      <c r="E39" s="7"/>
      <c r="F39" s="7"/>
      <c r="G39" s="10"/>
      <c r="H39" s="10"/>
      <c r="I39" s="10"/>
      <c r="J39" s="10"/>
      <c r="K39" s="10"/>
      <c r="L39" s="10"/>
      <c r="M39" s="10"/>
      <c r="N39" s="3"/>
      <c r="O39" s="2"/>
      <c r="P39" s="2"/>
      <c r="Q39" s="2"/>
      <c r="R39" s="27">
        <v>41348</v>
      </c>
      <c r="S39" s="31">
        <v>2.8750000000000053</v>
      </c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12"/>
      <c r="C40" s="10"/>
      <c r="D40" s="10"/>
      <c r="E40" s="7"/>
      <c r="F40" s="7"/>
      <c r="G40" s="10"/>
      <c r="H40" s="10"/>
      <c r="I40" s="10"/>
      <c r="J40" s="10"/>
      <c r="K40" s="10"/>
      <c r="L40" s="10"/>
      <c r="M40" s="10"/>
      <c r="N40" s="3"/>
      <c r="O40" s="2"/>
      <c r="P40" s="2"/>
      <c r="Q40" s="2"/>
      <c r="R40" s="27">
        <v>41532</v>
      </c>
      <c r="S40" s="31">
        <v>2.8750000000000053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12"/>
      <c r="C41" s="10"/>
      <c r="D41" s="10"/>
      <c r="E41" s="7"/>
      <c r="F41" s="7"/>
      <c r="G41" s="10"/>
      <c r="H41" s="10"/>
      <c r="I41" s="10"/>
      <c r="J41" s="10"/>
      <c r="K41" s="10"/>
      <c r="L41" s="10"/>
      <c r="M41" s="10"/>
      <c r="N41" s="3"/>
      <c r="O41" s="2"/>
      <c r="P41" s="2"/>
      <c r="Q41" s="2"/>
      <c r="R41" s="27">
        <v>41713</v>
      </c>
      <c r="S41" s="31">
        <v>2.8750000000000053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12"/>
      <c r="C42" s="10"/>
      <c r="D42" s="10"/>
      <c r="E42" s="7"/>
      <c r="F42" s="7"/>
      <c r="G42" s="10"/>
      <c r="H42" s="10"/>
      <c r="I42" s="10"/>
      <c r="J42" s="10"/>
      <c r="K42" s="10"/>
      <c r="L42" s="10"/>
      <c r="M42" s="10"/>
      <c r="N42" s="3"/>
      <c r="O42" s="2"/>
      <c r="P42" s="2"/>
      <c r="Q42" s="2"/>
      <c r="R42" s="27">
        <v>41897</v>
      </c>
      <c r="S42" s="31">
        <v>2.8750000000000053</v>
      </c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12"/>
      <c r="C43" s="10"/>
      <c r="D43" s="10"/>
      <c r="E43" s="7"/>
      <c r="F43" s="7"/>
      <c r="G43" s="10"/>
      <c r="H43" s="10"/>
      <c r="I43" s="10"/>
      <c r="J43" s="10"/>
      <c r="K43" s="10"/>
      <c r="L43" s="10"/>
      <c r="M43" s="10"/>
      <c r="N43" s="3"/>
      <c r="O43" s="2"/>
      <c r="P43" s="2"/>
      <c r="Q43" s="2"/>
      <c r="R43" s="27">
        <v>42078</v>
      </c>
      <c r="S43" s="31">
        <v>2.8750000000000053</v>
      </c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12"/>
      <c r="C44" s="10"/>
      <c r="D44" s="10"/>
      <c r="E44" s="7"/>
      <c r="F44" s="7"/>
      <c r="G44" s="10"/>
      <c r="H44" s="10"/>
      <c r="I44" s="10"/>
      <c r="J44" s="10"/>
      <c r="K44" s="10"/>
      <c r="L44" s="10"/>
      <c r="M44" s="10"/>
      <c r="N44" s="3"/>
      <c r="O44" s="2"/>
      <c r="P44" s="2"/>
      <c r="Q44" s="2"/>
      <c r="R44" s="27">
        <v>42262</v>
      </c>
      <c r="S44" s="31">
        <v>2.8750000000000053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12"/>
      <c r="C45" s="10"/>
      <c r="D45" s="10"/>
      <c r="E45" s="7"/>
      <c r="F45" s="7"/>
      <c r="G45" s="10"/>
      <c r="H45" s="10"/>
      <c r="I45" s="10"/>
      <c r="J45" s="10"/>
      <c r="K45" s="10"/>
      <c r="L45" s="10"/>
      <c r="M45" s="10"/>
      <c r="N45" s="3"/>
      <c r="O45" s="2"/>
      <c r="P45" s="2"/>
      <c r="Q45" s="2"/>
      <c r="R45" s="27">
        <v>42444</v>
      </c>
      <c r="S45" s="31">
        <v>2.8750000000000053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12"/>
      <c r="C46" s="10"/>
      <c r="D46" s="10"/>
      <c r="E46" s="7"/>
      <c r="F46" s="7"/>
      <c r="G46" s="10"/>
      <c r="H46" s="10"/>
      <c r="I46" s="10"/>
      <c r="J46" s="10"/>
      <c r="K46" s="10"/>
      <c r="L46" s="10"/>
      <c r="M46" s="10"/>
      <c r="N46" s="3"/>
      <c r="O46" s="2"/>
      <c r="P46" s="2"/>
      <c r="Q46" s="2"/>
      <c r="R46" s="27">
        <v>42628</v>
      </c>
      <c r="S46" s="31">
        <v>2.8750000000000053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12"/>
      <c r="C47" s="10"/>
      <c r="D47" s="10"/>
      <c r="E47" s="7"/>
      <c r="F47" s="7"/>
      <c r="G47" s="10"/>
      <c r="H47" s="10"/>
      <c r="I47" s="10"/>
      <c r="J47" s="10"/>
      <c r="K47" s="10"/>
      <c r="L47" s="10"/>
      <c r="M47" s="10"/>
      <c r="N47" s="3"/>
      <c r="O47" s="2"/>
      <c r="P47" s="2"/>
      <c r="Q47" s="2"/>
      <c r="R47" s="27">
        <v>42809</v>
      </c>
      <c r="S47" s="31">
        <v>2.8750000000000053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12"/>
      <c r="C48" s="10"/>
      <c r="D48" s="10"/>
      <c r="E48" s="7"/>
      <c r="F48" s="7"/>
      <c r="G48" s="10"/>
      <c r="H48" s="10"/>
      <c r="I48" s="10"/>
      <c r="J48" s="10"/>
      <c r="K48" s="10"/>
      <c r="L48" s="10"/>
      <c r="M48" s="10"/>
      <c r="N48" s="3"/>
      <c r="O48" s="2"/>
      <c r="P48" s="2"/>
      <c r="Q48" s="2"/>
      <c r="R48" s="27">
        <v>42993</v>
      </c>
      <c r="S48" s="31">
        <v>2.8750000000000053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12"/>
      <c r="C49" s="10"/>
      <c r="D49" s="10"/>
      <c r="E49" s="7"/>
      <c r="F49" s="7"/>
      <c r="G49" s="10"/>
      <c r="H49" s="10"/>
      <c r="I49" s="10"/>
      <c r="J49" s="10"/>
      <c r="K49" s="10"/>
      <c r="L49" s="10"/>
      <c r="M49" s="10"/>
      <c r="N49" s="3"/>
      <c r="O49" s="2"/>
      <c r="P49" s="2"/>
      <c r="Q49" s="2"/>
      <c r="R49" s="27">
        <v>43174</v>
      </c>
      <c r="S49" s="31">
        <v>2.8750000000000053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12"/>
      <c r="C50" s="10"/>
      <c r="D50" s="10"/>
      <c r="E50" s="7"/>
      <c r="F50" s="7"/>
      <c r="G50" s="10"/>
      <c r="H50" s="10"/>
      <c r="I50" s="10"/>
      <c r="J50" s="10"/>
      <c r="K50" s="10"/>
      <c r="L50" s="10"/>
      <c r="M50" s="10"/>
      <c r="N50" s="3"/>
      <c r="O50" s="2"/>
      <c r="P50" s="2"/>
      <c r="Q50" s="2"/>
      <c r="R50" s="27">
        <v>43358</v>
      </c>
      <c r="S50" s="31">
        <v>2.8750000000000053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12"/>
      <c r="C51" s="10"/>
      <c r="D51" s="10"/>
      <c r="E51" s="7"/>
      <c r="F51" s="7"/>
      <c r="G51" s="10"/>
      <c r="H51" s="10"/>
      <c r="I51" s="10"/>
      <c r="J51" s="10"/>
      <c r="K51" s="10"/>
      <c r="L51" s="10"/>
      <c r="M51" s="10"/>
      <c r="N51" s="3"/>
      <c r="O51" s="2"/>
      <c r="P51" s="2"/>
      <c r="Q51" s="2"/>
      <c r="R51" s="27">
        <v>43539</v>
      </c>
      <c r="S51" s="31">
        <v>2.8750000000000053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12"/>
      <c r="C52" s="10"/>
      <c r="D52" s="10"/>
      <c r="E52" s="7"/>
      <c r="F52" s="7"/>
      <c r="G52" s="10"/>
      <c r="H52" s="10"/>
      <c r="I52" s="10"/>
      <c r="J52" s="10"/>
      <c r="K52" s="10"/>
      <c r="L52" s="10"/>
      <c r="M52" s="10"/>
      <c r="N52" s="3"/>
      <c r="O52" s="2"/>
      <c r="P52" s="2"/>
      <c r="Q52" s="2"/>
      <c r="R52" s="27">
        <v>43723</v>
      </c>
      <c r="S52" s="31">
        <v>2.8750000000000053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12"/>
      <c r="C53" s="10"/>
      <c r="D53" s="10"/>
      <c r="E53" s="7"/>
      <c r="F53" s="7"/>
      <c r="G53" s="10"/>
      <c r="H53" s="10"/>
      <c r="I53" s="10"/>
      <c r="J53" s="10"/>
      <c r="K53" s="10"/>
      <c r="L53" s="10"/>
      <c r="M53" s="10"/>
      <c r="N53" s="3"/>
      <c r="O53" s="2"/>
      <c r="P53" s="2"/>
      <c r="Q53" s="2"/>
      <c r="R53" s="27">
        <v>43905</v>
      </c>
      <c r="S53" s="31">
        <v>2.8750000000000053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12"/>
      <c r="C54" s="10"/>
      <c r="D54" s="10"/>
      <c r="E54" s="7"/>
      <c r="F54" s="7"/>
      <c r="G54" s="10"/>
      <c r="H54" s="10"/>
      <c r="I54" s="10"/>
      <c r="J54" s="10"/>
      <c r="K54" s="10"/>
      <c r="L54" s="10"/>
      <c r="M54" s="10"/>
      <c r="N54" s="3"/>
      <c r="O54" s="2"/>
      <c r="P54" s="2"/>
      <c r="Q54" s="2"/>
      <c r="R54" s="27">
        <v>44089</v>
      </c>
      <c r="S54" s="31">
        <v>2.8750000000000053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12"/>
      <c r="C55" s="10"/>
      <c r="D55" s="10"/>
      <c r="E55" s="7"/>
      <c r="F55" s="7"/>
      <c r="G55" s="10"/>
      <c r="H55" s="10"/>
      <c r="I55" s="10"/>
      <c r="J55" s="10"/>
      <c r="K55" s="10"/>
      <c r="L55" s="10"/>
      <c r="M55" s="10"/>
      <c r="N55" s="3"/>
      <c r="O55" s="2"/>
      <c r="P55" s="2"/>
      <c r="Q55" s="2"/>
      <c r="R55" s="27">
        <v>44270</v>
      </c>
      <c r="S55" s="31">
        <v>2.8750000000000053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12"/>
      <c r="C56" s="10"/>
      <c r="D56" s="10"/>
      <c r="E56" s="7"/>
      <c r="F56" s="7"/>
      <c r="G56" s="10"/>
      <c r="H56" s="10"/>
      <c r="I56" s="10"/>
      <c r="J56" s="10"/>
      <c r="K56" s="10"/>
      <c r="L56" s="10"/>
      <c r="M56" s="10"/>
      <c r="N56" s="3"/>
      <c r="O56" s="2"/>
      <c r="P56" s="2"/>
      <c r="Q56" s="2"/>
      <c r="R56" s="27">
        <v>44454</v>
      </c>
      <c r="S56" s="31">
        <v>2.8750000000000053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12"/>
      <c r="C57" s="10"/>
      <c r="D57" s="10"/>
      <c r="E57" s="7"/>
      <c r="F57" s="7"/>
      <c r="G57" s="10"/>
      <c r="H57" s="10"/>
      <c r="I57" s="10"/>
      <c r="J57" s="10"/>
      <c r="K57" s="10"/>
      <c r="L57" s="10"/>
      <c r="M57" s="10"/>
      <c r="N57" s="3"/>
      <c r="O57" s="2"/>
      <c r="P57" s="2"/>
      <c r="Q57" s="2"/>
      <c r="R57" s="27">
        <v>44635</v>
      </c>
      <c r="S57" s="31">
        <v>100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12"/>
      <c r="C58" s="10"/>
      <c r="D58" s="10"/>
      <c r="E58" s="7"/>
      <c r="F58" s="7"/>
      <c r="G58" s="10"/>
      <c r="H58" s="10"/>
      <c r="I58" s="10"/>
      <c r="J58" s="10"/>
      <c r="K58" s="10"/>
      <c r="L58" s="10"/>
      <c r="M58" s="10"/>
      <c r="N58" s="3"/>
      <c r="O58" s="2"/>
      <c r="P58" s="2"/>
      <c r="Q58" s="2"/>
      <c r="R58" s="25"/>
      <c r="S58" s="3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12"/>
      <c r="C59" s="10"/>
      <c r="D59" s="10"/>
      <c r="E59" s="7"/>
      <c r="F59" s="7"/>
      <c r="G59" s="10"/>
      <c r="H59" s="10"/>
      <c r="I59" s="10"/>
      <c r="J59" s="10"/>
      <c r="K59" s="10"/>
      <c r="L59" s="10"/>
      <c r="M59" s="10"/>
      <c r="N59" s="3"/>
      <c r="O59" s="2"/>
      <c r="P59" s="2"/>
      <c r="Q59" s="2"/>
      <c r="R59" s="25"/>
      <c r="S59" s="3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12"/>
      <c r="C60" s="10"/>
      <c r="D60" s="10"/>
      <c r="E60" s="7"/>
      <c r="F60" s="7"/>
      <c r="G60" s="10"/>
      <c r="H60" s="10"/>
      <c r="I60" s="10"/>
      <c r="J60" s="10"/>
      <c r="K60" s="10"/>
      <c r="L60" s="10"/>
      <c r="M60" s="10"/>
      <c r="N60" s="3"/>
      <c r="O60" s="2"/>
      <c r="P60" s="2"/>
      <c r="Q60" s="2"/>
      <c r="R60" s="25"/>
      <c r="S60" s="3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12"/>
      <c r="C61" s="10"/>
      <c r="D61" s="10"/>
      <c r="E61" s="7"/>
      <c r="F61" s="7"/>
      <c r="G61" s="10"/>
      <c r="H61" s="10"/>
      <c r="I61" s="10"/>
      <c r="J61" s="10"/>
      <c r="K61" s="10"/>
      <c r="L61" s="10"/>
      <c r="M61" s="10"/>
      <c r="N61" s="3"/>
      <c r="O61" s="2"/>
      <c r="P61" s="2"/>
      <c r="Q61" s="2"/>
      <c r="R61" s="25"/>
      <c r="S61" s="3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12"/>
      <c r="C62" s="10"/>
      <c r="D62" s="10"/>
      <c r="E62" s="7"/>
      <c r="F62" s="7"/>
      <c r="G62" s="10"/>
      <c r="H62" s="10"/>
      <c r="I62" s="10"/>
      <c r="J62" s="10"/>
      <c r="K62" s="10"/>
      <c r="L62" s="10"/>
      <c r="M62" s="10"/>
      <c r="N62" s="3"/>
      <c r="O62" s="2"/>
      <c r="P62" s="2"/>
      <c r="Q62" s="2"/>
      <c r="R62" s="25"/>
      <c r="S62" s="3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12"/>
      <c r="C63" s="10"/>
      <c r="D63" s="10"/>
      <c r="E63" s="7"/>
      <c r="F63" s="7"/>
      <c r="G63" s="10"/>
      <c r="H63" s="10"/>
      <c r="I63" s="10"/>
      <c r="J63" s="10"/>
      <c r="K63" s="10"/>
      <c r="L63" s="10"/>
      <c r="M63" s="10"/>
      <c r="N63" s="3"/>
      <c r="O63" s="2"/>
      <c r="P63" s="2"/>
      <c r="Q63" s="2"/>
      <c r="R63" s="25"/>
      <c r="S63" s="3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12"/>
      <c r="C64" s="10"/>
      <c r="D64" s="10"/>
      <c r="E64" s="7"/>
      <c r="F64" s="7"/>
      <c r="G64" s="10"/>
      <c r="H64" s="10"/>
      <c r="I64" s="10"/>
      <c r="J64" s="10"/>
      <c r="K64" s="10"/>
      <c r="L64" s="10"/>
      <c r="M64" s="10"/>
      <c r="N64" s="3"/>
      <c r="O64" s="2"/>
      <c r="P64" s="2"/>
      <c r="Q64" s="2"/>
      <c r="R64" s="25"/>
      <c r="S64" s="3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12"/>
      <c r="C65" s="10"/>
      <c r="D65" s="10"/>
      <c r="E65" s="7"/>
      <c r="F65" s="7"/>
      <c r="G65" s="10"/>
      <c r="H65" s="10"/>
      <c r="I65" s="10"/>
      <c r="J65" s="10"/>
      <c r="K65" s="10"/>
      <c r="L65" s="10"/>
      <c r="M65" s="10"/>
      <c r="N65" s="3"/>
      <c r="O65" s="2"/>
      <c r="P65" s="2"/>
      <c r="Q65" s="2"/>
      <c r="R65" s="25"/>
      <c r="S65" s="3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12"/>
      <c r="C66" s="10"/>
      <c r="D66" s="10"/>
      <c r="E66" s="7"/>
      <c r="F66" s="7"/>
      <c r="G66" s="10"/>
      <c r="H66" s="10"/>
      <c r="I66" s="10"/>
      <c r="J66" s="10"/>
      <c r="K66" s="10"/>
      <c r="L66" s="10"/>
      <c r="M66" s="10"/>
      <c r="N66" s="3"/>
      <c r="O66" s="2"/>
      <c r="P66" s="2"/>
      <c r="Q66" s="2"/>
      <c r="R66" s="25"/>
      <c r="S66" s="3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12"/>
      <c r="C67" s="10"/>
      <c r="D67" s="10"/>
      <c r="E67" s="7"/>
      <c r="F67" s="7"/>
      <c r="G67" s="10"/>
      <c r="H67" s="10"/>
      <c r="I67" s="10"/>
      <c r="J67" s="10"/>
      <c r="K67" s="10"/>
      <c r="L67" s="10"/>
      <c r="M67" s="10"/>
      <c r="N67" s="3"/>
      <c r="O67" s="2"/>
      <c r="P67" s="2"/>
      <c r="Q67" s="2"/>
      <c r="R67" s="25"/>
      <c r="S67" s="3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12"/>
      <c r="C68" s="10"/>
      <c r="D68" s="10"/>
      <c r="E68" s="7"/>
      <c r="F68" s="7"/>
      <c r="G68" s="10"/>
      <c r="H68" s="10"/>
      <c r="I68" s="10"/>
      <c r="J68" s="10"/>
      <c r="K68" s="10"/>
      <c r="L68" s="10"/>
      <c r="M68" s="10"/>
      <c r="N68" s="3"/>
      <c r="O68" s="2"/>
      <c r="P68" s="2"/>
      <c r="Q68" s="2"/>
      <c r="R68" s="25"/>
      <c r="S68" s="3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12"/>
      <c r="C69" s="10"/>
      <c r="D69" s="10"/>
      <c r="E69" s="7"/>
      <c r="F69" s="7"/>
      <c r="G69" s="10"/>
      <c r="H69" s="10"/>
      <c r="I69" s="10"/>
      <c r="J69" s="10"/>
      <c r="K69" s="10"/>
      <c r="L69" s="10"/>
      <c r="M69" s="10"/>
      <c r="N69" s="3"/>
      <c r="O69" s="2"/>
      <c r="P69" s="2"/>
      <c r="Q69" s="2"/>
      <c r="R69" s="25"/>
      <c r="S69" s="3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12"/>
      <c r="C70" s="10"/>
      <c r="D70" s="10"/>
      <c r="E70" s="7"/>
      <c r="F70" s="7"/>
      <c r="G70" s="10"/>
      <c r="H70" s="10"/>
      <c r="I70" s="10"/>
      <c r="J70" s="10"/>
      <c r="K70" s="10"/>
      <c r="L70" s="10"/>
      <c r="M70" s="10"/>
      <c r="N70" s="3"/>
      <c r="O70" s="2"/>
      <c r="P70" s="2"/>
      <c r="Q70" s="2"/>
      <c r="R70" s="25"/>
      <c r="S70" s="3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12"/>
      <c r="C71" s="10"/>
      <c r="D71" s="10"/>
      <c r="E71" s="7"/>
      <c r="F71" s="7"/>
      <c r="G71" s="10"/>
      <c r="H71" s="10"/>
      <c r="I71" s="10"/>
      <c r="J71" s="10"/>
      <c r="K71" s="10"/>
      <c r="L71" s="10"/>
      <c r="M71" s="10"/>
      <c r="N71" s="3"/>
      <c r="O71" s="2"/>
      <c r="P71" s="2"/>
      <c r="Q71" s="2"/>
      <c r="R71" s="25"/>
      <c r="S71" s="3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12"/>
      <c r="C72" s="10"/>
      <c r="D72" s="10"/>
      <c r="E72" s="7"/>
      <c r="F72" s="7"/>
      <c r="G72" s="10"/>
      <c r="H72" s="10"/>
      <c r="I72" s="10"/>
      <c r="J72" s="10"/>
      <c r="K72" s="10"/>
      <c r="L72" s="10"/>
      <c r="M72" s="10"/>
      <c r="N72" s="3"/>
      <c r="O72" s="2"/>
      <c r="P72" s="2"/>
      <c r="Q72" s="2"/>
      <c r="R72" s="25"/>
      <c r="S72" s="3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12"/>
      <c r="C73" s="10"/>
      <c r="D73" s="13"/>
      <c r="E73" s="7"/>
      <c r="F73" s="7"/>
      <c r="G73" s="10"/>
      <c r="H73" s="10"/>
      <c r="I73" s="10"/>
      <c r="J73" s="10"/>
      <c r="K73" s="10"/>
      <c r="L73" s="10"/>
      <c r="M73" s="10"/>
      <c r="N73" s="3"/>
      <c r="O73" s="2"/>
      <c r="P73" s="2"/>
      <c r="Q73" s="2"/>
      <c r="R73" s="25"/>
      <c r="S73" s="3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14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3"/>
      <c r="O74" s="2"/>
      <c r="P74" s="2"/>
      <c r="Q74" s="2"/>
      <c r="R74" s="25"/>
      <c r="S74" s="3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2"/>
      <c r="P75" s="2"/>
      <c r="Q75" s="2"/>
      <c r="R75" s="25"/>
      <c r="S75" s="3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2"/>
      <c r="P76" s="2"/>
      <c r="Q76" s="2"/>
      <c r="R76" s="25"/>
      <c r="S76" s="3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2"/>
      <c r="P77" s="2"/>
      <c r="Q77" s="2"/>
      <c r="R77" s="25"/>
      <c r="S77" s="3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5"/>
      <c r="S78" s="3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2"/>
      <c r="P79" s="2"/>
      <c r="Q79" s="2"/>
      <c r="R79" s="25"/>
      <c r="S79" s="3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2"/>
      <c r="P80" s="2"/>
      <c r="Q80" s="2"/>
      <c r="R80" s="25"/>
      <c r="S80" s="3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2"/>
      <c r="P81" s="2"/>
      <c r="Q81" s="2"/>
      <c r="R81" s="25"/>
      <c r="S81" s="3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3"/>
      <c r="O82" s="2"/>
      <c r="P82" s="2"/>
      <c r="Q82" s="2"/>
      <c r="R82" s="25"/>
      <c r="S82" s="3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3"/>
      <c r="O83" s="2"/>
      <c r="P83" s="2"/>
      <c r="Q83" s="2"/>
      <c r="R83" s="25"/>
      <c r="S83" s="3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2"/>
      <c r="P84" s="2"/>
      <c r="Q84" s="2"/>
      <c r="R84" s="25"/>
      <c r="S84" s="3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2"/>
      <c r="P85" s="2"/>
      <c r="Q85" s="2"/>
      <c r="R85" s="25"/>
      <c r="S85" s="3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2"/>
      <c r="P86" s="2"/>
      <c r="Q86" s="2"/>
      <c r="R86" s="25"/>
      <c r="S86" s="3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2"/>
      <c r="P87" s="2"/>
      <c r="Q87" s="2"/>
      <c r="R87" s="25"/>
      <c r="S87" s="3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2"/>
      <c r="P88" s="2"/>
      <c r="Q88" s="2"/>
      <c r="R88" s="25"/>
      <c r="S88" s="3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2"/>
      <c r="P89" s="2"/>
      <c r="Q89" s="2"/>
      <c r="R89" s="25"/>
      <c r="S89" s="3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2"/>
      <c r="P90" s="2"/>
      <c r="Q90" s="2"/>
      <c r="R90" s="25"/>
      <c r="S90" s="3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2"/>
      <c r="P91" s="2"/>
      <c r="Q91" s="2"/>
      <c r="R91" s="25"/>
      <c r="S91" s="3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2"/>
      <c r="P92" s="2"/>
      <c r="Q92" s="2"/>
      <c r="R92" s="25"/>
      <c r="S92" s="3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2"/>
      <c r="P93" s="2"/>
      <c r="Q93" s="2"/>
      <c r="R93" s="25"/>
      <c r="S93" s="3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2"/>
      <c r="P94" s="2"/>
      <c r="Q94" s="2"/>
      <c r="R94" s="25"/>
      <c r="S94" s="3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3"/>
      <c r="O95" s="2"/>
      <c r="P95" s="2"/>
      <c r="Q95" s="2"/>
      <c r="R95" s="25"/>
      <c r="S95" s="3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3"/>
      <c r="O96" s="2"/>
      <c r="P96" s="2"/>
      <c r="Q96" s="2"/>
      <c r="R96" s="25"/>
      <c r="S96" s="3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3"/>
      <c r="O97" s="2"/>
      <c r="P97" s="2"/>
      <c r="Q97" s="2"/>
      <c r="R97" s="25"/>
      <c r="S97" s="3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3"/>
      <c r="O98" s="2"/>
      <c r="P98" s="2"/>
      <c r="Q98" s="2"/>
      <c r="R98" s="25"/>
      <c r="S98" s="3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3"/>
      <c r="O99" s="2"/>
      <c r="P99" s="2"/>
      <c r="Q99" s="2"/>
      <c r="R99" s="25"/>
      <c r="S99" s="3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3"/>
      <c r="O100" s="2"/>
      <c r="P100" s="2"/>
      <c r="Q100" s="2"/>
      <c r="R100" s="25"/>
      <c r="S100" s="3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</sheetData>
  <mergeCells count="1">
    <mergeCell ref="O5:P5"/>
  </mergeCells>
  <dataValidations count="8">
    <dataValidation type="decimal" allowBlank="1" showInputMessage="1" showErrorMessage="1" promptTitle="Rate" prompt="Rate in Decimal" sqref="C18 C20 C22:C25 G9:G21 C27 P10:P30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 C26 F9:F21 I9:I21 L9:L21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  <dataValidation type="decimal" allowBlank="1" showInputMessage="1" showErrorMessage="1" promptTitle="Strike" prompt="Strike in Decimal" sqref="P9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Reference!J1048573</xm:f>
          </x14:formula1>
          <x14:formula2>
            <xm:f>Reference!J1048574</xm:f>
          </x14:formula2>
          <xm:sqref>O11:O30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E9:E21 K9:K21 H9:H21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"/>
  <sheetViews>
    <sheetView topLeftCell="C4" zoomScale="90" zoomScaleNormal="90" workbookViewId="0">
      <selection activeCell="L6" sqref="L6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126</v>
      </c>
      <c r="B2" s="2"/>
      <c r="C2" s="2"/>
      <c r="D2" s="2"/>
      <c r="E2" s="2"/>
      <c r="F2" s="2"/>
      <c r="G2" s="2"/>
      <c r="H2" s="3"/>
      <c r="I2" s="5" t="s">
        <v>127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133</v>
      </c>
      <c r="C5" s="17" t="str">
        <f>mrigxl_Option(C7,C8,C9,C10,C11,C12,C13,C14)</f>
        <v>Vanilla European | |SBIOpt|State Bank of India|2020-09-20 00:00:00|Put|261.0|European|30-360|India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>mrigxl_Analytics(C5,I6:J10)</f>
        <v>Heads</v>
      </c>
      <c r="M5" s="24" t="s">
        <v>119</v>
      </c>
      <c r="N5" s="2"/>
      <c r="O5" s="2" t="str">
        <f>L5</f>
        <v>Heads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134</v>
      </c>
      <c r="J6" s="30">
        <v>275</v>
      </c>
      <c r="K6" s="2"/>
      <c r="L6" s="25" t="s">
        <v>120</v>
      </c>
      <c r="M6" s="26">
        <v>48.238961370583816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128</v>
      </c>
      <c r="C7" s="15" t="s">
        <v>137</v>
      </c>
      <c r="D7" s="2"/>
      <c r="E7" s="2"/>
      <c r="F7" s="2"/>
      <c r="G7" s="2"/>
      <c r="H7" s="3"/>
      <c r="I7" s="8" t="s">
        <v>118</v>
      </c>
      <c r="J7" s="16" t="str">
        <f>'Interest Rates Term Structures'!C5</f>
        <v>FFYC|30-360|US|0.04|Compounded|Annual</v>
      </c>
      <c r="K7" s="2"/>
      <c r="L7" s="25" t="s">
        <v>145</v>
      </c>
      <c r="M7" s="26">
        <v>-0.30764381321781953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129</v>
      </c>
      <c r="C8" s="15" t="s">
        <v>138</v>
      </c>
      <c r="D8" s="2"/>
      <c r="E8" s="2"/>
      <c r="F8" s="2"/>
      <c r="G8" s="2"/>
      <c r="H8" s="3"/>
      <c r="I8" s="8" t="s">
        <v>135</v>
      </c>
      <c r="J8" s="16" t="str">
        <f>'Vol Term Structure'!C5</f>
        <v>FVYC|30-360|US|0.4|Compounded|Annual</v>
      </c>
      <c r="K8" s="2"/>
      <c r="L8" s="25" t="s">
        <v>146</v>
      </c>
      <c r="M8" s="26">
        <v>2.0587217926395429E-3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44094</v>
      </c>
      <c r="D9" s="2"/>
      <c r="E9" s="2"/>
      <c r="F9" s="2"/>
      <c r="G9" s="2"/>
      <c r="H9" s="3"/>
      <c r="I9" s="8" t="s">
        <v>136</v>
      </c>
      <c r="J9" s="16" t="str">
        <f>'Interest Rates Term Structures'!C28</f>
        <v>FDYC|30-360|US|0.02|Compounded|Annual</v>
      </c>
      <c r="K9" s="2"/>
      <c r="L9" s="25" t="s">
        <v>147</v>
      </c>
      <c r="M9" s="26">
        <v>-8.920490534662159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130</v>
      </c>
      <c r="C10" s="16" t="s">
        <v>153</v>
      </c>
      <c r="D10" s="2"/>
      <c r="E10" s="2"/>
      <c r="F10" s="2"/>
      <c r="G10" s="2"/>
      <c r="H10" s="3"/>
      <c r="I10" s="8" t="s">
        <v>143</v>
      </c>
      <c r="J10" s="16" t="s">
        <v>144</v>
      </c>
      <c r="K10" s="2"/>
      <c r="L10" s="25" t="s">
        <v>148</v>
      </c>
      <c r="M10" s="26">
        <v>-2.4439700094964819E-2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131</v>
      </c>
      <c r="C11" s="30">
        <v>261</v>
      </c>
      <c r="D11" s="2"/>
      <c r="E11" s="2"/>
      <c r="F11" s="2"/>
      <c r="G11" s="2"/>
      <c r="H11" s="3"/>
      <c r="I11" s="2"/>
      <c r="J11" s="2"/>
      <c r="K11" s="2"/>
      <c r="L11" s="25" t="s">
        <v>149</v>
      </c>
      <c r="M11" s="26">
        <v>-304.05831179033038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132</v>
      </c>
      <c r="C12" s="16" t="s">
        <v>139</v>
      </c>
      <c r="D12" s="2"/>
      <c r="E12" s="2"/>
      <c r="F12" s="2"/>
      <c r="G12" s="2"/>
      <c r="H12" s="3"/>
      <c r="I12" s="2"/>
      <c r="J12" s="2"/>
      <c r="K12" s="2"/>
      <c r="L12" s="25" t="s">
        <v>150</v>
      </c>
      <c r="M12" s="26">
        <v>142.54360945370348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 t="s">
        <v>151</v>
      </c>
      <c r="M13" s="26">
        <v>0.50896938699419225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 t="s">
        <v>152</v>
      </c>
      <c r="M14" s="26">
        <v>193.64468909766077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16"/>
      <c r="D15" s="2"/>
      <c r="E15" s="2"/>
      <c r="F15" s="2"/>
      <c r="G15" s="2"/>
      <c r="H15" s="3"/>
      <c r="I15" s="2"/>
      <c r="J15" s="2"/>
      <c r="K15" s="2"/>
      <c r="L15" s="27"/>
      <c r="M15" s="26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16"/>
      <c r="D16" s="2"/>
      <c r="E16" s="2"/>
      <c r="F16" s="2"/>
      <c r="G16" s="2"/>
      <c r="H16" s="3"/>
      <c r="I16" s="2"/>
      <c r="J16" s="2"/>
      <c r="K16" s="2"/>
      <c r="L16" s="27"/>
      <c r="M16" s="26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16"/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3"/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/>
      <c r="C19" s="16"/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/>
      <c r="C20" s="16"/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/>
      <c r="C21" s="16"/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/>
      <c r="C22" s="16"/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/>
      <c r="C23" s="23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/>
      <c r="C24" s="23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4">
    <dataValidation type="list" allowBlank="1" showInputMessage="1" showErrorMessage="1" promptTitle="Call/Put" prompt="Call or Put" sqref="C10">
      <formula1>"Call, Put"</formula1>
    </dataValidation>
    <dataValidation type="decimal" allowBlank="1" showInputMessage="1" showErrorMessage="1" promptTitle="Strike" prompt="Strike in Decimal" sqref="C11 J6">
      <formula1>-9999999</formula1>
      <formula2>99999999</formula2>
    </dataValidation>
    <dataValidation type="list" allowBlank="1" showInputMessage="1" showErrorMessage="1" promptTitle="Exercise Type" prompt="European, American" sqref="C12">
      <formula1>"European, American"</formula1>
    </dataValidation>
    <dataValidation type="list" allowBlank="1" showInputMessage="1" showErrorMessage="1" promptTitle="Method" prompt="Black Scholes, Binomial" sqref="J10">
      <formula1>"Black Scholes, Binomial Tree"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topLeftCell="C1" workbookViewId="0">
      <selection activeCell="D5" sqref="D5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52</v>
      </c>
      <c r="L2" t="s">
        <v>63</v>
      </c>
      <c r="N2" t="s">
        <v>109</v>
      </c>
    </row>
    <row r="4" spans="2:17" x14ac:dyDescent="0.25">
      <c r="B4" t="s">
        <v>6</v>
      </c>
      <c r="C4" t="s">
        <v>12</v>
      </c>
      <c r="D4" s="1">
        <v>1</v>
      </c>
      <c r="E4" t="s">
        <v>23</v>
      </c>
      <c r="F4" t="s">
        <v>37</v>
      </c>
      <c r="G4" t="s">
        <v>32</v>
      </c>
      <c r="H4" t="s">
        <v>39</v>
      </c>
      <c r="I4" t="s">
        <v>81</v>
      </c>
      <c r="J4" t="s">
        <v>53</v>
      </c>
      <c r="L4" t="s">
        <v>88</v>
      </c>
      <c r="M4" t="s">
        <v>64</v>
      </c>
      <c r="N4" t="s">
        <v>110</v>
      </c>
      <c r="O4" t="s">
        <v>114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1">
        <v>109575</v>
      </c>
      <c r="E5" t="s">
        <v>24</v>
      </c>
      <c r="F5" t="s">
        <v>106</v>
      </c>
      <c r="G5" t="s">
        <v>34</v>
      </c>
      <c r="H5" t="s">
        <v>40</v>
      </c>
      <c r="I5" t="s">
        <v>82</v>
      </c>
      <c r="J5" t="s">
        <v>54</v>
      </c>
      <c r="L5" t="s">
        <v>89</v>
      </c>
      <c r="M5" t="s">
        <v>65</v>
      </c>
      <c r="N5" t="s">
        <v>111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83</v>
      </c>
      <c r="J6" t="s">
        <v>55</v>
      </c>
      <c r="L6" t="s">
        <v>90</v>
      </c>
      <c r="M6" t="s">
        <v>66</v>
      </c>
      <c r="N6" t="s">
        <v>112</v>
      </c>
    </row>
    <row r="7" spans="2:17" x14ac:dyDescent="0.25">
      <c r="B7" t="s">
        <v>9</v>
      </c>
      <c r="C7" t="s">
        <v>14</v>
      </c>
      <c r="E7" t="s">
        <v>26</v>
      </c>
      <c r="F7" t="s">
        <v>97</v>
      </c>
      <c r="H7" t="s">
        <v>42</v>
      </c>
      <c r="I7" t="s">
        <v>84</v>
      </c>
      <c r="J7" t="s">
        <v>56</v>
      </c>
      <c r="L7" t="s">
        <v>91</v>
      </c>
      <c r="M7" t="s">
        <v>67</v>
      </c>
      <c r="N7" t="s">
        <v>113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85</v>
      </c>
      <c r="J8" t="s">
        <v>57</v>
      </c>
      <c r="L8" t="s">
        <v>92</v>
      </c>
      <c r="M8" t="s">
        <v>68</v>
      </c>
    </row>
    <row r="9" spans="2:17" x14ac:dyDescent="0.25">
      <c r="C9" t="s">
        <v>13</v>
      </c>
      <c r="F9" t="s">
        <v>98</v>
      </c>
      <c r="H9" t="s">
        <v>44</v>
      </c>
      <c r="I9" t="s">
        <v>86</v>
      </c>
      <c r="J9" t="s">
        <v>58</v>
      </c>
      <c r="L9" t="s">
        <v>93</v>
      </c>
      <c r="M9" t="s">
        <v>69</v>
      </c>
    </row>
    <row r="10" spans="2:17" x14ac:dyDescent="0.25">
      <c r="F10" t="s">
        <v>99</v>
      </c>
      <c r="I10" t="s">
        <v>87</v>
      </c>
      <c r="J10" t="s">
        <v>59</v>
      </c>
      <c r="L10" t="s">
        <v>94</v>
      </c>
      <c r="M10" t="s">
        <v>70</v>
      </c>
    </row>
    <row r="11" spans="2:17" x14ac:dyDescent="0.25">
      <c r="F11" t="s">
        <v>100</v>
      </c>
      <c r="L11" t="s">
        <v>95</v>
      </c>
      <c r="M11" t="s">
        <v>71</v>
      </c>
    </row>
    <row r="12" spans="2:17" x14ac:dyDescent="0.25">
      <c r="F12" t="s">
        <v>101</v>
      </c>
      <c r="L12" t="s">
        <v>96</v>
      </c>
      <c r="M12" t="s">
        <v>72</v>
      </c>
    </row>
    <row r="13" spans="2:17" x14ac:dyDescent="0.25">
      <c r="F13" t="s">
        <v>102</v>
      </c>
    </row>
    <row r="14" spans="2:17" x14ac:dyDescent="0.25">
      <c r="F14" t="s">
        <v>103</v>
      </c>
    </row>
    <row r="15" spans="2:17" x14ac:dyDescent="0.25">
      <c r="F15" t="s">
        <v>104</v>
      </c>
    </row>
    <row r="16" spans="2:17" x14ac:dyDescent="0.25">
      <c r="F16" t="s">
        <v>105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10"/>
  <sheetViews>
    <sheetView workbookViewId="0">
      <selection activeCell="B5" sqref="B5"/>
    </sheetView>
  </sheetViews>
  <sheetFormatPr defaultRowHeight="15" x14ac:dyDescent="0.25"/>
  <sheetData>
    <row r="2" spans="2:2" x14ac:dyDescent="0.25">
      <c r="B2" t="s">
        <v>108</v>
      </c>
    </row>
    <row r="4" spans="2:2" x14ac:dyDescent="0.25">
      <c r="B4" t="str">
        <f>objectcheck()</f>
        <v>Vanilla European | |SBIOpt|State Bank of India|2020-09-20 00:00:00|Put|261.0|European|30-360|India</v>
      </c>
    </row>
    <row r="5" spans="2:2" x14ac:dyDescent="0.25">
      <c r="B5" t="s">
        <v>168</v>
      </c>
    </row>
    <row r="6" spans="2:2" x14ac:dyDescent="0.25">
      <c r="B6" t="s">
        <v>167</v>
      </c>
    </row>
    <row r="7" spans="2:2" x14ac:dyDescent="0.25">
      <c r="B7" t="s">
        <v>166</v>
      </c>
    </row>
    <row r="8" spans="2:2" x14ac:dyDescent="0.25">
      <c r="B8" t="s">
        <v>165</v>
      </c>
    </row>
    <row r="9" spans="2:2" x14ac:dyDescent="0.25">
      <c r="B9" t="s">
        <v>169</v>
      </c>
    </row>
    <row r="10" spans="2:2" x14ac:dyDescent="0.25">
      <c r="B10" t="s">
        <v>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Interest Rates Term Structures</vt:lpstr>
      <vt:lpstr>Vol Term Structure</vt:lpstr>
      <vt:lpstr>Index</vt:lpstr>
      <vt:lpstr>Bonds</vt:lpstr>
      <vt:lpstr>Options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2018-06-13T05:14:53Z</dcterms:modified>
</cp:coreProperties>
</file>