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 activeTab="3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Options" sheetId="3" r:id="rId5"/>
    <sheet name="Reference" sheetId="4" r:id="rId6"/>
    <sheet name="Admin" sheetId="8" r:id="rId7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5" i="3"/>
  <c r="B4" i="8"/>
  <c r="C5" i="9"/>
  <c r="C28" i="1"/>
  <c r="C15" i="1"/>
  <c r="C5" i="1"/>
  <c r="P6" i="2" l="1"/>
  <c r="L12" i="2"/>
  <c r="L11" i="2"/>
  <c r="L10" i="2"/>
  <c r="L9" i="2"/>
  <c r="P7" i="2" l="1"/>
  <c r="P8" i="2"/>
  <c r="V6" i="2"/>
  <c r="J9" i="3"/>
  <c r="J8" i="3"/>
  <c r="J7" i="3"/>
  <c r="R5" i="2"/>
  <c r="L5" i="3"/>
  <c r="J5" i="9" l="1"/>
  <c r="P4" i="4"/>
  <c r="Q4" i="4"/>
  <c r="O5" i="3" l="1"/>
  <c r="C13" i="6"/>
  <c r="C5" i="6"/>
  <c r="V5" i="2" l="1"/>
</calcChain>
</file>

<file path=xl/sharedStrings.xml><?xml version="1.0" encoding="utf-8"?>
<sst xmlns="http://schemas.openxmlformats.org/spreadsheetml/2006/main" count="255" uniqueCount="181">
  <si>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</si>
  <si>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</si>
  <si>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</si>
  <si>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</si>
  <si>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</si>
  <si>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</si>
  <si>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</si>
  <si>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</si>
  <si>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</si>
  <si>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</si>
  <si>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</si>
  <si>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</si>
  <si>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</si>
  <si>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</si>
  <si>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</si>
  <si>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</si>
  <si>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</si>
  <si>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</si>
  <si>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</si>
  <si>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</si>
  <si>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</si>
  <si>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</si>
  <si>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</si>
  <si>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</si>
  <si>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</si>
  <si>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</si>
  <si>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</si>
  <si>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</si>
  <si>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</si>
  <si>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</si>
  <si>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</si>
  <si>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</si>
  <si>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</si>
  <si>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</si>
  <si>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</si>
  <si>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</si>
  <si>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</si>
  <si>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</si>
  <si>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</si>
  <si>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</si>
  <si>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</si>
  <si>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</si>
  <si>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</si>
  <si>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</si>
  <si>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</si>
  <si>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</si>
  <si>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</si>
  <si>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</si>
  <si>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</si>
  <si>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</si>
  <si>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</si>
  <si>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</si>
  <si>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</si>
  <si>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</si>
  <si>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</si>
  <si>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</si>
  <si>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</si>
  <si>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</si>
  <si>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</si>
  <si>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</si>
  <si>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</si>
  <si>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</si>
  <si>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</si>
  <si>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</si>
  <si>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</si>
  <si>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</si>
  <si>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</si>
  <si>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</si>
  <si>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</si>
  <si>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</si>
  <si>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</si>
  <si>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</si>
  <si>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</si>
  <si>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</si>
  <si>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</si>
  <si>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</si>
  <si>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</si>
  <si>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</si>
  <si>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</si>
  <si>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</si>
  <si>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</si>
  <si>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</si>
  <si>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</si>
  <si>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</si>
  <si>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</si>
  <si>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</si>
  <si>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</si>
  <si>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</si>
  <si>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</si>
  <si>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</si>
  <si>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</si>
  <si>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</si>
  <si>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</si>
  <si>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</si>
  <si>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</si>
  <si>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</si>
  <si>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</si>
  <si>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</si>
  <si>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</si>
  <si>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</si>
  <si>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</si>
  <si>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</si>
  <si>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</si>
  <si>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</si>
  <si>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</si>
  <si>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</si>
  <si>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</si>
  <si>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</si>
  <si>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</si>
  <si>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</si>
  <si>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</si>
  <si>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</si>
  <si>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</si>
  <si>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</si>
  <si>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</si>
  <si>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</si>
  <si>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</si>
  <si>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</si>
  <si>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</si>
  <si>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</si>
  <si>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</si>
  <si>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6M</t>
  </si>
  <si>
    <t>Libor6M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</si>
  <si>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</si>
  <si>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</si>
  <si>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</si>
  <si>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</si>
  <si>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</si>
  <si>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</si>
  <si>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</si>
  <si>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</si>
  <si>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</si>
  <si>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</si>
  <si>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</si>
  <si>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</si>
  <si>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</si>
  <si>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</si>
  <si>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</si>
  <si>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</si>
  <si>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</si>
  <si>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</si>
  <si>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</si>
  <si>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</si>
  <si>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</si>
  <si>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Black Scholes</t>
  </si>
  <si>
    <t>delta</t>
  </si>
  <si>
    <t>gamma</t>
  </si>
  <si>
    <t>theta</t>
  </si>
  <si>
    <t>theta_per_day</t>
  </si>
  <si>
    <t>rho</t>
  </si>
  <si>
    <t>vega</t>
  </si>
  <si>
    <t>strike_sensitivity</t>
  </si>
  <si>
    <t>dividendRho</t>
  </si>
  <si>
    <t>Put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</si>
  <si>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</si>
  <si>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</si>
  <si>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</si>
  <si>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</si>
  <si>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</si>
  <si>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</si>
  <si>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</si>
  <si>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</si>
  <si>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</si>
  <si>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</si>
  <si>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</si>
  <si>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Vanilla European | |SBIOpt|State Bank of India|2020-09-20 00:00:00|Put|261.0|European|30-360|India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</si>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</sst>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7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0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167" fontId="2" fillId="5" borderId="6" xfId="1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zoomScale="90" zoomScaleNormal="90" workbookViewId="0">
      <pane ySplit="3" topLeftCell="A5" activePane="bottomLeft" state="frozen"/>
      <selection pane="bottomLeft" activeCell="C29" sqref="C29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43257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0.04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154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">
        <v>116</v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43257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0.01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0.01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0.01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154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142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43257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C17 C30 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140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141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 t="str">
        <f>C5</f>
        <v>FVYC|30-360|US|0.4|Compounded|Annual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43257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7"/>
      <c r="C15" s="11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7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7"/>
      <c r="C17" s="11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7"/>
      <c r="C18" s="11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11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7"/>
      <c r="C20" s="11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11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11"/>
      <c r="D22" s="2"/>
      <c r="E22" s="2"/>
      <c r="F22" s="2"/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2"/>
      <c r="E23" s="2"/>
      <c r="F23" s="2"/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2"/>
      <c r="E24" s="2"/>
      <c r="F24" s="2"/>
      <c r="G24" s="2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11"/>
      <c r="D25" s="2"/>
      <c r="E25" s="2"/>
      <c r="F25" s="2"/>
      <c r="G25" s="2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2"/>
      <c r="E26" s="2"/>
      <c r="F26" s="2"/>
      <c r="G26" s="2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2"/>
      <c r="E27" s="2"/>
      <c r="F27" s="2"/>
      <c r="G27" s="2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11"/>
      <c r="D28" s="2"/>
      <c r="E28" s="2"/>
      <c r="F28" s="2"/>
      <c r="G28" s="2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11"/>
      <c r="D29" s="2"/>
      <c r="E29" s="2"/>
      <c r="F29" s="2"/>
      <c r="G29" s="2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11"/>
      <c r="D30" s="2"/>
      <c r="E30" s="2"/>
      <c r="F30" s="2"/>
      <c r="G30" s="2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11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F18:F42 C1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C17 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Index|Libor6M|INR|6M|30-360|India|3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122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39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121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tabSelected="1" zoomScale="90" zoomScaleNormal="90" workbookViewId="0">
      <selection activeCell="G27" sqref="G27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|0.0575||Bond1|2002-03-15 00:00:00|2022-03-15 00:00:00|100.0|30-360|US|Unadjusted|False|3|Backward|Semiannual|True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37" t="s">
        <v>155</v>
      </c>
      <c r="P5" s="38"/>
      <c r="Q5" s="2"/>
      <c r="R5" s="24" t="str">
        <f>mrigxl_Analytics(C5,O6:P12)</f>
        <v>Heads</v>
      </c>
      <c r="S5" s="24" t="s">
        <v>119</v>
      </c>
      <c r="T5" s="2"/>
      <c r="U5" s="2"/>
      <c r="V5" s="2" t="str">
        <f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Structures'!C15</f>
        <v>SZYC|Actual-360|India|Compounded|Annual|Linear</v>
      </c>
      <c r="Q6" s="2"/>
      <c r="R6" s="25" t="s">
        <v>120</v>
      </c>
      <c r="S6" s="31">
        <v>99.713102650212434</v>
      </c>
      <c r="T6" s="2"/>
      <c r="U6" s="2"/>
      <c r="V6" s="2" t="str">
        <f>C5</f>
        <v>Callable Bond |0.0575||Bond1|2002-03-15 00:00:00|2022-03-15 00:00:00|100.0|30-360|US|Unadjusted|False|3|Backward|Semiannual|True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135</v>
      </c>
      <c r="P7" s="16" t="str">
        <f>'Vol Term Structure'!C5</f>
        <v>FVYC|30-360|US|0.4|Compounded|Annual</v>
      </c>
      <c r="Q7" s="2"/>
      <c r="R7" s="25" t="s">
        <v>166</v>
      </c>
      <c r="S7" s="31">
        <v>98.339491539101317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158</v>
      </c>
      <c r="F8" s="8" t="s">
        <v>159</v>
      </c>
      <c r="G8" s="2"/>
      <c r="H8" s="8" t="s">
        <v>160</v>
      </c>
      <c r="I8" s="8" t="s">
        <v>161</v>
      </c>
      <c r="J8" s="2"/>
      <c r="K8" s="8" t="s">
        <v>162</v>
      </c>
      <c r="L8" s="8" t="s">
        <v>163</v>
      </c>
      <c r="M8" s="2"/>
      <c r="N8" s="3"/>
      <c r="O8" s="8" t="s">
        <v>136</v>
      </c>
      <c r="P8" s="16" t="str">
        <f>'Interest Rates Term Structures'!C28</f>
        <v>FDYC|30-360|US|0.02|Compounded|Annual</v>
      </c>
      <c r="Q8" s="2"/>
      <c r="R8" s="25" t="s">
        <v>167</v>
      </c>
      <c r="S8" s="31">
        <v>99.713102650212434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134</v>
      </c>
      <c r="P9" s="30">
        <v>29</v>
      </c>
      <c r="Q9" s="2"/>
      <c r="R9" s="25" t="s">
        <v>168</v>
      </c>
      <c r="S9" s="31">
        <v>1.3736111111111171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178</v>
      </c>
      <c r="P10" s="36">
        <v>0.03</v>
      </c>
      <c r="Q10" s="2"/>
      <c r="R10" s="25" t="s">
        <v>169</v>
      </c>
      <c r="S10" s="31">
        <v>6.2489005222243613E-2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179</v>
      </c>
      <c r="P11" s="36">
        <v>0.12</v>
      </c>
      <c r="Q11" s="2"/>
      <c r="R11" s="25" t="s">
        <v>170</v>
      </c>
      <c r="S11" s="31">
        <v>-2.6766417664696309E-2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180</v>
      </c>
      <c r="P12" s="39">
        <v>40</v>
      </c>
      <c r="Q12" s="2"/>
      <c r="R12" s="25" t="s">
        <v>171</v>
      </c>
      <c r="S12" s="31">
        <v>3.2844461054473397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172</v>
      </c>
      <c r="S13" s="31">
        <v>3.3870669903650787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173</v>
      </c>
      <c r="S14" s="31">
        <v>3.3870669903650783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174</v>
      </c>
      <c r="S15" s="31">
        <v>13.143776131520966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175</v>
      </c>
      <c r="S16" s="31" t="s">
        <v>175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97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176</v>
      </c>
      <c r="S17" s="31" t="s">
        <v>177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5.7500000000000002E-2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37514</v>
      </c>
      <c r="S18" s="31">
        <v>2.8750000000000053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37695</v>
      </c>
      <c r="S19" s="31">
        <v>2.8750000000000053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37879</v>
      </c>
      <c r="S20" s="31">
        <v>2.8750000000000053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38061</v>
      </c>
      <c r="S21" s="31">
        <v>2.8750000000000053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123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38245</v>
      </c>
      <c r="S22" s="31">
        <v>2.8750000000000053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124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38426</v>
      </c>
      <c r="S23" s="31">
        <v>2.8750000000000053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125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38610</v>
      </c>
      <c r="S24" s="31">
        <v>2.8750000000000053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156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38791</v>
      </c>
      <c r="S25" s="31">
        <v>2.8750000000000053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157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38975</v>
      </c>
      <c r="S26" s="31">
        <v>2.8750000000000053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164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39156</v>
      </c>
      <c r="S27" s="31">
        <v>2.8750000000000053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39340</v>
      </c>
      <c r="S28" s="31">
        <v>2.8750000000000053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39522</v>
      </c>
      <c r="S29" s="31">
        <v>2.8750000000000053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39706</v>
      </c>
      <c r="S30" s="31">
        <v>2.8750000000000053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39887</v>
      </c>
      <c r="S31" s="31">
        <v>2.8750000000000053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40071</v>
      </c>
      <c r="S32" s="31">
        <v>2.8750000000000053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40252</v>
      </c>
      <c r="S33" s="31">
        <v>2.8750000000000053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40436</v>
      </c>
      <c r="S34" s="31">
        <v>2.8750000000000053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40617</v>
      </c>
      <c r="S35" s="31">
        <v>2.8750000000000053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40801</v>
      </c>
      <c r="S36" s="31">
        <v>2.8750000000000053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40983</v>
      </c>
      <c r="S37" s="31">
        <v>2.8750000000000053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41167</v>
      </c>
      <c r="S38" s="31">
        <v>2.8750000000000053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41348</v>
      </c>
      <c r="S39" s="31">
        <v>2.8750000000000053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41532</v>
      </c>
      <c r="S40" s="31">
        <v>2.8750000000000053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41713</v>
      </c>
      <c r="S41" s="31">
        <v>2.8750000000000053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41897</v>
      </c>
      <c r="S42" s="31">
        <v>2.8750000000000053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42078</v>
      </c>
      <c r="S43" s="31">
        <v>2.8750000000000053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42262</v>
      </c>
      <c r="S44" s="31">
        <v>2.8750000000000053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42444</v>
      </c>
      <c r="S45" s="31">
        <v>2.8750000000000053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42628</v>
      </c>
      <c r="S46" s="31">
        <v>2.8750000000000053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42809</v>
      </c>
      <c r="S47" s="31">
        <v>2.8750000000000053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42993</v>
      </c>
      <c r="S48" s="31">
        <v>2.8750000000000053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43174</v>
      </c>
      <c r="S49" s="31">
        <v>2.8750000000000053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43358</v>
      </c>
      <c r="S50" s="31">
        <v>2.8750000000000053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43539</v>
      </c>
      <c r="S51" s="31">
        <v>2.8750000000000053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43723</v>
      </c>
      <c r="S52" s="31">
        <v>2.8750000000000053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43905</v>
      </c>
      <c r="S53" s="31">
        <v>2.8750000000000053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44089</v>
      </c>
      <c r="S54" s="31">
        <v>2.8750000000000053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44270</v>
      </c>
      <c r="S55" s="31">
        <v>2.8750000000000053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44454</v>
      </c>
      <c r="S56" s="31">
        <v>2.8750000000000053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44635</v>
      </c>
      <c r="S57" s="31">
        <v>100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5"/>
      <c r="S58" s="3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5"/>
      <c r="S59" s="3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5"/>
      <c r="S60" s="3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5"/>
      <c r="S61" s="3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5"/>
      <c r="S62" s="3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5"/>
      <c r="S63" s="3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5"/>
      <c r="S64" s="3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5"/>
      <c r="S65" s="3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5"/>
      <c r="S66" s="3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5"/>
      <c r="S67" s="3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5"/>
      <c r="S68" s="3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5"/>
      <c r="S69" s="3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5"/>
      <c r="S70" s="3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5"/>
      <c r="S71" s="3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5"/>
      <c r="S72" s="3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5"/>
      <c r="S73" s="3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5"/>
      <c r="S74" s="3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5"/>
      <c r="S75" s="3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5"/>
      <c r="S76" s="3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5"/>
      <c r="S77" s="3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5"/>
      <c r="S78" s="3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5"/>
      <c r="S79" s="3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5"/>
      <c r="S80" s="3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5"/>
      <c r="S81" s="3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5"/>
      <c r="S82" s="3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5"/>
      <c r="S83" s="3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5"/>
      <c r="S84" s="3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5"/>
      <c r="S85" s="3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5"/>
      <c r="S86" s="3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5"/>
      <c r="S87" s="3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5"/>
      <c r="S88" s="3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5"/>
      <c r="S89" s="3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5"/>
      <c r="S90" s="3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5"/>
      <c r="S91" s="3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5"/>
      <c r="S92" s="3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5"/>
      <c r="S93" s="3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5"/>
      <c r="S94" s="3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5"/>
      <c r="S95" s="3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5"/>
      <c r="S96" s="3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5"/>
      <c r="S97" s="3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topLeftCell="C4" zoomScale="90" zoomScaleNormal="90" workbookViewId="0">
      <selection activeCell="L6" sqref="L6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126</v>
      </c>
      <c r="B2" s="2"/>
      <c r="C2" s="2"/>
      <c r="D2" s="2"/>
      <c r="E2" s="2"/>
      <c r="F2" s="2"/>
      <c r="G2" s="2"/>
      <c r="H2" s="3"/>
      <c r="I2" s="5" t="s">
        <v>127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133</v>
      </c>
      <c r="C5" s="17" t="str">
        <f>mrigxl_Option(C7,C8,C9,C10,C11,C12,C13,C14)</f>
        <v>Vanilla European | |SBIOpt|State Bank of India|2020-09-20 00:00:00|Put|261.0|European|30-360|India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Heads</v>
      </c>
      <c r="M5" s="24" t="s">
        <v>119</v>
      </c>
      <c r="N5" s="2"/>
      <c r="O5" s="2" t="str">
        <f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134</v>
      </c>
      <c r="J6" s="30">
        <v>275</v>
      </c>
      <c r="K6" s="2"/>
      <c r="L6" s="25" t="s">
        <v>120</v>
      </c>
      <c r="M6" s="26">
        <v>48.238961370583816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128</v>
      </c>
      <c r="C7" s="15" t="s">
        <v>137</v>
      </c>
      <c r="D7" s="2"/>
      <c r="E7" s="2"/>
      <c r="F7" s="2"/>
      <c r="G7" s="2"/>
      <c r="H7" s="3"/>
      <c r="I7" s="8" t="s">
        <v>118</v>
      </c>
      <c r="J7" s="16" t="str">
        <f>'Interest Rates Term Structures'!C5</f>
        <v>FFYC|30-360|US|0.04|Compounded|Annual</v>
      </c>
      <c r="K7" s="2"/>
      <c r="L7" s="25" t="s">
        <v>145</v>
      </c>
      <c r="M7" s="26">
        <v>-0.30764381321781953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129</v>
      </c>
      <c r="C8" s="15" t="s">
        <v>138</v>
      </c>
      <c r="D8" s="2"/>
      <c r="E8" s="2"/>
      <c r="F8" s="2"/>
      <c r="G8" s="2"/>
      <c r="H8" s="3"/>
      <c r="I8" s="8" t="s">
        <v>135</v>
      </c>
      <c r="J8" s="16" t="str">
        <f>'Vol Term Structure'!C5</f>
        <v>FVYC|30-360|US|0.4|Compounded|Annual</v>
      </c>
      <c r="K8" s="2"/>
      <c r="L8" s="25" t="s">
        <v>146</v>
      </c>
      <c r="M8" s="26">
        <v>2.0587217926395429E-3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44094</v>
      </c>
      <c r="D9" s="2"/>
      <c r="E9" s="2"/>
      <c r="F9" s="2"/>
      <c r="G9" s="2"/>
      <c r="H9" s="3"/>
      <c r="I9" s="8" t="s">
        <v>136</v>
      </c>
      <c r="J9" s="16" t="str">
        <f>'Interest Rates Term Structures'!C28</f>
        <v>FDYC|30-360|US|0.02|Compounded|Annual</v>
      </c>
      <c r="K9" s="2"/>
      <c r="L9" s="25" t="s">
        <v>147</v>
      </c>
      <c r="M9" s="26">
        <v>-8.920490534662159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130</v>
      </c>
      <c r="C10" s="16" t="s">
        <v>153</v>
      </c>
      <c r="D10" s="2"/>
      <c r="E10" s="2"/>
      <c r="F10" s="2"/>
      <c r="G10" s="2"/>
      <c r="H10" s="3"/>
      <c r="I10" s="8" t="s">
        <v>143</v>
      </c>
      <c r="J10" s="16" t="s">
        <v>144</v>
      </c>
      <c r="K10" s="2"/>
      <c r="L10" s="25" t="s">
        <v>148</v>
      </c>
      <c r="M10" s="26">
        <v>-2.4439700094964819E-2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131</v>
      </c>
      <c r="C11" s="30">
        <v>261</v>
      </c>
      <c r="D11" s="2"/>
      <c r="E11" s="2"/>
      <c r="F11" s="2"/>
      <c r="G11" s="2"/>
      <c r="H11" s="3"/>
      <c r="I11" s="2"/>
      <c r="J11" s="2"/>
      <c r="K11" s="2"/>
      <c r="L11" s="25" t="s">
        <v>149</v>
      </c>
      <c r="M11" s="26">
        <v>-304.05831179033038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132</v>
      </c>
      <c r="C12" s="16" t="s">
        <v>139</v>
      </c>
      <c r="D12" s="2"/>
      <c r="E12" s="2"/>
      <c r="F12" s="2"/>
      <c r="G12" s="2"/>
      <c r="H12" s="3"/>
      <c r="I12" s="2"/>
      <c r="J12" s="2"/>
      <c r="K12" s="2"/>
      <c r="L12" s="25" t="s">
        <v>150</v>
      </c>
      <c r="M12" s="26">
        <v>142.54360945370348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151</v>
      </c>
      <c r="M13" s="26">
        <v>0.50896938699419225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152</v>
      </c>
      <c r="M14" s="26">
        <v>193.64468909766077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5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Callable Bond |0.0575||Bond1|2002-03-15 00:00:00|2022-03-15 00:00:00|100.0|30-360|US|Unadjusted|False|3|Backward|Semiannual|True</v>
      </c>
    </row>
    <row r="5" spans="2:2" x14ac:dyDescent="0.25">
      <c r="B5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Interest Rates Term Structures</vt:lpstr>
      <vt:lpstr>Vol Term Structure</vt:lpstr>
      <vt:lpstr>Index</vt:lpstr>
      <vt:lpstr>Bonds</vt:lpstr>
      <vt:lpstr>Options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2018-06-13T09:19:12Z</dcterms:modified>
</cp:coreProperties>
</file>