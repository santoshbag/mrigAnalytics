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ObjectHandler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rate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volSurf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1" l="1"/>
  <c r="C20" i="11"/>
  <c r="C13" i="6"/>
  <c r="J8" i="3"/>
  <c r="J7" i="3"/>
  <c r="C5" i="11"/>
  <c r="B4" i="8"/>
  <c r="C28" i="1"/>
  <c r="C5" i="2"/>
  <c r="C5" i="6"/>
  <c r="J9" i="3" l="1"/>
  <c r="L22" i="9"/>
  <c r="M30" i="9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25" i="9"/>
  <c r="L25" i="9"/>
  <c r="K25" i="9"/>
  <c r="M24" i="9"/>
  <c r="L24" i="9"/>
  <c r="K24" i="9"/>
  <c r="M23" i="9"/>
  <c r="L23" i="9"/>
  <c r="K23" i="9"/>
  <c r="M22" i="9"/>
  <c r="K22" i="9"/>
  <c r="M21" i="9"/>
  <c r="L21" i="9"/>
  <c r="K21" i="9"/>
  <c r="M20" i="9"/>
  <c r="L20" i="9"/>
  <c r="K20" i="9"/>
  <c r="L5" i="3"/>
  <c r="C5" i="3"/>
  <c r="C20" i="9"/>
  <c r="C15" i="9"/>
  <c r="C5" i="9"/>
  <c r="C15" i="1"/>
  <c r="C5" i="1"/>
  <c r="D20" i="9"/>
  <c r="J7" i="11" l="1"/>
  <c r="F10" i="10"/>
  <c r="F9" i="10"/>
  <c r="F8" i="10"/>
  <c r="L5" i="11"/>
  <c r="D15" i="1"/>
  <c r="D5" i="1"/>
  <c r="L12" i="2" l="1"/>
  <c r="L11" i="2"/>
  <c r="L10" i="2"/>
  <c r="L9" i="2"/>
  <c r="K6" i="10" l="1"/>
  <c r="P6" i="2"/>
  <c r="P7" i="2"/>
  <c r="P8" i="2"/>
  <c r="V6" i="2"/>
  <c r="R5" i="2"/>
  <c r="F17" i="10" l="1"/>
  <c r="P4" i="4"/>
  <c r="Q4" i="4"/>
  <c r="C5" i="10"/>
  <c r="O5" i="11" l="1"/>
  <c r="O5" i="3"/>
  <c r="M5" i="10"/>
  <c r="V5" i="2" l="1"/>
  <c r="Q5" i="10" l="1"/>
  <c r="Q6" i="10"/>
</calcChain>
</file>

<file path=xl/sharedStrings.xml><?xml version="1.0" encoding="utf-8"?>
<sst xmlns="http://schemas.openxmlformats.org/spreadsheetml/2006/main" count="372" uniqueCount="222">
  <si>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</si>
  <si>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</si>
  <si>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</si>
  <si>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</si>
  <si>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</si>
  <si>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</si>
  <si>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</si>
  <si>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</si>
  <si>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</si>
  <si>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</si>
  <si>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</si>
  <si>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</si>
  <si>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</si>
  <si>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</si>
  <si>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</si>
  <si>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</si>
  <si>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</si>
  <si>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</si>
  <si>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</si>
  <si>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</si>
  <si>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</si>
  <si>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</si>
  <si>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</si>
  <si>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</si>
  <si>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</si>
  <si>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</si>
  <si>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</si>
  <si>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</si>
  <si>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</si>
  <si>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</si>
  <si>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</si>
  <si>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</si>
  <si>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</si>
  <si>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</si>
  <si>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</si>
  <si>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</si>
  <si>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</si>
  <si>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</si>
  <si>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</si>
  <si>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</si>
  <si>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</si>
  <si>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</si>
  <si>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</si>
  <si>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</si>
  <si>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</si>
  <si>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</si>
  <si>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</si>
  <si>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</si>
  <si>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</si>
  <si>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</si>
  <si>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</si>
  <si>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</si>
  <si>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</si>
  <si>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</si>
  <si>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</si>
  <si>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</si>
  <si>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</si>
  <si>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</si>
  <si>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</si>
  <si>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</si>
  <si>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</si>
  <si>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</si>
  <si>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</si>
  <si>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</si>
  <si>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</si>
  <si>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</si>
  <si>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</si>
  <si>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</si>
  <si>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</si>
  <si>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</si>
  <si>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</si>
  <si>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</si>
  <si>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</si>
  <si>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</si>
  <si>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</si>
  <si>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</si>
  <si>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</si>
  <si>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</si>
  <si>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</si>
  <si>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</si>
  <si>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</si>
  <si>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</si>
  <si>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</si>
  <si>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</si>
  <si>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</si>
  <si>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</si>
  <si>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</si>
  <si>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</si>
  <si>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</si>
  <si>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</si>
  <si>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</si>
  <si>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</si>
  <si>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</si>
  <si>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</si>
  <si>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</si>
  <si>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</si>
  <si>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</si>
  <si>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</si>
  <si>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</si>
  <si>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</si>
  <si>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</si>
  <si>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</si>
  <si>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</si>
  <si>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</si>
  <si>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</si>
  <si>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</si>
  <si>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</si>
  <si>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</si>
  <si>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</si>
  <si>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</si>
  <si>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</si>
  <si>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</si>
  <si>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</si>
  <si>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</si>
  <si>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</si>
  <si>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</si>
  <si>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</si>
  <si>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</si>
  <si>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</si>
  <si>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</si>
  <si>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</si>
  <si>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</si>
  <si>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</si>
  <si>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</si>
  <si>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</si>
  <si>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</si>
  <si>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</si>
  <si>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</si>
  <si>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</si>
  <si>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</si>
  <si>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</si>
  <si>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</si>
  <si>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</si>
  <si>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</si>
  <si>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</si>
  <si>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</si>
  <si>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</si>
  <si>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</si>
  <si>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</si>
  <si>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</si>
  <si>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</si>
  <si>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</si>
  <si>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</si>
  <si>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</si>
  <si>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</si>
  <si>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</si>
  <si>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</si>
  <si>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</si>
  <si>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</si>
  <si>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</si>
  <si>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</si>
  <si>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</si>
  <si>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</si>
  <si>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</si>
  <si>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</si>
  <si>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</si>
  <si>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</si>
  <si>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</si>
  <si>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</si>
  <si>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</si>
  <si>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</si>
  <si>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</si>
  <si>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</si>
  <si>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</si>
  <si>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</si>
  <si>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</si>
  <si>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</si>
  <si>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</si>
  <si>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</si>
  <si>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</si>
  <si>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</si>
  <si>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</si>
  <si>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</si>
  <si>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</si>
  <si>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</si>
  <si>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</si>
  <si>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</si>
  <si>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</si>
  <si>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</si>
  <si>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</si>
  <si>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</si>
  <si>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</si>
  <si>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</si>
  <si>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</si>
  <si>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</si>
  <si>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</si>
  <si>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</si>
  <si>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</si>
  <si>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</si>
  <si>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</si>
  <si>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</si>
  <si>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</si>
  <si>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</si>
  <si>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</si>
  <si>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</si>
  <si>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</si>
  <si>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</si>
  <si>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</si>
  <si>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</si>
  <si>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</si>
  <si>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</si>
  <si>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</si>
  <si>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</si>
  <si>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</si>
  <si>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</si>
  <si>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</si>
  <si>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</si>
  <si>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</si>
  <si>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</si>
  <si>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</si>
  <si>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</si>
  <si>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</si>
  <si>
    <t>FFYC|30-360|US|0.045|Compounded|Annual</t>
  </si>
  <si>
    <t>Index|Libor3M|USD|3M|30-360|India|3</t>
  </si>
  <si>
    <t>FLOOR|Libor3M+0.005|0.01|capfloortest|2018-06-28 00:00:00|2020-06-28 00:00:00|FLOOR|0.02|282.6|30-360|India|Unadjusted|False|3|Forward|Quarterly</t>
  </si>
  <si>
    <t>Fixed Float Swap | 5.75%|Libor3M+0.01|0.04|RECIEVE|2022-03-17 00:00:00|100.0|30-360|India|Unadjusted|False|Forward|Semiannual|30-360|India|ModifiedFollowing|False|Forward|Quarterly</t>
  </si>
  <si>
    <t>SZYC|Actual-360|India|Compounded|Annual|Linear</t>
  </si>
  <si>
    <t>FVYC|30-360|US|0.4|Compounded|Annual</t>
  </si>
  <si>
    <t>CVC|0.4</t>
  </si>
  <si>
    <t>Vanilla European | |SBIOpt|State Bank of India|2018-06-28 00:00:00|Call|220.0|European|30-360|India</t>
  </si>
  <si>
    <t>Callable Bond |0.1||Bond1|2002-03-15 00:00:00|2022-03-15 00:00:00|100.0|30-360|US|Unadjusted|False|3|Backward|Quarterly|True</t>
  </si>
  <si>
    <t>FDYC|30-360|US|0.02|Compounded|Annual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</si>
</sst>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6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164" fontId="3" fillId="2" borderId="0" xfId="0" applyNumberFormat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4" name="Flat Forward 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8" name="Spot Zero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32575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4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7325" y="3449108"/>
          <a:ext cx="6350000" cy="2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0</xdr:rowOff>
    </xdr:from>
    <xdr:to>
      <xdr:col>21</xdr:col>
      <xdr:colOff>422275</xdr:colOff>
      <xdr:row>47</xdr:row>
      <xdr:rowOff>12700</xdr:rowOff>
    </xdr:to>
    <xdr:pic>
      <xdr:nvPicPr>
        <xdr:cNvPr id="13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4975" y="3438525"/>
          <a:ext cx="5080000" cy="5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0</xdr:rowOff>
    </xdr:from>
    <xdr:to>
      <xdr:col>21</xdr:col>
      <xdr:colOff>422275</xdr:colOff>
      <xdr:row>47</xdr:row>
      <xdr:rowOff>12700</xdr:rowOff>
    </xdr:to>
    <xdr:pic>
      <xdr:nvPicPr>
        <xdr:cNvPr id="14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4975" y="3438525"/>
          <a:ext cx="5080000" cy="50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0</xdr:rowOff>
    </xdr:from>
    <xdr:to>
      <xdr:col>22</xdr:col>
      <xdr:colOff>203200</xdr:colOff>
      <xdr:row>45</xdr:row>
      <xdr:rowOff>127000</xdr:rowOff>
    </xdr:to>
    <xdr:pic>
      <xdr:nvPicPr>
        <xdr:cNvPr id="3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3619500"/>
          <a:ext cx="50800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tabSelected="1" topLeftCell="B1" zoomScale="90" zoomScaleNormal="90" workbookViewId="0">
      <pane ySplit="3" topLeftCell="A4" activePane="bottomLeft" state="frozen"/>
      <selection pane="bottomLeft" activeCell="C29" sqref="C29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FFYC|30-360|US|0.045|Compounded|Annual</v>
      </c>
      <c r="D5" s="2" t="str">
        <f>mrigxl_ratePlot(C5,"I4",B5)</f>
        <v/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43270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36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tr">
        <f>mrigxl_ratePlot(C15,"I19",B15)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43271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4" activePane="bottomLeft" state="frozen"/>
      <selection pane="bottomLeft" activeCell="C21" sqref="C2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3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 ca="1">mrigxl_CapFloorVolatilitySurface(C22,C23,C24,C25,K19:M19,J20:J30,K20:M30)</f>
        <v>CFVS|30-360|US|Unadjusted|3</v>
      </c>
      <c r="D20" s="2" t="str">
        <f ca="1">mrigxl_volSurface($C$20,"O20",$B$20)</f>
        <v/>
      </c>
      <c r="E20" s="2"/>
      <c r="F20" s="2"/>
      <c r="G20" s="2"/>
      <c r="H20" s="3"/>
      <c r="I20" s="2"/>
      <c r="J20" s="8">
        <v>1</v>
      </c>
      <c r="K20" s="36">
        <f t="shared" ref="K20:M30" ca="1" si="0">RANDBETWEEN(95,110)/100*45%</f>
        <v>0.48150000000000004</v>
      </c>
      <c r="L20" s="36">
        <f t="shared" ca="1" si="0"/>
        <v>0.47250000000000003</v>
      </c>
      <c r="M20" s="36">
        <f t="shared" ca="1" si="0"/>
        <v>0.48600000000000004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f t="shared" ca="1" si="0"/>
        <v>0.42749999999999999</v>
      </c>
      <c r="L21" s="36">
        <f t="shared" ca="1" si="0"/>
        <v>0.46800000000000003</v>
      </c>
      <c r="M21" s="36">
        <f t="shared" ca="1" si="0"/>
        <v>0.48150000000000004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f t="shared" ca="1" si="0"/>
        <v>0.45450000000000002</v>
      </c>
      <c r="L22" s="36">
        <f ca="1">RANDBETWEEN(95,110)/100*45%</f>
        <v>0.49050000000000005</v>
      </c>
      <c r="M22" s="36">
        <f t="shared" ca="1" si="0"/>
        <v>0.45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13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f t="shared" ca="1" si="0"/>
        <v>0.432</v>
      </c>
      <c r="L23" s="36">
        <f t="shared" ca="1" si="0"/>
        <v>0.45900000000000002</v>
      </c>
      <c r="M23" s="36">
        <f t="shared" ca="1" si="0"/>
        <v>0.45450000000000002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f t="shared" ca="1" si="0"/>
        <v>0.45900000000000002</v>
      </c>
      <c r="L24" s="36">
        <f t="shared" ca="1" si="0"/>
        <v>0.46800000000000003</v>
      </c>
      <c r="M24" s="36">
        <f t="shared" ca="1" si="0"/>
        <v>0.441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f t="shared" ca="1" si="0"/>
        <v>0.47700000000000004</v>
      </c>
      <c r="L25" s="36">
        <f t="shared" ca="1" si="0"/>
        <v>0.47250000000000003</v>
      </c>
      <c r="M25" s="36">
        <f t="shared" ca="1" si="0"/>
        <v>0.45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f t="shared" ca="1" si="0"/>
        <v>0.46800000000000003</v>
      </c>
      <c r="L26" s="36">
        <f t="shared" ca="1" si="0"/>
        <v>0.48150000000000004</v>
      </c>
      <c r="M26" s="36">
        <f t="shared" ca="1" si="0"/>
        <v>0.45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f t="shared" ca="1" si="0"/>
        <v>0.44550000000000001</v>
      </c>
      <c r="L27" s="36">
        <f t="shared" ca="1" si="0"/>
        <v>0.46800000000000003</v>
      </c>
      <c r="M27" s="36">
        <f t="shared" ca="1" si="0"/>
        <v>0.42749999999999999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f t="shared" ca="1" si="0"/>
        <v>0.46800000000000003</v>
      </c>
      <c r="L28" s="36">
        <f t="shared" ca="1" si="0"/>
        <v>0.4365</v>
      </c>
      <c r="M28" s="36">
        <f t="shared" ca="1" si="0"/>
        <v>0.45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f t="shared" ca="1" si="0"/>
        <v>0.441</v>
      </c>
      <c r="L29" s="36">
        <f t="shared" ca="1" si="0"/>
        <v>0.4365</v>
      </c>
      <c r="M29" s="36">
        <f t="shared" ca="1" si="0"/>
        <v>0.4365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f t="shared" ca="1" si="0"/>
        <v>0.47250000000000003</v>
      </c>
      <c r="L30" s="36">
        <f t="shared" ca="1" si="0"/>
        <v>0.47700000000000004</v>
      </c>
      <c r="M30" s="36">
        <f t="shared" ca="1" si="0"/>
        <v>0.48150000000000004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14" sqref="C14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FFYC|30-360|US|0.045|Compounded|Annual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topLeftCell="L1" zoomScale="90" zoomScaleNormal="90" workbookViewId="0">
      <selection activeCell="AB5" sqref="AB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4" t="s">
        <v>146</v>
      </c>
      <c r="P5" s="45"/>
      <c r="Q5" s="2"/>
      <c r="R5" s="24" t="str">
        <f>mrigxl_Analytics(C5,O6:P12)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102.15470397237445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101.87692619459668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102.15470397237445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0.27777777777777679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9.3956885505511636E-2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1.0676494550418395E-2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3.0790942235551242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3.1514197494109366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3.1514197494109371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11.274452009824701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zoomScale="90" zoomScaleNormal="90" workbookViewId="0">
      <selection activeCell="P1" sqref="P1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4" t="s">
        <v>146</v>
      </c>
      <c r="K5" s="45"/>
      <c r="L5" s="2"/>
      <c r="M5" s="24" t="str">
        <f>mrigxl_Analytics(C5,J6:K6)</f>
        <v>Heads</v>
      </c>
      <c r="N5" s="24" t="s">
        <v>119</v>
      </c>
      <c r="O5" s="2"/>
      <c r="P5" s="2"/>
      <c r="Q5" s="2" t="str">
        <f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FFYC|30-360|US|0.045|Compounded|Annual</v>
      </c>
      <c r="L6" s="2"/>
      <c r="M6" s="25" t="s">
        <v>120</v>
      </c>
      <c r="N6" s="31">
        <v>0.98440802466634736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19.179192754731446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-18.194784730065098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1.2935486872024095E-2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5.4548704700861247E-2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3.3355117834315516E-2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-3.353474457842056E-2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43483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43664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43850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44032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44214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44396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44579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>
        <v>44637</v>
      </c>
      <c r="N22" s="31">
        <v>0.94236111111110077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43391</v>
      </c>
      <c r="N24" s="31">
        <v>1.3564990499148664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43483</v>
      </c>
      <c r="N25" s="31">
        <v>1.3564990499148886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43573</v>
      </c>
      <c r="N26" s="31">
        <v>1.3564990499148442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43664</v>
      </c>
      <c r="N27" s="31">
        <v>1.3564990499148883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43756</v>
      </c>
      <c r="N28" s="31">
        <v>1.3564990499148664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43850</v>
      </c>
      <c r="N29" s="31">
        <v>1.3867820353238214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43941</v>
      </c>
      <c r="N30" s="31">
        <v>1.3564990499148664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44032</v>
      </c>
      <c r="N31" s="31">
        <v>1.3564990499148661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44123</v>
      </c>
      <c r="N32" s="31">
        <v>1.3413598245765057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44214</v>
      </c>
      <c r="N33" s="31">
        <v>1.3413598245764835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44305</v>
      </c>
      <c r="N34" s="31">
        <v>1.371639786769028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44396</v>
      </c>
      <c r="N35" s="31">
        <v>1.3564990499148886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44487</v>
      </c>
      <c r="N36" s="31">
        <v>1.3413598245764837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44579</v>
      </c>
      <c r="N37" s="31">
        <v>1.3564990499148661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0.88788500347173649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>
      <selection activeCell="A5" sqref="A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62.444719340609446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0.99920738076493609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1.6588416119161702E-5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5.4939519619199082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1.5051923183342215E-2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4.8873619214124773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1.4719963281163971E-2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-0.99968766574346124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-10.196911320706171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E20" sqref="E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mrigxl_CapFloor(C7,C8,C9,C10,C11,C12,C13,C14,C15,C16,C17,C18,C19,C20,C21,C22)</f>
        <v>FLOOR|Libor3M+0.005|0.01|capfloortest|2018-06-28 00:00:00|2020-06-28 00:00:00|FLOOR|0.02|282.6|30-360|India|Unadjusted|False|3|Forward|Quarterly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mrigxl_Analytics(C5,I6:J7)</f>
        <v xml:space="preserve"> error:   option price (-3.25253e-05) must be non-negative
 expiry:  December 22nd, 2027
 annuity: 0.158991
 price:   -3.25253e-05
 atm:     4.425454 %
 strike:  1.000000 %
 type:    Put
RuntimeError: could not bootstrap optionlet:
    return _QuantLib.Instrument_NPV(self)
  File "C:\Users\Santosh Bag\Anaconda3\lib\site-packages\QuantLib\QuantLib.py", line 9224, in NPV
    npv = self.optionobject.NPV()
  File "f:\mrig analytics\development\mriganalytics\interface\..\instruments\capsfloors.py", line 64, in getAnalytics
    resultset.update(capfloor.getAnalytics())
  File "f:\mrig analytics\development\mriganalytics\interface\mrigxl.py", line 670,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119</v>
      </c>
      <c r="N5" s="2"/>
      <c r="O5" s="2" t="str">
        <f ca="1">L5</f>
        <v xml:space="preserve"> error:   option price (-3.25253e-05) must be non-negative
 expiry:  December 22nd, 2027
 annuity: 0.158991
 price:   -3.25253e-05
 atm:     4.425454 %
 strike:  1.000000 %
 type:    Put
RuntimeError: could not bootstrap optionlet:
    return _QuantLib.Instrument_NPV(self)
  File "C:\Users\Santosh Bag\Anaconda3\lib\site-packages\QuantLib\QuantLib.py", line 9224, in NPV
    npv = self.optionobject.NPV()
  File "f:\mrig analytics\development\mriganalytics\interface\..\instruments\capsfloors.py", line 64, in getAnalytics
    resultset.update(capfloor.getAnalytics())
  File "f:\mrig analytics\development\mriganalytics\interface\mrigxl.py", line 670,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>'Interest Rates Term Structures'!C5</f>
        <v>FFYC|30-360|US|0.045|Compounded|Annual</v>
      </c>
      <c r="K6" s="2"/>
      <c r="L6" s="25" t="s">
        <v>120</v>
      </c>
      <c r="M6" s="26">
        <v>0.15835343207498834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 ca="1">'Vol Term Structure'!C20</f>
        <v>CFVS|30-360|US|Unadjusted|3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v>43279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44010</v>
      </c>
      <c r="D9" s="2"/>
      <c r="E9" s="2"/>
      <c r="F9" s="2"/>
      <c r="G9" s="2"/>
      <c r="H9" s="3"/>
      <c r="I9" s="2"/>
      <c r="J9" s="2"/>
      <c r="K9" s="2"/>
      <c r="L9" s="27">
        <v>43371</v>
      </c>
      <c r="M9" s="26">
        <v>3.1269663150594127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43462</v>
      </c>
      <c r="M10" s="26">
        <v>3.1269663150594127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43552</v>
      </c>
      <c r="M11" s="26">
        <v>3.1269663150594753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43644</v>
      </c>
      <c r="M12" s="26">
        <v>3.1269663150594127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43738</v>
      </c>
      <c r="M13" s="26">
        <v>3.1273493789594178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43829</v>
      </c>
      <c r="M14" s="26">
        <v>3.1269663150594127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43920</v>
      </c>
      <c r="M15" s="26">
        <v>3.1269663150594127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44011</v>
      </c>
      <c r="M16" s="26">
        <v>3.1267748065481857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89</v>
      </c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>Index!C5</f>
        <v>Index|Libor3M|USD|3M|30-360|India|3</v>
      </c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1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CFVS|30-360|US|Unadjusted|3</v>
      </c>
    </row>
    <row r="5" spans="2:2" x14ac:dyDescent="0.25">
      <c r="B5" t="s">
        <v>212</v>
      </c>
    </row>
    <row r="6" spans="2:2" x14ac:dyDescent="0.25">
      <c r="B6" t="s">
        <v>213</v>
      </c>
    </row>
    <row r="7" spans="2:2" x14ac:dyDescent="0.25">
      <c r="B7" t="s">
        <v>214</v>
      </c>
    </row>
    <row r="8" spans="2:2" x14ac:dyDescent="0.25">
      <c r="B8" t="s">
        <v>215</v>
      </c>
    </row>
    <row r="9" spans="2:2" x14ac:dyDescent="0.25">
      <c r="B9" t="s">
        <v>216</v>
      </c>
    </row>
    <row r="10" spans="2:2" x14ac:dyDescent="0.25">
      <c r="B10" t="s">
        <v>217</v>
      </c>
    </row>
    <row r="11" spans="2:2" x14ac:dyDescent="0.25">
      <c r="B11" t="s">
        <v>218</v>
      </c>
    </row>
    <row r="12" spans="2:2" x14ac:dyDescent="0.25">
      <c r="B12" t="s">
        <v>219</v>
      </c>
    </row>
    <row r="13" spans="2:2" x14ac:dyDescent="0.25">
      <c r="B13" t="s">
        <v>220</v>
      </c>
    </row>
    <row r="14" spans="2:2" x14ac:dyDescent="0.25">
      <c r="B14" t="s">
        <v>221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2018-07-18T09:59:45Z</dcterms:modified>
</cp:coreProperties>
</file>