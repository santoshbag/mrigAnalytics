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2"/>
  </bookViews>
  <sheets>
    <sheet name="Interest Rates Term Structures" sheetId="1" r:id="rId1"/>
    <sheet name="Index" sheetId="6" r:id="rId2"/>
    <sheet name="Bonds" sheetId="2" r:id="rId3"/>
    <sheet name="Options" sheetId="3" r:id="rId4"/>
    <sheet name="Reference" sheetId="4" r:id="rId5"/>
    <sheet name="Admin" sheetId="8" r:id="rId6"/>
  </sheets>
  <functionGroups builtInGroupCount="18">
    <functionGroup name="xlwings"/>
  </functionGroups>
  <calcPr calcId="162913"/>
  <extLst>
    <ext xmlns:x14="http://schemas.microsoft.com/office/spreadsheetml/2009/9/main" uri="{8193D73E-4604-4355-AFF4-8A2333D13BE4}">
      <x14:definedNames>
        <x14:definedName name="argcheck">
          <x14:argumentDescriptions count="1">
            <x14:argumentDescription index="0">Positional argument 1</x14:argumentDescription>
          </x14:argumentDescriptions>
        </x14:definedName>
        <x14:definedName name="bondAnalytics">
          <x14:argumentDescriptions count="1">
            <x14:argumentDescription index="0">Positional argument 1</x14:argumentDescription>
          </x14:argumentDescriptions>
        </x14:definedName>
        <x14:definedName name="CORREL2">
          <x14:argumentDescriptions count="1">
            <x14:argumentDescription index="0">Positional argument 1</x14:argumentDescription>
          </x14:argumentDescriptions>
        </x14:definedName>
        <x14:definedName name="dictcheck">
          <x14:argumentDescriptions count="1">
            <x14:argumentDescription index="0">Positional argument 1</x14:argumentDescription>
          </x14:argumentDescriptions>
        </x14:definedName>
        <x14:definedName name="makeBond">
          <x14:argumentDescriptions count="1">
            <x14:argumentDescription index="0">Positional argument 1</x14:argumentDescription>
          </x14:argumentDescriptions>
        </x14:definedName>
        <x14:definedName name="mrigxl_Analytic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Bond">
          <x14:argumentDescriptions count="1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</x14:argumentDescriptions>
        </x14:definedName>
        <x14:definedName name="mrigxl_FixedRateBond">
          <x14:argumentDescriptions count="1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</x14:argumentDescriptions>
        </x14:definedName>
        <x14:definedName name="mrigxl_FlatForwardYieldCurve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mrigxl_Libor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mrigxl_SpotZeroYieldCurve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objectcheck">
          <x14:argumentDescriptions count="1">
            <x14:argumentDescription index="0">Positional argument 1</x14:argumentDescription>
          </x14:argumentDescriptions>
        </x14:definedName>
        <x14:definedName name="setPricing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2" l="1"/>
  <c r="C5" i="6"/>
  <c r="C19" i="2" l="1"/>
  <c r="P4" i="4"/>
  <c r="Q4" i="4"/>
  <c r="C13" i="1"/>
  <c r="C5" i="1"/>
  <c r="B4" i="8"/>
  <c r="J6" i="2" l="1"/>
  <c r="C13" i="6"/>
  <c r="L5" i="2"/>
  <c r="O5" i="2" l="1"/>
</calcChain>
</file>

<file path=xl/sharedStrings.xml><?xml version="1.0" encoding="utf-8"?>
<sst xmlns="http://schemas.openxmlformats.org/spreadsheetml/2006/main" count="164" uniqueCount="129">
  <si>
    <t xml:space="preserve">Flat Forward </t>
  </si>
  <si>
    <t>Y I E L D   C U R V E S</t>
  </si>
  <si>
    <t>Curve Date</t>
  </si>
  <si>
    <t>Day Count</t>
  </si>
  <si>
    <t>Calendar</t>
  </si>
  <si>
    <t>Flat Rate</t>
  </si>
  <si>
    <t>Actual-360</t>
  </si>
  <si>
    <t>Actual-365Fixed</t>
  </si>
  <si>
    <t>Actual-365FixedNoLeap</t>
  </si>
  <si>
    <t>Actual-Actual</t>
  </si>
  <si>
    <t>30-360</t>
  </si>
  <si>
    <t>Calendars</t>
  </si>
  <si>
    <t>India</t>
  </si>
  <si>
    <t>US</t>
  </si>
  <si>
    <t>TARGET</t>
  </si>
  <si>
    <t>UK</t>
  </si>
  <si>
    <t>HongKong</t>
  </si>
  <si>
    <t>Japan</t>
  </si>
  <si>
    <t>Date</t>
  </si>
  <si>
    <t>Spot Zero</t>
  </si>
  <si>
    <t>Spot Date</t>
  </si>
  <si>
    <t>Zero Yield</t>
  </si>
  <si>
    <t>Compounding</t>
  </si>
  <si>
    <t>Simple</t>
  </si>
  <si>
    <t>Compounded</t>
  </si>
  <si>
    <t xml:space="preserve">Continuous </t>
  </si>
  <si>
    <t xml:space="preserve">SimpleThenCompounded </t>
  </si>
  <si>
    <t xml:space="preserve">CompoundedThenSimple </t>
  </si>
  <si>
    <t>Frequency</t>
  </si>
  <si>
    <t>Annual </t>
  </si>
  <si>
    <t>EveryFourthMonth </t>
  </si>
  <si>
    <t>Interpolation</t>
  </si>
  <si>
    <t>Linear</t>
  </si>
  <si>
    <t>BackwardFlat</t>
  </si>
  <si>
    <t>Cubic</t>
  </si>
  <si>
    <t>C U R V E   A N A L Y T I C S</t>
  </si>
  <si>
    <t>Annual</t>
  </si>
  <si>
    <t>NoFrequency</t>
  </si>
  <si>
    <t>Curve Currency</t>
  </si>
  <si>
    <t>INR</t>
  </si>
  <si>
    <t>USD</t>
  </si>
  <si>
    <t>EUR</t>
  </si>
  <si>
    <t>GBP</t>
  </si>
  <si>
    <t>CHF</t>
  </si>
  <si>
    <t>ZAR</t>
  </si>
  <si>
    <t>B O N D S</t>
  </si>
  <si>
    <t>B O N D   A N A L Y T I C S</t>
  </si>
  <si>
    <t>Bond Name</t>
  </si>
  <si>
    <t>Bond1</t>
  </si>
  <si>
    <t>Issue Date</t>
  </si>
  <si>
    <t>Maturity Date</t>
  </si>
  <si>
    <t>Coupon Frequency</t>
  </si>
  <si>
    <t>Business Convention</t>
  </si>
  <si>
    <t>Choose the first business day after the given holiday.</t>
  </si>
  <si>
    <t>Choose the first business day after the given holiday unless it belongs to a different month, in which case choose the first business day before the holiday.</t>
  </si>
  <si>
    <t>Choose the first business day before the given holiday.</t>
  </si>
  <si>
    <t>Choose the first business day before the given holiday unless it belongs to a different month, in which case choose the first business day after the holiday.</t>
  </si>
  <si>
    <t>Do not adjust.</t>
  </si>
  <si>
    <t>Choose the first business day after the given holiday unless that day crosses the mid-month (15th) or the end of month, in which case choose the first business day before the holiday.</t>
  </si>
  <si>
    <t>Choose the nearest business day to the given holiday. If both the preceding and following business days are equally far away, default to following business day.</t>
  </si>
  <si>
    <t>Month End</t>
  </si>
  <si>
    <t>Settlement Days</t>
  </si>
  <si>
    <t>Face Value</t>
  </si>
  <si>
    <t>Date Generation</t>
  </si>
  <si>
    <t>Backward from termination date to effective date.</t>
  </si>
  <si>
    <t>Forward from effective date to termination date.</t>
  </si>
  <si>
    <t>No intermediate dates between effective date and termination date.</t>
  </si>
  <si>
    <t>All dates but effective date and termination date are taken to be on the third wednesday of their month (with forward calculation.)</t>
  </si>
  <si>
    <t>All dates but the effective date are taken to be the twentieth of their month (used for CDS schedules in emerging markets.) The termination date is also modified.</t>
  </si>
  <si>
    <t>All dates but the effective date are taken to be the twentieth of an IMM month (used for CDS schedules.) The termination date is also modified.</t>
  </si>
  <si>
    <t>Same as TwentiethIMM with unrestricted date ends and log/short stub coupon period (old CDS convention).</t>
  </si>
  <si>
    <t>Credit derivatives standard rule since 'Big Bang' changes in 2009.</t>
  </si>
  <si>
    <t>Credit derivatives standard rule since December 20th, 2015.</t>
  </si>
  <si>
    <t>Fixed Coupon Rate</t>
  </si>
  <si>
    <t>Floating Coupon Index</t>
  </si>
  <si>
    <t>Floating Coupon Spread</t>
  </si>
  <si>
    <t>In Arrears</t>
  </si>
  <si>
    <t>INDEX</t>
  </si>
  <si>
    <t>Index Name</t>
  </si>
  <si>
    <t>Tenor</t>
  </si>
  <si>
    <t>L I B O R   A N D    O T H E R    I N D I C E S</t>
  </si>
  <si>
    <t>Following</t>
  </si>
  <si>
    <t>ModifiedFollowing</t>
  </si>
  <si>
    <t>Preceding</t>
  </si>
  <si>
    <t>ModifiedPreceding</t>
  </si>
  <si>
    <t>Unadjusted</t>
  </si>
  <si>
    <t>HalfMonthModifiedFollowing</t>
  </si>
  <si>
    <t>Nearest</t>
  </si>
  <si>
    <t>Backward</t>
  </si>
  <si>
    <t>Forward</t>
  </si>
  <si>
    <t>Zero</t>
  </si>
  <si>
    <t>ThirdWednesday</t>
  </si>
  <si>
    <t>Twentieth</t>
  </si>
  <si>
    <t>TwentiethIMM</t>
  </si>
  <si>
    <t>OldCDS</t>
  </si>
  <si>
    <t>CDS</t>
  </si>
  <si>
    <t>CDS2015</t>
  </si>
  <si>
    <t>Semiannual</t>
  </si>
  <si>
    <t>Quarterly</t>
  </si>
  <si>
    <t>Bimonthly</t>
  </si>
  <si>
    <t>Monthly</t>
  </si>
  <si>
    <t>EveryFourthWeek</t>
  </si>
  <si>
    <t>Biweekly</t>
  </si>
  <si>
    <t>Weekly</t>
  </si>
  <si>
    <t>Daily</t>
  </si>
  <si>
    <t>OtherFrequency</t>
  </si>
  <si>
    <t>Once</t>
  </si>
  <si>
    <t>Yield Term Structure</t>
  </si>
  <si>
    <t>Object List</t>
  </si>
  <si>
    <t>LIBOR Tenors</t>
  </si>
  <si>
    <t>D</t>
  </si>
  <si>
    <t>W</t>
  </si>
  <si>
    <t>M</t>
  </si>
  <si>
    <t>Y</t>
  </si>
  <si>
    <t>34M</t>
  </si>
  <si>
    <t>Bond</t>
  </si>
  <si>
    <t xml:space="preserve"> </t>
  </si>
  <si>
    <t>Arguments</t>
  </si>
  <si>
    <t>Discount Curve</t>
  </si>
  <si>
    <t>Values</t>
  </si>
  <si>
    <t>NPV</t>
  </si>
  <si>
    <t>cleanPrice</t>
  </si>
  <si>
    <t>dirtyPrice</t>
  </si>
  <si>
    <t>6M</t>
  </si>
  <si>
    <t>Libor6M</t>
  </si>
  <si>
    <t>Cap</t>
  </si>
  <si>
    <t>Floor</t>
  </si>
  <si>
    <t>Last Libor Fixing</t>
  </si>
  <si>
    <t>FFYC|Actual-360|India|0.02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</si>
</sst>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1"/>
      <color theme="0"/>
      <name val="Lucida Console"/>
      <family val="3"/>
    </font>
    <font>
      <sz val="11"/>
      <color theme="1"/>
      <name val="Lucida Console"/>
      <family val="3"/>
    </font>
    <font>
      <sz val="11"/>
      <color rgb="FFFF9900"/>
      <name val="Lucida Console"/>
      <family val="3"/>
    </font>
    <font>
      <b/>
      <sz val="11"/>
      <color rgb="FFFF9900"/>
      <name val="Lucida Console"/>
      <family val="3"/>
    </font>
  </fonts>
  <fills count="6">
    <fill>
      <patternFill patternType="none"/>
    </fill>
    <fill>
      <patternFill patternType="gray125"/>
    </fill>
    <fill>
      <patternFill patternType="solid">
        <fgColor theme="1"/>
        <bgColor auto="1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99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15" fontId="0" fillId="0" borderId="0" xfId="0" applyNumberFormat="1"/>
    <xf numFmtId="0" fontId="3" fillId="2" borderId="0" xfId="0" applyFont="1" applyFill="1"/>
    <xf numFmtId="0" fontId="3" fillId="4" borderId="0" xfId="0" applyFont="1" applyFill="1"/>
    <xf numFmtId="0" fontId="3" fillId="0" borderId="0" xfId="0" applyFont="1" applyFill="1"/>
    <xf numFmtId="0" fontId="4" fillId="2" borderId="0" xfId="0" applyFont="1" applyFill="1"/>
    <xf numFmtId="0" fontId="3" fillId="2" borderId="9" xfId="0" applyFont="1" applyFill="1" applyBorder="1"/>
    <xf numFmtId="0" fontId="3" fillId="2" borderId="1" xfId="0" applyFont="1" applyFill="1" applyBorder="1"/>
    <xf numFmtId="0" fontId="3" fillId="2" borderId="8" xfId="0" applyFont="1" applyFill="1" applyBorder="1"/>
    <xf numFmtId="0" fontId="3" fillId="2" borderId="2" xfId="0" applyFont="1" applyFill="1" applyBorder="1"/>
    <xf numFmtId="0" fontId="3" fillId="2" borderId="0" xfId="0" applyFont="1" applyFill="1" applyBorder="1"/>
    <xf numFmtId="15" fontId="3" fillId="2" borderId="1" xfId="0" applyNumberFormat="1" applyFont="1" applyFill="1" applyBorder="1"/>
    <xf numFmtId="0" fontId="3" fillId="2" borderId="3" xfId="0" applyFont="1" applyFill="1" applyBorder="1"/>
    <xf numFmtId="0" fontId="3" fillId="2" borderId="5" xfId="0" applyFont="1" applyFill="1" applyBorder="1"/>
    <xf numFmtId="0" fontId="3" fillId="2" borderId="4" xfId="0" applyFont="1" applyFill="1" applyBorder="1"/>
    <xf numFmtId="15" fontId="2" fillId="5" borderId="6" xfId="0" applyNumberFormat="1" applyFont="1" applyFill="1" applyBorder="1" applyAlignment="1">
      <alignment horizontal="right"/>
    </xf>
    <xf numFmtId="0" fontId="2" fillId="5" borderId="6" xfId="0" applyFont="1" applyFill="1" applyBorder="1" applyAlignment="1">
      <alignment horizontal="right"/>
    </xf>
    <xf numFmtId="0" fontId="1" fillId="3" borderId="1" xfId="0" applyFont="1" applyFill="1" applyBorder="1"/>
    <xf numFmtId="0" fontId="1" fillId="3" borderId="7" xfId="0" applyFont="1" applyFill="1" applyBorder="1"/>
    <xf numFmtId="0" fontId="3" fillId="2" borderId="11" xfId="0" applyFont="1" applyFill="1" applyBorder="1"/>
    <xf numFmtId="15" fontId="2" fillId="5" borderId="10" xfId="0" applyNumberFormat="1" applyFont="1" applyFill="1" applyBorder="1" applyAlignment="1"/>
    <xf numFmtId="0" fontId="1" fillId="3" borderId="7" xfId="0" applyFont="1" applyFill="1" applyBorder="1" applyAlignment="1"/>
    <xf numFmtId="0" fontId="2" fillId="5" borderId="10" xfId="0" applyNumberFormat="1" applyFont="1" applyFill="1" applyBorder="1" applyAlignment="1"/>
    <xf numFmtId="15" fontId="2" fillId="5" borderId="1" xfId="0" applyNumberFormat="1" applyFont="1" applyFill="1" applyBorder="1" applyAlignment="1"/>
    <xf numFmtId="9" fontId="2" fillId="5" borderId="6" xfId="0" applyNumberFormat="1" applyFont="1" applyFill="1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00"/>
      <color rgb="FFFF66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s://www.quantlib.org/reference/struct_quant_lib_1_1_i_m_m.html" TargetMode="External"/><Relationship Id="rId1" Type="http://schemas.openxmlformats.org/officeDocument/2006/relationships/hyperlink" Target="https://www.quantlib.org/reference/class_quant_lib_1_1_forward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98"/>
  <sheetViews>
    <sheetView zoomScale="90" zoomScaleNormal="90" workbookViewId="0">
      <pane ySplit="3" topLeftCell="A4" activePane="bottomLeft" state="frozen"/>
      <selection pane="bottomLeft" activeCell="C14" sqref="C14"/>
    </sheetView>
  </sheetViews>
  <sheetFormatPr defaultRowHeight="14.25" x14ac:dyDescent="0.2"/>
  <cols>
    <col min="1" max="1" width="4.28515625" style="4" customWidth="1"/>
    <col min="2" max="2" width="27.5703125" style="4" bestFit="1" customWidth="1"/>
    <col min="3" max="3" width="14.28515625" style="4" bestFit="1" customWidth="1"/>
    <col min="4" max="4" width="9.5703125" style="4" bestFit="1" customWidth="1"/>
    <col min="5" max="5" width="12.85546875" style="4" bestFit="1" customWidth="1"/>
    <col min="6" max="6" width="14.28515625" style="4" bestFit="1" customWidth="1"/>
    <col min="7" max="7" width="4" style="4" customWidth="1"/>
    <col min="8" max="8" width="3.7109375" style="4" customWidth="1"/>
    <col min="9" max="16384" width="9.140625" style="4"/>
  </cols>
  <sheetData>
    <row r="1" spans="1:26" x14ac:dyDescent="0.2">
      <c r="A1" s="2"/>
      <c r="B1" s="2"/>
      <c r="C1" s="2"/>
      <c r="D1" s="2"/>
      <c r="E1" s="2"/>
      <c r="F1" s="2"/>
      <c r="G1" s="2"/>
      <c r="H1" s="3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">
      <c r="A2" s="5" t="s">
        <v>1</v>
      </c>
      <c r="B2" s="2"/>
      <c r="C2" s="2"/>
      <c r="D2" s="2"/>
      <c r="E2" s="2"/>
      <c r="F2" s="2"/>
      <c r="G2" s="2"/>
      <c r="H2" s="3"/>
      <c r="I2" s="5" t="s">
        <v>35</v>
      </c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x14ac:dyDescent="0.2">
      <c r="A4" s="2"/>
      <c r="B4" s="2"/>
      <c r="C4" s="2"/>
      <c r="D4" s="2"/>
      <c r="E4" s="2"/>
      <c r="F4" s="2"/>
      <c r="G4" s="2"/>
      <c r="H4" s="3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">
      <c r="A5" s="2"/>
      <c r="B5" s="18" t="s">
        <v>0</v>
      </c>
      <c r="C5" s="21" t="str">
        <f>mrigxl_FlatForwardYieldCurve(C7,C8,C9,C10)</f>
        <v>FFYC|Actual-360|India|0.02</v>
      </c>
      <c r="D5" s="2" t="s">
        <v>116</v>
      </c>
      <c r="E5" s="2"/>
      <c r="F5" s="2"/>
      <c r="G5" s="2"/>
      <c r="H5" s="3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">
      <c r="A6" s="2"/>
      <c r="B6" s="6"/>
      <c r="C6" s="19"/>
      <c r="D6" s="2"/>
      <c r="E6" s="2"/>
      <c r="F6" s="2"/>
      <c r="G6" s="2"/>
      <c r="H6" s="3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">
      <c r="A7" s="2"/>
      <c r="B7" s="8" t="s">
        <v>2</v>
      </c>
      <c r="C7" s="20">
        <v>43257</v>
      </c>
      <c r="D7" s="2"/>
      <c r="E7" s="2"/>
      <c r="F7" s="2"/>
      <c r="G7" s="2"/>
      <c r="H7" s="3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">
      <c r="A8" s="2"/>
      <c r="B8" s="8" t="s">
        <v>3</v>
      </c>
      <c r="C8" s="20" t="s">
        <v>6</v>
      </c>
      <c r="D8" s="2"/>
      <c r="E8" s="2"/>
      <c r="F8" s="2"/>
      <c r="G8" s="2"/>
      <c r="H8" s="3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">
      <c r="A9" s="2"/>
      <c r="B9" s="8" t="s">
        <v>4</v>
      </c>
      <c r="C9" s="22" t="s">
        <v>12</v>
      </c>
      <c r="D9" s="2"/>
      <c r="E9" s="2"/>
      <c r="F9" s="2"/>
      <c r="G9" s="2"/>
      <c r="H9" s="3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">
      <c r="A10" s="2"/>
      <c r="B10" s="8" t="s">
        <v>5</v>
      </c>
      <c r="C10" s="16">
        <v>0.02</v>
      </c>
      <c r="D10" s="2"/>
      <c r="E10" s="2"/>
      <c r="F10" s="2"/>
      <c r="G10" s="2"/>
      <c r="H10" s="3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">
      <c r="A11" s="2"/>
      <c r="B11" s="19"/>
      <c r="C11" s="11"/>
      <c r="D11" s="2"/>
      <c r="E11" s="2"/>
      <c r="F11" s="2"/>
      <c r="G11" s="2"/>
      <c r="H11" s="3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">
      <c r="A12" s="2"/>
      <c r="B12" s="7"/>
      <c r="C12" s="11"/>
      <c r="D12" s="2"/>
      <c r="E12" s="2"/>
      <c r="F12" s="2"/>
      <c r="G12" s="2"/>
      <c r="H12" s="3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">
      <c r="A13" s="2"/>
      <c r="B13" s="18" t="s">
        <v>19</v>
      </c>
      <c r="C13" s="21" t="str">
        <f>mrigxl_SpotZeroYieldCurve(C15,C16,C17,C18,C19,C20,C21)</f>
        <v>SZYC|Actual-360|India|Compounded|Annual|Linear</v>
      </c>
      <c r="D13" s="2" t="s">
        <v>116</v>
      </c>
      <c r="E13" s="2"/>
      <c r="F13" s="2"/>
      <c r="G13" s="2"/>
      <c r="H13" s="3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">
      <c r="A14" s="2"/>
      <c r="B14" s="6"/>
      <c r="C14" s="19"/>
      <c r="D14" s="2"/>
      <c r="E14" s="2"/>
      <c r="F14" s="2"/>
      <c r="G14" s="2"/>
      <c r="H14" s="3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">
      <c r="A15" s="2"/>
      <c r="B15" s="8" t="s">
        <v>2</v>
      </c>
      <c r="C15" s="20">
        <v>43257</v>
      </c>
      <c r="D15" s="2"/>
      <c r="E15" s="8" t="s">
        <v>20</v>
      </c>
      <c r="F15" s="8" t="s">
        <v>21</v>
      </c>
      <c r="G15" s="2"/>
      <c r="H15" s="3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">
      <c r="A16" s="2"/>
      <c r="B16" s="8" t="s">
        <v>38</v>
      </c>
      <c r="C16" s="20" t="s">
        <v>39</v>
      </c>
      <c r="D16" s="2"/>
      <c r="E16" s="23"/>
      <c r="F16" s="16"/>
      <c r="G16" s="2"/>
      <c r="H16" s="3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">
      <c r="A17" s="2"/>
      <c r="B17" s="8" t="s">
        <v>3</v>
      </c>
      <c r="C17" s="20" t="s">
        <v>6</v>
      </c>
      <c r="D17" s="2"/>
      <c r="E17" s="23"/>
      <c r="F17" s="16"/>
      <c r="G17" s="2"/>
      <c r="H17" s="3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">
      <c r="A18" s="2"/>
      <c r="B18" s="8" t="s">
        <v>4</v>
      </c>
      <c r="C18" s="20" t="s">
        <v>12</v>
      </c>
      <c r="D18" s="2"/>
      <c r="E18" s="23"/>
      <c r="F18" s="16"/>
      <c r="G18" s="2"/>
      <c r="H18" s="3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">
      <c r="A19" s="2"/>
      <c r="B19" s="8" t="s">
        <v>22</v>
      </c>
      <c r="C19" s="16" t="s">
        <v>24</v>
      </c>
      <c r="D19" s="2"/>
      <c r="E19" s="23"/>
      <c r="F19" s="16"/>
      <c r="G19" s="2"/>
      <c r="H19" s="3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">
      <c r="A20" s="2"/>
      <c r="B20" s="8" t="s">
        <v>28</v>
      </c>
      <c r="C20" s="16" t="s">
        <v>29</v>
      </c>
      <c r="D20" s="2"/>
      <c r="E20" s="23"/>
      <c r="F20" s="16"/>
      <c r="G20" s="2"/>
      <c r="H20" s="3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x14ac:dyDescent="0.2">
      <c r="A21" s="2"/>
      <c r="B21" s="8" t="s">
        <v>31</v>
      </c>
      <c r="C21" s="16" t="s">
        <v>32</v>
      </c>
      <c r="D21" s="2"/>
      <c r="E21" s="23"/>
      <c r="F21" s="16"/>
      <c r="G21" s="2"/>
      <c r="H21" s="3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x14ac:dyDescent="0.2">
      <c r="A22" s="2"/>
      <c r="B22" s="19"/>
      <c r="C22" s="7"/>
      <c r="D22" s="7"/>
      <c r="E22" s="23"/>
      <c r="F22" s="16"/>
      <c r="G22" s="10"/>
      <c r="H22" s="3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x14ac:dyDescent="0.2">
      <c r="A23" s="2"/>
      <c r="B23" s="7"/>
      <c r="C23" s="11"/>
      <c r="D23" s="7"/>
      <c r="E23" s="23"/>
      <c r="F23" s="16"/>
      <c r="G23" s="10"/>
      <c r="H23" s="3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x14ac:dyDescent="0.2">
      <c r="A24" s="2"/>
      <c r="B24" s="7"/>
      <c r="C24" s="11"/>
      <c r="D24" s="7"/>
      <c r="E24" s="23"/>
      <c r="F24" s="16"/>
      <c r="G24" s="10"/>
      <c r="H24" s="3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x14ac:dyDescent="0.2">
      <c r="A25" s="2"/>
      <c r="B25" s="7"/>
      <c r="C25" s="7"/>
      <c r="D25" s="7"/>
      <c r="E25" s="23"/>
      <c r="F25" s="16"/>
      <c r="G25" s="10"/>
      <c r="H25" s="3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x14ac:dyDescent="0.2">
      <c r="A26" s="2"/>
      <c r="B26" s="7"/>
      <c r="C26" s="7"/>
      <c r="D26" s="7"/>
      <c r="E26" s="23"/>
      <c r="F26" s="16"/>
      <c r="G26" s="10"/>
      <c r="H26" s="3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x14ac:dyDescent="0.2">
      <c r="A27" s="2"/>
      <c r="B27" s="7"/>
      <c r="C27" s="7"/>
      <c r="D27" s="7"/>
      <c r="E27" s="23"/>
      <c r="F27" s="16"/>
      <c r="G27" s="10"/>
      <c r="H27" s="3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x14ac:dyDescent="0.2">
      <c r="A28" s="2"/>
      <c r="B28" s="7"/>
      <c r="C28" s="7"/>
      <c r="D28" s="7"/>
      <c r="E28" s="23"/>
      <c r="F28" s="16"/>
      <c r="G28" s="10"/>
      <c r="H28" s="3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x14ac:dyDescent="0.2">
      <c r="A29" s="2"/>
      <c r="B29" s="7"/>
      <c r="C29" s="7"/>
      <c r="D29" s="7"/>
      <c r="E29" s="23"/>
      <c r="F29" s="16"/>
      <c r="G29" s="10"/>
      <c r="H29" s="3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x14ac:dyDescent="0.2">
      <c r="A30" s="2"/>
      <c r="B30" s="12"/>
      <c r="C30" s="10"/>
      <c r="D30" s="7"/>
      <c r="E30" s="23"/>
      <c r="F30" s="16"/>
      <c r="G30" s="10"/>
      <c r="H30" s="3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x14ac:dyDescent="0.2">
      <c r="A31" s="2"/>
      <c r="B31" s="12"/>
      <c r="C31" s="10"/>
      <c r="D31" s="7"/>
      <c r="E31" s="23"/>
      <c r="F31" s="16"/>
      <c r="G31" s="10"/>
      <c r="H31" s="3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x14ac:dyDescent="0.2">
      <c r="A32" s="2"/>
      <c r="B32" s="12"/>
      <c r="C32" s="10"/>
      <c r="D32" s="7"/>
      <c r="E32" s="23"/>
      <c r="F32" s="16"/>
      <c r="G32" s="10"/>
      <c r="H32" s="3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x14ac:dyDescent="0.2">
      <c r="A33" s="2"/>
      <c r="B33" s="12"/>
      <c r="C33" s="10"/>
      <c r="D33" s="7"/>
      <c r="E33" s="23"/>
      <c r="F33" s="16"/>
      <c r="G33" s="10"/>
      <c r="H33" s="3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x14ac:dyDescent="0.2">
      <c r="A34" s="2"/>
      <c r="B34" s="12"/>
      <c r="C34" s="10"/>
      <c r="D34" s="7"/>
      <c r="E34" s="23"/>
      <c r="F34" s="16"/>
      <c r="G34" s="10"/>
      <c r="H34" s="3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x14ac:dyDescent="0.2">
      <c r="A35" s="2"/>
      <c r="B35" s="12"/>
      <c r="C35" s="10"/>
      <c r="D35" s="7"/>
      <c r="E35" s="23"/>
      <c r="F35" s="16"/>
      <c r="G35" s="10"/>
      <c r="H35" s="3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2">
      <c r="A36" s="2"/>
      <c r="B36" s="12"/>
      <c r="C36" s="10"/>
      <c r="D36" s="7"/>
      <c r="E36" s="23"/>
      <c r="F36" s="16"/>
      <c r="G36" s="10"/>
      <c r="H36" s="3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2">
      <c r="A37" s="2"/>
      <c r="B37" s="12"/>
      <c r="C37" s="10"/>
      <c r="D37" s="7"/>
      <c r="E37" s="23"/>
      <c r="F37" s="16"/>
      <c r="G37" s="10"/>
      <c r="H37" s="3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2">
      <c r="A38" s="2"/>
      <c r="B38" s="12"/>
      <c r="C38" s="10"/>
      <c r="D38" s="7"/>
      <c r="E38" s="23"/>
      <c r="F38" s="16"/>
      <c r="G38" s="10"/>
      <c r="H38" s="3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2">
      <c r="A39" s="2"/>
      <c r="B39" s="12"/>
      <c r="C39" s="10"/>
      <c r="D39" s="7"/>
      <c r="E39" s="23"/>
      <c r="F39" s="16"/>
      <c r="G39" s="10"/>
      <c r="H39" s="3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2">
      <c r="A40" s="2"/>
      <c r="B40" s="12"/>
      <c r="C40" s="10"/>
      <c r="D40" s="7"/>
      <c r="E40" s="23"/>
      <c r="F40" s="16"/>
      <c r="G40" s="10"/>
      <c r="H40" s="3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2">
      <c r="A41" s="2"/>
      <c r="B41" s="12"/>
      <c r="C41" s="10"/>
      <c r="D41" s="7"/>
      <c r="E41" s="7"/>
      <c r="F41" s="7"/>
      <c r="G41" s="10"/>
      <c r="H41" s="3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2">
      <c r="A42" s="2"/>
      <c r="B42" s="12"/>
      <c r="C42" s="10"/>
      <c r="D42" s="7"/>
      <c r="E42" s="7"/>
      <c r="F42" s="7"/>
      <c r="G42" s="10"/>
      <c r="H42" s="3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2">
      <c r="A43" s="2"/>
      <c r="B43" s="12"/>
      <c r="C43" s="10"/>
      <c r="D43" s="7"/>
      <c r="E43" s="7"/>
      <c r="F43" s="7"/>
      <c r="G43" s="10"/>
      <c r="H43" s="3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2">
      <c r="A44" s="2"/>
      <c r="B44" s="12"/>
      <c r="C44" s="10"/>
      <c r="D44" s="7"/>
      <c r="E44" s="7"/>
      <c r="F44" s="7"/>
      <c r="G44" s="10"/>
      <c r="H44" s="3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2">
      <c r="A45" s="2"/>
      <c r="B45" s="12"/>
      <c r="C45" s="10"/>
      <c r="D45" s="7"/>
      <c r="E45" s="7"/>
      <c r="F45" s="7"/>
      <c r="G45" s="10"/>
      <c r="H45" s="3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2">
      <c r="A46" s="2"/>
      <c r="B46" s="12"/>
      <c r="C46" s="10"/>
      <c r="D46" s="7"/>
      <c r="E46" s="7"/>
      <c r="F46" s="7"/>
      <c r="G46" s="10"/>
      <c r="H46" s="3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2">
      <c r="A47" s="2"/>
      <c r="B47" s="12"/>
      <c r="C47" s="10"/>
      <c r="D47" s="7"/>
      <c r="E47" s="7"/>
      <c r="F47" s="7"/>
      <c r="G47" s="10"/>
      <c r="H47" s="3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2">
      <c r="A48" s="2"/>
      <c r="B48" s="12"/>
      <c r="C48" s="10"/>
      <c r="D48" s="7"/>
      <c r="E48" s="7"/>
      <c r="F48" s="7"/>
      <c r="G48" s="10"/>
      <c r="H48" s="3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2">
      <c r="A49" s="2"/>
      <c r="B49" s="12"/>
      <c r="C49" s="10"/>
      <c r="D49" s="7"/>
      <c r="E49" s="7"/>
      <c r="F49" s="7"/>
      <c r="G49" s="10"/>
      <c r="H49" s="3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2">
      <c r="A50" s="2"/>
      <c r="B50" s="12"/>
      <c r="C50" s="10"/>
      <c r="D50" s="7"/>
      <c r="E50" s="7"/>
      <c r="F50" s="7"/>
      <c r="G50" s="10"/>
      <c r="H50" s="3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2">
      <c r="A51" s="2"/>
      <c r="B51" s="12"/>
      <c r="C51" s="10"/>
      <c r="D51" s="7"/>
      <c r="E51" s="7"/>
      <c r="F51" s="7"/>
      <c r="G51" s="10"/>
      <c r="H51" s="3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2">
      <c r="A52" s="2"/>
      <c r="B52" s="12"/>
      <c r="C52" s="10"/>
      <c r="D52" s="7"/>
      <c r="E52" s="7"/>
      <c r="F52" s="7"/>
      <c r="G52" s="10"/>
      <c r="H52" s="3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2">
      <c r="A53" s="2"/>
      <c r="B53" s="12"/>
      <c r="C53" s="10"/>
      <c r="D53" s="7"/>
      <c r="E53" s="7"/>
      <c r="F53" s="7"/>
      <c r="G53" s="10"/>
      <c r="H53" s="3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2">
      <c r="A54" s="2"/>
      <c r="B54" s="12"/>
      <c r="C54" s="10"/>
      <c r="D54" s="7"/>
      <c r="E54" s="7"/>
      <c r="F54" s="7"/>
      <c r="G54" s="10"/>
      <c r="H54" s="3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2">
      <c r="A55" s="2"/>
      <c r="B55" s="12"/>
      <c r="C55" s="10"/>
      <c r="D55" s="7"/>
      <c r="E55" s="7"/>
      <c r="F55" s="7"/>
      <c r="G55" s="10"/>
      <c r="H55" s="3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2">
      <c r="A56" s="2"/>
      <c r="B56" s="12"/>
      <c r="C56" s="10"/>
      <c r="D56" s="7"/>
      <c r="E56" s="7"/>
      <c r="F56" s="7"/>
      <c r="G56" s="10"/>
      <c r="H56" s="3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2">
      <c r="A57" s="2"/>
      <c r="B57" s="12"/>
      <c r="C57" s="10"/>
      <c r="D57" s="7"/>
      <c r="E57" s="7"/>
      <c r="F57" s="7"/>
      <c r="G57" s="10"/>
      <c r="H57" s="3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2">
      <c r="A58" s="2"/>
      <c r="B58" s="12"/>
      <c r="C58" s="10"/>
      <c r="D58" s="7"/>
      <c r="E58" s="7"/>
      <c r="F58" s="7"/>
      <c r="G58" s="10"/>
      <c r="H58" s="3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2">
      <c r="A59" s="2"/>
      <c r="B59" s="12"/>
      <c r="C59" s="10"/>
      <c r="D59" s="7"/>
      <c r="E59" s="7"/>
      <c r="F59" s="7"/>
      <c r="G59" s="10"/>
      <c r="H59" s="3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2">
      <c r="A60" s="2"/>
      <c r="B60" s="12"/>
      <c r="C60" s="10"/>
      <c r="D60" s="7"/>
      <c r="E60" s="7"/>
      <c r="F60" s="7"/>
      <c r="G60" s="10"/>
      <c r="H60" s="3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2">
      <c r="A61" s="2"/>
      <c r="B61" s="12"/>
      <c r="C61" s="10"/>
      <c r="D61" s="7"/>
      <c r="E61" s="7"/>
      <c r="F61" s="7"/>
      <c r="G61" s="10"/>
      <c r="H61" s="3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2">
      <c r="A62" s="2"/>
      <c r="B62" s="12"/>
      <c r="C62" s="10"/>
      <c r="D62" s="7"/>
      <c r="E62" s="7"/>
      <c r="F62" s="7"/>
      <c r="G62" s="10"/>
      <c r="H62" s="3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2">
      <c r="A63" s="2"/>
      <c r="B63" s="12"/>
      <c r="C63" s="10"/>
      <c r="D63" s="7"/>
      <c r="E63" s="7"/>
      <c r="F63" s="7"/>
      <c r="G63" s="10"/>
      <c r="H63" s="3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2">
      <c r="A64" s="2"/>
      <c r="B64" s="12"/>
      <c r="C64" s="10"/>
      <c r="D64" s="7"/>
      <c r="E64" s="7"/>
      <c r="F64" s="7"/>
      <c r="G64" s="10"/>
      <c r="H64" s="3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2">
      <c r="A65" s="2"/>
      <c r="B65" s="12"/>
      <c r="C65" s="10"/>
      <c r="D65" s="7"/>
      <c r="E65" s="7"/>
      <c r="F65" s="7"/>
      <c r="G65" s="10"/>
      <c r="H65" s="3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x14ac:dyDescent="0.2">
      <c r="A66" s="2"/>
      <c r="B66" s="12"/>
      <c r="C66" s="10"/>
      <c r="D66" s="7"/>
      <c r="E66" s="7"/>
      <c r="F66" s="7"/>
      <c r="G66" s="10"/>
      <c r="H66" s="3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2">
      <c r="A67" s="2"/>
      <c r="B67" s="12"/>
      <c r="C67" s="10"/>
      <c r="D67" s="7"/>
      <c r="E67" s="7"/>
      <c r="F67" s="7"/>
      <c r="G67" s="10"/>
      <c r="H67" s="3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x14ac:dyDescent="0.2">
      <c r="A68" s="2"/>
      <c r="B68" s="12"/>
      <c r="C68" s="10"/>
      <c r="D68" s="7"/>
      <c r="E68" s="7"/>
      <c r="F68" s="7"/>
      <c r="G68" s="10"/>
      <c r="H68" s="3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2">
      <c r="A69" s="2"/>
      <c r="B69" s="12"/>
      <c r="C69" s="10"/>
      <c r="D69" s="7"/>
      <c r="E69" s="7"/>
      <c r="F69" s="7"/>
      <c r="G69" s="10"/>
      <c r="H69" s="3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x14ac:dyDescent="0.2">
      <c r="A70" s="2"/>
      <c r="B70" s="12"/>
      <c r="C70" s="10"/>
      <c r="D70" s="7"/>
      <c r="E70" s="7"/>
      <c r="F70" s="7"/>
      <c r="G70" s="10"/>
      <c r="H70" s="3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x14ac:dyDescent="0.2">
      <c r="A71" s="2"/>
      <c r="B71" s="14"/>
      <c r="C71" s="13"/>
      <c r="D71" s="7"/>
      <c r="E71" s="7"/>
      <c r="F71" s="7"/>
      <c r="G71" s="10"/>
      <c r="H71" s="3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x14ac:dyDescent="0.2">
      <c r="A72" s="2"/>
      <c r="B72" s="2"/>
      <c r="C72" s="2"/>
      <c r="D72" s="2"/>
      <c r="E72" s="2"/>
      <c r="F72" s="2"/>
      <c r="G72" s="2"/>
      <c r="H72" s="3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x14ac:dyDescent="0.2">
      <c r="A73" s="2"/>
      <c r="B73" s="2"/>
      <c r="C73" s="2"/>
      <c r="D73" s="2"/>
      <c r="E73" s="2"/>
      <c r="F73" s="2"/>
      <c r="G73" s="2"/>
      <c r="H73" s="3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x14ac:dyDescent="0.2">
      <c r="A74" s="2"/>
      <c r="B74" s="2"/>
      <c r="C74" s="2"/>
      <c r="D74" s="2"/>
      <c r="E74" s="2"/>
      <c r="F74" s="2"/>
      <c r="G74" s="2"/>
      <c r="H74" s="3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x14ac:dyDescent="0.2">
      <c r="A75" s="2"/>
      <c r="B75" s="2"/>
      <c r="C75" s="2"/>
      <c r="D75" s="2"/>
      <c r="E75" s="2"/>
      <c r="F75" s="2"/>
      <c r="G75" s="2"/>
      <c r="H75" s="3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x14ac:dyDescent="0.2">
      <c r="A76" s="2"/>
      <c r="B76" s="2"/>
      <c r="C76" s="2"/>
      <c r="D76" s="2"/>
      <c r="E76" s="2"/>
      <c r="F76" s="2"/>
      <c r="G76" s="2"/>
      <c r="H76" s="3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x14ac:dyDescent="0.2">
      <c r="A77" s="2"/>
      <c r="B77" s="2"/>
      <c r="C77" s="2"/>
      <c r="D77" s="2"/>
      <c r="E77" s="2"/>
      <c r="F77" s="2"/>
      <c r="G77" s="2"/>
      <c r="H77" s="3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x14ac:dyDescent="0.2">
      <c r="A78" s="2"/>
      <c r="B78" s="2"/>
      <c r="C78" s="2"/>
      <c r="D78" s="2"/>
      <c r="E78" s="2"/>
      <c r="F78" s="2"/>
      <c r="G78" s="2"/>
      <c r="H78" s="3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x14ac:dyDescent="0.2">
      <c r="A79" s="2"/>
      <c r="B79" s="2"/>
      <c r="C79" s="2"/>
      <c r="D79" s="2"/>
      <c r="E79" s="2"/>
      <c r="F79" s="2"/>
      <c r="G79" s="2"/>
      <c r="H79" s="3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x14ac:dyDescent="0.2">
      <c r="A80" s="2"/>
      <c r="B80" s="2"/>
      <c r="C80" s="2"/>
      <c r="D80" s="2"/>
      <c r="E80" s="2"/>
      <c r="F80" s="2"/>
      <c r="G80" s="2"/>
      <c r="H80" s="3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x14ac:dyDescent="0.2">
      <c r="A81" s="2"/>
      <c r="B81" s="2"/>
      <c r="C81" s="2"/>
      <c r="D81" s="2"/>
      <c r="E81" s="2"/>
      <c r="F81" s="2"/>
      <c r="G81" s="2"/>
      <c r="H81" s="3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x14ac:dyDescent="0.2">
      <c r="A82" s="2"/>
      <c r="B82" s="2"/>
      <c r="C82" s="2"/>
      <c r="D82" s="2"/>
      <c r="E82" s="2"/>
      <c r="F82" s="2"/>
      <c r="G82" s="2"/>
      <c r="H82" s="3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x14ac:dyDescent="0.2">
      <c r="A83" s="2"/>
      <c r="B83" s="2"/>
      <c r="C83" s="2"/>
      <c r="D83" s="2"/>
      <c r="E83" s="2"/>
      <c r="F83" s="2"/>
      <c r="G83" s="2"/>
      <c r="H83" s="3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x14ac:dyDescent="0.2">
      <c r="A84" s="2"/>
      <c r="B84" s="2"/>
      <c r="C84" s="2"/>
      <c r="D84" s="2"/>
      <c r="E84" s="2"/>
      <c r="F84" s="2"/>
      <c r="G84" s="2"/>
      <c r="H84" s="3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x14ac:dyDescent="0.2">
      <c r="A85" s="2"/>
      <c r="B85" s="2"/>
      <c r="C85" s="2"/>
      <c r="D85" s="2"/>
      <c r="E85" s="2"/>
      <c r="F85" s="2"/>
      <c r="G85" s="2"/>
      <c r="H85" s="3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x14ac:dyDescent="0.2">
      <c r="A86" s="2"/>
      <c r="B86" s="2"/>
      <c r="C86" s="2"/>
      <c r="D86" s="2"/>
      <c r="E86" s="2"/>
      <c r="F86" s="2"/>
      <c r="G86" s="2"/>
      <c r="H86" s="3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x14ac:dyDescent="0.2">
      <c r="A87" s="2"/>
      <c r="B87" s="2"/>
      <c r="C87" s="2"/>
      <c r="D87" s="2"/>
      <c r="E87" s="2"/>
      <c r="F87" s="2"/>
      <c r="G87" s="2"/>
      <c r="H87" s="3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x14ac:dyDescent="0.2">
      <c r="A88" s="2"/>
      <c r="B88" s="2"/>
      <c r="C88" s="2"/>
      <c r="D88" s="2"/>
      <c r="E88" s="2"/>
      <c r="F88" s="2"/>
      <c r="G88" s="2"/>
      <c r="H88" s="3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x14ac:dyDescent="0.2">
      <c r="A89" s="2"/>
      <c r="B89" s="2"/>
      <c r="C89" s="2"/>
      <c r="D89" s="2"/>
      <c r="E89" s="2"/>
      <c r="F89" s="2"/>
      <c r="G89" s="2"/>
      <c r="H89" s="3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x14ac:dyDescent="0.2">
      <c r="A90" s="2"/>
      <c r="B90" s="2"/>
      <c r="C90" s="2"/>
      <c r="D90" s="2"/>
      <c r="E90" s="2"/>
      <c r="F90" s="2"/>
      <c r="G90" s="2"/>
      <c r="H90" s="3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x14ac:dyDescent="0.2">
      <c r="A91" s="2"/>
      <c r="B91" s="2"/>
      <c r="C91" s="2"/>
      <c r="D91" s="2"/>
      <c r="E91" s="2"/>
      <c r="F91" s="2"/>
      <c r="G91" s="2"/>
      <c r="H91" s="3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x14ac:dyDescent="0.2">
      <c r="A92" s="2"/>
      <c r="B92" s="2"/>
      <c r="C92" s="2"/>
      <c r="D92" s="2"/>
      <c r="E92" s="2"/>
      <c r="F92" s="2"/>
      <c r="G92" s="2"/>
      <c r="H92" s="3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x14ac:dyDescent="0.2">
      <c r="A93" s="2"/>
      <c r="B93" s="2"/>
      <c r="C93" s="2"/>
      <c r="D93" s="2"/>
      <c r="E93" s="2"/>
      <c r="F93" s="2"/>
      <c r="G93" s="2"/>
      <c r="H93" s="3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x14ac:dyDescent="0.2">
      <c r="A94" s="2"/>
      <c r="B94" s="2"/>
      <c r="C94" s="2"/>
      <c r="D94" s="2"/>
      <c r="E94" s="2"/>
      <c r="F94" s="2"/>
      <c r="G94" s="2"/>
      <c r="H94" s="3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x14ac:dyDescent="0.2">
      <c r="A95" s="2"/>
      <c r="B95" s="2"/>
      <c r="C95" s="2"/>
      <c r="D95" s="2"/>
      <c r="E95" s="2"/>
      <c r="F95" s="2"/>
      <c r="G95" s="2"/>
      <c r="H95" s="3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x14ac:dyDescent="0.2">
      <c r="A96" s="2"/>
      <c r="B96" s="2"/>
      <c r="C96" s="2"/>
      <c r="D96" s="2"/>
      <c r="E96" s="2"/>
      <c r="F96" s="2"/>
      <c r="G96" s="2"/>
      <c r="H96" s="3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x14ac:dyDescent="0.2">
      <c r="A97" s="2"/>
      <c r="B97" s="2"/>
      <c r="C97" s="2"/>
      <c r="D97" s="2"/>
      <c r="E97" s="2"/>
      <c r="F97" s="2"/>
      <c r="G97" s="2"/>
      <c r="H97" s="3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x14ac:dyDescent="0.2">
      <c r="A98" s="2"/>
      <c r="B98" s="2"/>
      <c r="C98" s="2"/>
      <c r="D98" s="2"/>
      <c r="E98" s="2"/>
      <c r="F98" s="2"/>
      <c r="G98" s="2"/>
      <c r="H98" s="3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</sheetData>
  <dataValidations count="1">
    <dataValidation type="decimal" allowBlank="1" showInputMessage="1" showErrorMessage="1" promptTitle="Rate" prompt="Rate in Decimal" sqref="C10 F16:F40">
      <formula1>-9999999</formula1>
      <formula2>99999999</formula2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promptTitle="Yield Curve Day Count Convention" prompt="Default is 30-360">
          <x14:formula1>
            <xm:f>Reference!$B$4:$B$8</xm:f>
          </x14:formula1>
          <xm:sqref>C8 C17</xm:sqref>
        </x14:dataValidation>
        <x14:dataValidation type="list" allowBlank="1" showInputMessage="1" showErrorMessage="1" promptTitle="Market Calendar" prompt="Economic Caledar for the Region_x000a_Default is India">
          <x14:formula1>
            <xm:f>Reference!$C$4:$C$9</xm:f>
          </x14:formula1>
          <xm:sqref>C9 C18</xm:sqref>
        </x14:dataValidation>
        <x14:dataValidation type="list" allowBlank="1" showInputMessage="1" showErrorMessage="1" promptTitle="Compounding Method" prompt="Simple  \( 1+rt \); Compounded  \( (1+r)^t \);_x000a_Continuous \( e^{rt} \); _x000a__x000a_Default is Compounded">
          <x14:formula1>
            <xm:f>Reference!$E$4:$E$8</xm:f>
          </x14:formula1>
          <xm:sqref>C19</xm:sqref>
        </x14:dataValidation>
        <x14:dataValidation type="list" allowBlank="1" showInputMessage="1" showErrorMessage="1" promptTitle="Compounding Frequency" prompt="Default is Annual">
          <x14:formula1>
            <xm:f>Reference!$F$4:$F$15</xm:f>
          </x14:formula1>
          <xm:sqref>C20</xm:sqref>
        </x14:dataValidation>
        <x14:dataValidation type="list" allowBlank="1" showInputMessage="1" showErrorMessage="1" prompt="Default is Linear">
          <x14:formula1>
            <xm:f>Reference!$G$4</xm:f>
          </x14:formula1>
          <xm:sqref>C21</xm:sqref>
        </x14:dataValidation>
        <x14:dataValidation type="list" allowBlank="1" showInputMessage="1" showErrorMessage="1" promptTitle="Curve Currency" prompt="Curve Currency">
          <x14:formula1>
            <xm:f>Reference!$H$4:$H$9</xm:f>
          </x14:formula1>
          <xm:sqref>C16</xm:sqref>
        </x14:dataValidation>
        <x14:dataValidation type="date" allowBlank="1" showInputMessage="1" showErrorMessage="1" promptTitle="Curve Date" prompt="Date from where the yield curve starts_x000a_">
          <x14:formula1>
            <xm:f>Reference!D4</xm:f>
          </x14:formula1>
          <x14:formula2>
            <xm:f>Reference!D5</xm:f>
          </x14:formula2>
          <xm:sqref>C7</xm:sqref>
        </x14:dataValidation>
        <x14:dataValidation type="date" allowBlank="1" showInputMessage="1" showErrorMessage="1" promptTitle="Curve Date" prompt="Date from where the yield curve starts_x000a_">
          <x14:formula1>
            <xm:f>Reference!D12</xm:f>
          </x14:formula1>
          <x14:formula2>
            <xm:f>Reference!D13</xm:f>
          </x14:formula2>
          <xm:sqref>C15</xm:sqref>
        </x14:dataValidation>
        <x14:dataValidation type="date" allowBlank="1" showInputMessage="1" showErrorMessage="1" promptTitle="Curve Date" prompt="_x000a_">
          <x14:formula1>
            <xm:f>Reference!F13</xm:f>
          </x14:formula1>
          <x14:formula2>
            <xm:f>Reference!F14</xm:f>
          </x14:formula2>
          <xm:sqref>E16:E40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Z98"/>
  <sheetViews>
    <sheetView zoomScaleNormal="100" workbookViewId="0">
      <pane ySplit="3" topLeftCell="A4" activePane="bottomLeft" state="frozen"/>
      <selection pane="bottomLeft" activeCell="C6" sqref="C6"/>
    </sheetView>
  </sheetViews>
  <sheetFormatPr defaultRowHeight="14.25" x14ac:dyDescent="0.2"/>
  <cols>
    <col min="1" max="1" width="4.28515625" style="4" customWidth="1"/>
    <col min="2" max="2" width="27.5703125" style="4" bestFit="1" customWidth="1"/>
    <col min="3" max="3" width="14.28515625" style="4" bestFit="1" customWidth="1"/>
    <col min="4" max="5" width="9.5703125" style="4" bestFit="1" customWidth="1"/>
    <col min="6" max="6" width="9.85546875" style="4" bestFit="1" customWidth="1"/>
    <col min="7" max="7" width="4" style="4" customWidth="1"/>
    <col min="8" max="8" width="3.7109375" style="4" customWidth="1"/>
    <col min="9" max="16384" width="9.140625" style="4"/>
  </cols>
  <sheetData>
    <row r="1" spans="1:26" x14ac:dyDescent="0.2">
      <c r="A1" s="2"/>
      <c r="B1" s="2"/>
      <c r="C1" s="2"/>
      <c r="D1" s="2"/>
      <c r="E1" s="2"/>
      <c r="F1" s="2"/>
      <c r="G1" s="2"/>
      <c r="H1" s="3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">
      <c r="A2" s="5" t="s">
        <v>80</v>
      </c>
      <c r="B2" s="2"/>
      <c r="C2" s="2"/>
      <c r="D2" s="2"/>
      <c r="E2" s="2"/>
      <c r="F2" s="2"/>
      <c r="G2" s="2"/>
      <c r="H2" s="3"/>
      <c r="I2" s="5" t="s">
        <v>35</v>
      </c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x14ac:dyDescent="0.2">
      <c r="A4" s="2"/>
      <c r="B4" s="2"/>
      <c r="C4" s="2"/>
      <c r="D4" s="2"/>
      <c r="E4" s="2"/>
      <c r="F4" s="2"/>
      <c r="G4" s="2"/>
      <c r="H4" s="3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">
      <c r="A5" s="2"/>
      <c r="B5" s="18" t="s">
        <v>77</v>
      </c>
      <c r="C5" s="21" t="str">
        <f>mrigxl_Libor(C7,C8,C9,C10,C11,C12,C13)</f>
        <v>Index|Libor6M|INR|6M|30-360|India|3</v>
      </c>
      <c r="D5" s="2" t="s">
        <v>116</v>
      </c>
      <c r="E5" s="2"/>
      <c r="F5" s="2"/>
      <c r="G5" s="2"/>
      <c r="H5" s="3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">
      <c r="A6" s="2"/>
      <c r="B6" s="6"/>
      <c r="C6" s="19"/>
      <c r="D6" s="2"/>
      <c r="E6" s="2"/>
      <c r="F6" s="2"/>
      <c r="G6" s="2"/>
      <c r="H6" s="3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">
      <c r="A7" s="2"/>
      <c r="B7" s="8" t="s">
        <v>78</v>
      </c>
      <c r="C7" s="20" t="s">
        <v>124</v>
      </c>
      <c r="D7" s="2"/>
      <c r="E7" s="2"/>
      <c r="F7" s="2"/>
      <c r="G7" s="2"/>
      <c r="H7" s="3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">
      <c r="A8" s="2"/>
      <c r="B8" s="8" t="s">
        <v>38</v>
      </c>
      <c r="C8" s="20" t="s">
        <v>39</v>
      </c>
      <c r="D8" s="2"/>
      <c r="E8" s="2"/>
      <c r="F8" s="2"/>
      <c r="G8" s="2"/>
      <c r="H8" s="3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">
      <c r="A9" s="2"/>
      <c r="B9" s="8" t="s">
        <v>79</v>
      </c>
      <c r="C9" s="22" t="s">
        <v>123</v>
      </c>
      <c r="D9" s="2"/>
      <c r="E9" s="2"/>
      <c r="F9" s="2"/>
      <c r="G9" s="2"/>
      <c r="H9" s="3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">
      <c r="A10" s="2"/>
      <c r="B10" s="8" t="s">
        <v>3</v>
      </c>
      <c r="C10" s="20" t="s">
        <v>10</v>
      </c>
      <c r="D10" s="2"/>
      <c r="E10" s="2"/>
      <c r="F10" s="2"/>
      <c r="G10" s="2"/>
      <c r="H10" s="3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">
      <c r="A11" s="2"/>
      <c r="B11" s="8" t="s">
        <v>4</v>
      </c>
      <c r="C11" s="20" t="s">
        <v>12</v>
      </c>
      <c r="D11" s="2"/>
      <c r="E11" s="2"/>
      <c r="F11" s="2"/>
      <c r="G11" s="2"/>
      <c r="H11" s="3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">
      <c r="A12" s="2"/>
      <c r="B12" s="8" t="s">
        <v>61</v>
      </c>
      <c r="C12" s="16">
        <v>3</v>
      </c>
      <c r="D12" s="2"/>
      <c r="E12" s="2"/>
      <c r="F12" s="2"/>
      <c r="G12" s="2"/>
      <c r="H12" s="3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">
      <c r="A13" s="2"/>
      <c r="B13" s="8" t="s">
        <v>107</v>
      </c>
      <c r="C13" s="20" t="str">
        <f>'Interest Rates Term Structures'!C5</f>
        <v>FFYC|Actual-360|India|0.02</v>
      </c>
      <c r="D13" s="2"/>
      <c r="E13" s="2"/>
      <c r="F13" s="2"/>
      <c r="G13" s="2"/>
      <c r="H13" s="3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">
      <c r="A14" s="2"/>
      <c r="B14" s="8"/>
      <c r="C14" s="20"/>
      <c r="D14" s="2"/>
      <c r="E14" s="2"/>
      <c r="F14" s="2"/>
      <c r="G14" s="2"/>
      <c r="H14" s="3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">
      <c r="A15" s="2"/>
      <c r="B15" s="8"/>
      <c r="C15" s="20"/>
      <c r="D15" s="2"/>
      <c r="E15" s="2"/>
      <c r="F15" s="2"/>
      <c r="G15" s="2"/>
      <c r="H15" s="3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">
      <c r="A16" s="2"/>
      <c r="B16" s="8"/>
      <c r="C16" s="20"/>
      <c r="D16" s="2"/>
      <c r="E16" s="2"/>
      <c r="F16" s="2"/>
      <c r="G16" s="2"/>
      <c r="H16" s="3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">
      <c r="A17" s="2"/>
      <c r="B17" s="8"/>
      <c r="C17" s="20"/>
      <c r="D17" s="2"/>
      <c r="E17" s="2"/>
      <c r="F17" s="2"/>
      <c r="G17" s="2"/>
      <c r="H17" s="3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">
      <c r="A18" s="2"/>
      <c r="B18" s="8"/>
      <c r="C18" s="20"/>
      <c r="D18" s="2"/>
      <c r="E18" s="2"/>
      <c r="F18" s="2"/>
      <c r="G18" s="2"/>
      <c r="H18" s="3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">
      <c r="A19" s="2"/>
      <c r="B19" s="2"/>
      <c r="C19" s="2"/>
      <c r="D19" s="2"/>
      <c r="E19" s="2"/>
      <c r="F19" s="2"/>
      <c r="G19" s="2"/>
      <c r="H19" s="3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">
      <c r="A20" s="2"/>
      <c r="B20" s="2"/>
      <c r="C20" s="2"/>
      <c r="D20" s="2"/>
      <c r="E20" s="2"/>
      <c r="F20" s="2"/>
      <c r="G20" s="2"/>
      <c r="H20" s="3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x14ac:dyDescent="0.2">
      <c r="A21" s="2"/>
      <c r="B21" s="7"/>
      <c r="C21" s="7"/>
      <c r="D21" s="2"/>
      <c r="E21" s="2"/>
      <c r="F21" s="2"/>
      <c r="G21" s="2"/>
      <c r="H21" s="3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x14ac:dyDescent="0.2">
      <c r="A22" s="2"/>
      <c r="B22" s="7"/>
      <c r="C22" s="7"/>
      <c r="D22" s="7"/>
      <c r="E22" s="7"/>
      <c r="F22" s="7"/>
      <c r="G22" s="10"/>
      <c r="H22" s="3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x14ac:dyDescent="0.2">
      <c r="A23" s="2"/>
      <c r="B23" s="7"/>
      <c r="C23" s="11"/>
      <c r="D23" s="7"/>
      <c r="E23" s="7"/>
      <c r="F23" s="7"/>
      <c r="G23" s="10"/>
      <c r="H23" s="3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x14ac:dyDescent="0.2">
      <c r="A24" s="2"/>
      <c r="B24" s="7"/>
      <c r="C24" s="11"/>
      <c r="D24" s="7"/>
      <c r="E24" s="7"/>
      <c r="F24" s="7"/>
      <c r="G24" s="10"/>
      <c r="H24" s="3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x14ac:dyDescent="0.2">
      <c r="A25" s="2"/>
      <c r="B25" s="7"/>
      <c r="C25" s="7"/>
      <c r="D25" s="7"/>
      <c r="E25" s="7"/>
      <c r="F25" s="7"/>
      <c r="G25" s="10"/>
      <c r="H25" s="3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x14ac:dyDescent="0.2">
      <c r="A26" s="2"/>
      <c r="B26" s="7"/>
      <c r="C26" s="7"/>
      <c r="D26" s="7"/>
      <c r="E26" s="7"/>
      <c r="F26" s="7"/>
      <c r="G26" s="10"/>
      <c r="H26" s="3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x14ac:dyDescent="0.2">
      <c r="A27" s="2"/>
      <c r="B27" s="7"/>
      <c r="C27" s="7"/>
      <c r="D27" s="7"/>
      <c r="E27" s="7"/>
      <c r="F27" s="7"/>
      <c r="G27" s="10"/>
      <c r="H27" s="3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x14ac:dyDescent="0.2">
      <c r="A28" s="2"/>
      <c r="B28" s="7"/>
      <c r="C28" s="7"/>
      <c r="D28" s="7"/>
      <c r="E28" s="7"/>
      <c r="F28" s="7"/>
      <c r="G28" s="10"/>
      <c r="H28" s="3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x14ac:dyDescent="0.2">
      <c r="A29" s="2"/>
      <c r="B29" s="7"/>
      <c r="C29" s="7"/>
      <c r="D29" s="7"/>
      <c r="E29" s="7"/>
      <c r="F29" s="7"/>
      <c r="G29" s="10"/>
      <c r="H29" s="3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x14ac:dyDescent="0.2">
      <c r="A30" s="2"/>
      <c r="B30" s="12"/>
      <c r="C30" s="10"/>
      <c r="D30" s="7"/>
      <c r="E30" s="7"/>
      <c r="F30" s="7"/>
      <c r="G30" s="10"/>
      <c r="H30" s="3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x14ac:dyDescent="0.2">
      <c r="A31" s="2"/>
      <c r="B31" s="12"/>
      <c r="C31" s="10"/>
      <c r="D31" s="7"/>
      <c r="E31" s="7"/>
      <c r="F31" s="7"/>
      <c r="G31" s="10"/>
      <c r="H31" s="3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x14ac:dyDescent="0.2">
      <c r="A32" s="2"/>
      <c r="B32" s="12"/>
      <c r="C32" s="10"/>
      <c r="D32" s="7"/>
      <c r="E32" s="7"/>
      <c r="F32" s="7"/>
      <c r="G32" s="10"/>
      <c r="H32" s="3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x14ac:dyDescent="0.2">
      <c r="A33" s="2"/>
      <c r="B33" s="12"/>
      <c r="C33" s="10"/>
      <c r="D33" s="7"/>
      <c r="E33" s="7"/>
      <c r="F33" s="7"/>
      <c r="G33" s="10"/>
      <c r="H33" s="3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x14ac:dyDescent="0.2">
      <c r="A34" s="2"/>
      <c r="B34" s="12"/>
      <c r="C34" s="10"/>
      <c r="D34" s="7"/>
      <c r="E34" s="7"/>
      <c r="F34" s="7"/>
      <c r="G34" s="10"/>
      <c r="H34" s="3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x14ac:dyDescent="0.2">
      <c r="A35" s="2"/>
      <c r="B35" s="12"/>
      <c r="C35" s="10"/>
      <c r="D35" s="7"/>
      <c r="E35" s="7"/>
      <c r="F35" s="7"/>
      <c r="G35" s="10"/>
      <c r="H35" s="3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2">
      <c r="A36" s="2"/>
      <c r="B36" s="12"/>
      <c r="C36" s="10"/>
      <c r="D36" s="7"/>
      <c r="E36" s="7"/>
      <c r="F36" s="7"/>
      <c r="G36" s="10"/>
      <c r="H36" s="3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2">
      <c r="A37" s="2"/>
      <c r="B37" s="12"/>
      <c r="C37" s="10"/>
      <c r="D37" s="7"/>
      <c r="E37" s="7"/>
      <c r="F37" s="7"/>
      <c r="G37" s="10"/>
      <c r="H37" s="3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2">
      <c r="A38" s="2"/>
      <c r="B38" s="12"/>
      <c r="C38" s="10"/>
      <c r="D38" s="7"/>
      <c r="E38" s="7"/>
      <c r="F38" s="7"/>
      <c r="G38" s="10"/>
      <c r="H38" s="3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2">
      <c r="A39" s="2"/>
      <c r="B39" s="12"/>
      <c r="C39" s="10"/>
      <c r="D39" s="7"/>
      <c r="E39" s="7"/>
      <c r="F39" s="7"/>
      <c r="G39" s="10"/>
      <c r="H39" s="3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2">
      <c r="A40" s="2"/>
      <c r="B40" s="12"/>
      <c r="C40" s="10"/>
      <c r="D40" s="7"/>
      <c r="E40" s="7"/>
      <c r="F40" s="7"/>
      <c r="G40" s="10"/>
      <c r="H40" s="3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2">
      <c r="A41" s="2"/>
      <c r="B41" s="12"/>
      <c r="C41" s="10"/>
      <c r="D41" s="7"/>
      <c r="E41" s="7"/>
      <c r="F41" s="7"/>
      <c r="G41" s="10"/>
      <c r="H41" s="3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2">
      <c r="A42" s="2"/>
      <c r="B42" s="12"/>
      <c r="C42" s="10"/>
      <c r="D42" s="7"/>
      <c r="E42" s="7"/>
      <c r="F42" s="7"/>
      <c r="G42" s="10"/>
      <c r="H42" s="3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2">
      <c r="A43" s="2"/>
      <c r="B43" s="12"/>
      <c r="C43" s="10"/>
      <c r="D43" s="7"/>
      <c r="E43" s="7"/>
      <c r="F43" s="7"/>
      <c r="G43" s="10"/>
      <c r="H43" s="3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2">
      <c r="A44" s="2"/>
      <c r="B44" s="12"/>
      <c r="C44" s="10"/>
      <c r="D44" s="7"/>
      <c r="E44" s="7"/>
      <c r="F44" s="7"/>
      <c r="G44" s="10"/>
      <c r="H44" s="3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2">
      <c r="A45" s="2"/>
      <c r="B45" s="12"/>
      <c r="C45" s="10"/>
      <c r="D45" s="7"/>
      <c r="E45" s="7"/>
      <c r="F45" s="7"/>
      <c r="G45" s="10"/>
      <c r="H45" s="3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2">
      <c r="A46" s="2"/>
      <c r="B46" s="12"/>
      <c r="C46" s="10"/>
      <c r="D46" s="7"/>
      <c r="E46" s="7"/>
      <c r="F46" s="7"/>
      <c r="G46" s="10"/>
      <c r="H46" s="3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2">
      <c r="A47" s="2"/>
      <c r="B47" s="12"/>
      <c r="C47" s="10"/>
      <c r="D47" s="7"/>
      <c r="E47" s="7"/>
      <c r="F47" s="7"/>
      <c r="G47" s="10"/>
      <c r="H47" s="3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2">
      <c r="A48" s="2"/>
      <c r="B48" s="12"/>
      <c r="C48" s="10"/>
      <c r="D48" s="7"/>
      <c r="E48" s="7"/>
      <c r="F48" s="7"/>
      <c r="G48" s="10"/>
      <c r="H48" s="3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2">
      <c r="A49" s="2"/>
      <c r="B49" s="12"/>
      <c r="C49" s="10"/>
      <c r="D49" s="7"/>
      <c r="E49" s="7"/>
      <c r="F49" s="7"/>
      <c r="G49" s="10"/>
      <c r="H49" s="3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2">
      <c r="A50" s="2"/>
      <c r="B50" s="12"/>
      <c r="C50" s="10"/>
      <c r="D50" s="7"/>
      <c r="E50" s="7"/>
      <c r="F50" s="7"/>
      <c r="G50" s="10"/>
      <c r="H50" s="3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2">
      <c r="A51" s="2"/>
      <c r="B51" s="12"/>
      <c r="C51" s="10"/>
      <c r="D51" s="7"/>
      <c r="E51" s="7"/>
      <c r="F51" s="7"/>
      <c r="G51" s="10"/>
      <c r="H51" s="3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2">
      <c r="A52" s="2"/>
      <c r="B52" s="12"/>
      <c r="C52" s="10"/>
      <c r="D52" s="7"/>
      <c r="E52" s="7"/>
      <c r="F52" s="7"/>
      <c r="G52" s="10"/>
      <c r="H52" s="3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2">
      <c r="A53" s="2"/>
      <c r="B53" s="12"/>
      <c r="C53" s="10"/>
      <c r="D53" s="7"/>
      <c r="E53" s="7"/>
      <c r="F53" s="7"/>
      <c r="G53" s="10"/>
      <c r="H53" s="3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2">
      <c r="A54" s="2"/>
      <c r="B54" s="12"/>
      <c r="C54" s="10"/>
      <c r="D54" s="7"/>
      <c r="E54" s="7"/>
      <c r="F54" s="7"/>
      <c r="G54" s="10"/>
      <c r="H54" s="3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2">
      <c r="A55" s="2"/>
      <c r="B55" s="12"/>
      <c r="C55" s="10"/>
      <c r="D55" s="7"/>
      <c r="E55" s="7"/>
      <c r="F55" s="7"/>
      <c r="G55" s="10"/>
      <c r="H55" s="3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2">
      <c r="A56" s="2"/>
      <c r="B56" s="12"/>
      <c r="C56" s="10"/>
      <c r="D56" s="7"/>
      <c r="E56" s="7"/>
      <c r="F56" s="7"/>
      <c r="G56" s="10"/>
      <c r="H56" s="3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2">
      <c r="A57" s="2"/>
      <c r="B57" s="12"/>
      <c r="C57" s="10"/>
      <c r="D57" s="7"/>
      <c r="E57" s="7"/>
      <c r="F57" s="7"/>
      <c r="G57" s="10"/>
      <c r="H57" s="3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2">
      <c r="A58" s="2"/>
      <c r="B58" s="12"/>
      <c r="C58" s="10"/>
      <c r="D58" s="7"/>
      <c r="E58" s="7"/>
      <c r="F58" s="7"/>
      <c r="G58" s="10"/>
      <c r="H58" s="3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2">
      <c r="A59" s="2"/>
      <c r="B59" s="12"/>
      <c r="C59" s="10"/>
      <c r="D59" s="7"/>
      <c r="E59" s="7"/>
      <c r="F59" s="7"/>
      <c r="G59" s="10"/>
      <c r="H59" s="3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2">
      <c r="A60" s="2"/>
      <c r="B60" s="12"/>
      <c r="C60" s="10"/>
      <c r="D60" s="7"/>
      <c r="E60" s="7"/>
      <c r="F60" s="7"/>
      <c r="G60" s="10"/>
      <c r="H60" s="3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2">
      <c r="A61" s="2"/>
      <c r="B61" s="12"/>
      <c r="C61" s="10"/>
      <c r="D61" s="7"/>
      <c r="E61" s="7"/>
      <c r="F61" s="7"/>
      <c r="G61" s="10"/>
      <c r="H61" s="3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2">
      <c r="A62" s="2"/>
      <c r="B62" s="12"/>
      <c r="C62" s="10"/>
      <c r="D62" s="7"/>
      <c r="E62" s="7"/>
      <c r="F62" s="7"/>
      <c r="G62" s="10"/>
      <c r="H62" s="3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2">
      <c r="A63" s="2"/>
      <c r="B63" s="12"/>
      <c r="C63" s="10"/>
      <c r="D63" s="7"/>
      <c r="E63" s="7"/>
      <c r="F63" s="7"/>
      <c r="G63" s="10"/>
      <c r="H63" s="3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2">
      <c r="A64" s="2"/>
      <c r="B64" s="12"/>
      <c r="C64" s="10"/>
      <c r="D64" s="7"/>
      <c r="E64" s="7"/>
      <c r="F64" s="7"/>
      <c r="G64" s="10"/>
      <c r="H64" s="3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2">
      <c r="A65" s="2"/>
      <c r="B65" s="12"/>
      <c r="C65" s="10"/>
      <c r="D65" s="7"/>
      <c r="E65" s="7"/>
      <c r="F65" s="7"/>
      <c r="G65" s="10"/>
      <c r="H65" s="3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x14ac:dyDescent="0.2">
      <c r="A66" s="2"/>
      <c r="B66" s="12"/>
      <c r="C66" s="10"/>
      <c r="D66" s="7"/>
      <c r="E66" s="7"/>
      <c r="F66" s="7"/>
      <c r="G66" s="10"/>
      <c r="H66" s="3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2">
      <c r="A67" s="2"/>
      <c r="B67" s="12"/>
      <c r="C67" s="10"/>
      <c r="D67" s="7"/>
      <c r="E67" s="7"/>
      <c r="F67" s="7"/>
      <c r="G67" s="10"/>
      <c r="H67" s="3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x14ac:dyDescent="0.2">
      <c r="A68" s="2"/>
      <c r="B68" s="12"/>
      <c r="C68" s="10"/>
      <c r="D68" s="7"/>
      <c r="E68" s="7"/>
      <c r="F68" s="7"/>
      <c r="G68" s="10"/>
      <c r="H68" s="3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2">
      <c r="A69" s="2"/>
      <c r="B69" s="12"/>
      <c r="C69" s="10"/>
      <c r="D69" s="7"/>
      <c r="E69" s="7"/>
      <c r="F69" s="7"/>
      <c r="G69" s="10"/>
      <c r="H69" s="3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x14ac:dyDescent="0.2">
      <c r="A70" s="2"/>
      <c r="B70" s="12"/>
      <c r="C70" s="10"/>
      <c r="D70" s="7"/>
      <c r="E70" s="7"/>
      <c r="F70" s="7"/>
      <c r="G70" s="10"/>
      <c r="H70" s="3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x14ac:dyDescent="0.2">
      <c r="A71" s="2"/>
      <c r="B71" s="14"/>
      <c r="C71" s="13"/>
      <c r="D71" s="7"/>
      <c r="E71" s="7"/>
      <c r="F71" s="7"/>
      <c r="G71" s="10"/>
      <c r="H71" s="3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x14ac:dyDescent="0.2">
      <c r="A72" s="2"/>
      <c r="B72" s="2"/>
      <c r="C72" s="2"/>
      <c r="D72" s="2"/>
      <c r="E72" s="2"/>
      <c r="F72" s="2"/>
      <c r="G72" s="2"/>
      <c r="H72" s="3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x14ac:dyDescent="0.2">
      <c r="A73" s="2"/>
      <c r="B73" s="2"/>
      <c r="C73" s="2"/>
      <c r="D73" s="2"/>
      <c r="E73" s="2"/>
      <c r="F73" s="2"/>
      <c r="G73" s="2"/>
      <c r="H73" s="3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x14ac:dyDescent="0.2">
      <c r="A74" s="2"/>
      <c r="B74" s="2"/>
      <c r="C74" s="2"/>
      <c r="D74" s="2"/>
      <c r="E74" s="2"/>
      <c r="F74" s="2"/>
      <c r="G74" s="2"/>
      <c r="H74" s="3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x14ac:dyDescent="0.2">
      <c r="A75" s="2"/>
      <c r="B75" s="2"/>
      <c r="C75" s="2"/>
      <c r="D75" s="2"/>
      <c r="E75" s="2"/>
      <c r="F75" s="2"/>
      <c r="G75" s="2"/>
      <c r="H75" s="3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x14ac:dyDescent="0.2">
      <c r="A76" s="2"/>
      <c r="B76" s="2"/>
      <c r="C76" s="2"/>
      <c r="D76" s="2"/>
      <c r="E76" s="2"/>
      <c r="F76" s="2"/>
      <c r="G76" s="2"/>
      <c r="H76" s="3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x14ac:dyDescent="0.2">
      <c r="A77" s="2"/>
      <c r="B77" s="2"/>
      <c r="C77" s="2"/>
      <c r="D77" s="2"/>
      <c r="E77" s="2"/>
      <c r="F77" s="2"/>
      <c r="G77" s="2"/>
      <c r="H77" s="3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x14ac:dyDescent="0.2">
      <c r="A78" s="2"/>
      <c r="B78" s="2"/>
      <c r="C78" s="2"/>
      <c r="D78" s="2"/>
      <c r="E78" s="2"/>
      <c r="F78" s="2"/>
      <c r="G78" s="2"/>
      <c r="H78" s="3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x14ac:dyDescent="0.2">
      <c r="A79" s="2"/>
      <c r="B79" s="2"/>
      <c r="C79" s="2"/>
      <c r="D79" s="2"/>
      <c r="E79" s="2"/>
      <c r="F79" s="2"/>
      <c r="G79" s="2"/>
      <c r="H79" s="3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x14ac:dyDescent="0.2">
      <c r="A80" s="2"/>
      <c r="B80" s="2"/>
      <c r="C80" s="2"/>
      <c r="D80" s="2"/>
      <c r="E80" s="2"/>
      <c r="F80" s="2"/>
      <c r="G80" s="2"/>
      <c r="H80" s="3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x14ac:dyDescent="0.2">
      <c r="A81" s="2"/>
      <c r="B81" s="2"/>
      <c r="C81" s="2"/>
      <c r="D81" s="2"/>
      <c r="E81" s="2"/>
      <c r="F81" s="2"/>
      <c r="G81" s="2"/>
      <c r="H81" s="3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x14ac:dyDescent="0.2">
      <c r="A82" s="2"/>
      <c r="B82" s="2"/>
      <c r="C82" s="2"/>
      <c r="D82" s="2"/>
      <c r="E82" s="2"/>
      <c r="F82" s="2"/>
      <c r="G82" s="2"/>
      <c r="H82" s="3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x14ac:dyDescent="0.2">
      <c r="A83" s="2"/>
      <c r="B83" s="2"/>
      <c r="C83" s="2"/>
      <c r="D83" s="2"/>
      <c r="E83" s="2"/>
      <c r="F83" s="2"/>
      <c r="G83" s="2"/>
      <c r="H83" s="3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x14ac:dyDescent="0.2">
      <c r="A84" s="2"/>
      <c r="B84" s="2"/>
      <c r="C84" s="2"/>
      <c r="D84" s="2"/>
      <c r="E84" s="2"/>
      <c r="F84" s="2"/>
      <c r="G84" s="2"/>
      <c r="H84" s="3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x14ac:dyDescent="0.2">
      <c r="A85" s="2"/>
      <c r="B85" s="2"/>
      <c r="C85" s="2"/>
      <c r="D85" s="2"/>
      <c r="E85" s="2"/>
      <c r="F85" s="2"/>
      <c r="G85" s="2"/>
      <c r="H85" s="3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x14ac:dyDescent="0.2">
      <c r="A86" s="2"/>
      <c r="B86" s="2"/>
      <c r="C86" s="2"/>
      <c r="D86" s="2"/>
      <c r="E86" s="2"/>
      <c r="F86" s="2"/>
      <c r="G86" s="2"/>
      <c r="H86" s="3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x14ac:dyDescent="0.2">
      <c r="A87" s="2"/>
      <c r="B87" s="2"/>
      <c r="C87" s="2"/>
      <c r="D87" s="2"/>
      <c r="E87" s="2"/>
      <c r="F87" s="2"/>
      <c r="G87" s="2"/>
      <c r="H87" s="3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x14ac:dyDescent="0.2">
      <c r="A88" s="2"/>
      <c r="B88" s="2"/>
      <c r="C88" s="2"/>
      <c r="D88" s="2"/>
      <c r="E88" s="2"/>
      <c r="F88" s="2"/>
      <c r="G88" s="2"/>
      <c r="H88" s="3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x14ac:dyDescent="0.2">
      <c r="A89" s="2"/>
      <c r="B89" s="2"/>
      <c r="C89" s="2"/>
      <c r="D89" s="2"/>
      <c r="E89" s="2"/>
      <c r="F89" s="2"/>
      <c r="G89" s="2"/>
      <c r="H89" s="3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x14ac:dyDescent="0.2">
      <c r="A90" s="2"/>
      <c r="B90" s="2"/>
      <c r="C90" s="2"/>
      <c r="D90" s="2"/>
      <c r="E90" s="2"/>
      <c r="F90" s="2"/>
      <c r="G90" s="2"/>
      <c r="H90" s="3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x14ac:dyDescent="0.2">
      <c r="A91" s="2"/>
      <c r="B91" s="2"/>
      <c r="C91" s="2"/>
      <c r="D91" s="2"/>
      <c r="E91" s="2"/>
      <c r="F91" s="2"/>
      <c r="G91" s="2"/>
      <c r="H91" s="3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x14ac:dyDescent="0.2">
      <c r="A92" s="2"/>
      <c r="B92" s="2"/>
      <c r="C92" s="2"/>
      <c r="D92" s="2"/>
      <c r="E92" s="2"/>
      <c r="F92" s="2"/>
      <c r="G92" s="2"/>
      <c r="H92" s="3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x14ac:dyDescent="0.2">
      <c r="A93" s="2"/>
      <c r="B93" s="2"/>
      <c r="C93" s="2"/>
      <c r="D93" s="2"/>
      <c r="E93" s="2"/>
      <c r="F93" s="2"/>
      <c r="G93" s="2"/>
      <c r="H93" s="3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x14ac:dyDescent="0.2">
      <c r="A94" s="2"/>
      <c r="B94" s="2"/>
      <c r="C94" s="2"/>
      <c r="D94" s="2"/>
      <c r="E94" s="2"/>
      <c r="F94" s="2"/>
      <c r="G94" s="2"/>
      <c r="H94" s="3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x14ac:dyDescent="0.2">
      <c r="A95" s="2"/>
      <c r="B95" s="2"/>
      <c r="C95" s="2"/>
      <c r="D95" s="2"/>
      <c r="E95" s="2"/>
      <c r="F95" s="2"/>
      <c r="G95" s="2"/>
      <c r="H95" s="3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x14ac:dyDescent="0.2">
      <c r="A96" s="2"/>
      <c r="B96" s="2"/>
      <c r="C96" s="2"/>
      <c r="D96" s="2"/>
      <c r="E96" s="2"/>
      <c r="F96" s="2"/>
      <c r="G96" s="2"/>
      <c r="H96" s="3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x14ac:dyDescent="0.2">
      <c r="A97" s="2"/>
      <c r="B97" s="2"/>
      <c r="C97" s="2"/>
      <c r="D97" s="2"/>
      <c r="E97" s="2"/>
      <c r="F97" s="2"/>
      <c r="G97" s="2"/>
      <c r="H97" s="3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x14ac:dyDescent="0.2">
      <c r="A98" s="2"/>
      <c r="B98" s="2"/>
      <c r="C98" s="2"/>
      <c r="D98" s="2"/>
      <c r="E98" s="2"/>
      <c r="F98" s="2"/>
      <c r="G98" s="2"/>
      <c r="H98" s="3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</sheetData>
  <dataValidations count="3">
    <dataValidation type="whole" allowBlank="1" showInputMessage="1" showErrorMessage="1" promptTitle="Settle Days" prompt="Bond Settlement Days_x000a_" sqref="C12">
      <formula1>0</formula1>
      <formula2>99999999999999</formula2>
    </dataValidation>
    <dataValidation allowBlank="1" showInputMessage="1" showErrorMessage="1" promptTitle="Index Name" prompt="Index Name eg LIBOR3M, EURIBOR6M" sqref="C7"/>
    <dataValidation allowBlank="1" showInputMessage="1" showErrorMessage="1" promptTitle="Yield Term Structure" prompt="Term Structure Object Reference" sqref="C13"/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promptTitle="Market Calendar" prompt="Economic Caledar for the Region_x000a_Default is India">
          <x14:formula1>
            <xm:f>Reference!$C$4:$C$9</xm:f>
          </x14:formula1>
          <xm:sqref>C11</xm:sqref>
        </x14:dataValidation>
        <x14:dataValidation type="list" allowBlank="1" showInputMessage="1" showErrorMessage="1" promptTitle="Yield Curve Day Count Convention" prompt="Default is 30-360">
          <x14:formula1>
            <xm:f>Reference!$B$4:$B$8</xm:f>
          </x14:formula1>
          <xm:sqref>C10</xm:sqref>
        </x14:dataValidation>
        <x14:dataValidation type="custom" allowBlank="1" showInputMessage="1" showErrorMessage="1" promptTitle="Index Tenor" prompt="Index Coupon Frequency like 3M, 6M, 1Y">
          <x14:formula1>
            <xm:f>AND(ISNUMBER(INT(LEFT(C9,LEN(C9)-1))),NOT(ISERROR(VLOOKUP(RIGHT(C9,1),Reference!$N$4:$N$7,1,0))))</xm:f>
          </x14:formula1>
          <xm:sqref>C9</xm:sqref>
        </x14:dataValidation>
        <x14:dataValidation type="list" allowBlank="1" showInputMessage="1" showErrorMessage="1" promptTitle="Curve Currency" prompt="Curve Currency">
          <x14:formula1>
            <xm:f>Reference!$H$4:$H$9</xm:f>
          </x14:formula1>
          <xm:sqref>C8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100"/>
  <sheetViews>
    <sheetView tabSelected="1" zoomScale="90" zoomScaleNormal="90" workbookViewId="0">
      <selection activeCell="C25" sqref="C25"/>
    </sheetView>
  </sheetViews>
  <sheetFormatPr defaultRowHeight="14.25" x14ac:dyDescent="0.2"/>
  <cols>
    <col min="1" max="1" width="4.28515625" style="4" customWidth="1"/>
    <col min="2" max="2" width="30.28515625" style="4" bestFit="1" customWidth="1"/>
    <col min="3" max="3" width="24.85546875" style="4" bestFit="1" customWidth="1"/>
    <col min="4" max="4" width="9.140625" style="4"/>
    <col min="5" max="5" width="9.5703125" style="4" bestFit="1" customWidth="1"/>
    <col min="6" max="6" width="9.85546875" style="4" bestFit="1" customWidth="1"/>
    <col min="7" max="7" width="4" style="4" customWidth="1"/>
    <col min="8" max="8" width="3.7109375" style="4" customWidth="1"/>
    <col min="9" max="9" width="24.7109375" style="4" customWidth="1"/>
    <col min="10" max="10" width="19.140625" style="4" customWidth="1"/>
    <col min="11" max="11" width="9.140625" style="4"/>
    <col min="12" max="12" width="14.28515625" style="4" bestFit="1" customWidth="1"/>
    <col min="13" max="16384" width="9.140625" style="4"/>
  </cols>
  <sheetData>
    <row r="1" spans="1:26" x14ac:dyDescent="0.2">
      <c r="A1" s="2"/>
      <c r="B1" s="2"/>
      <c r="C1" s="2"/>
      <c r="D1" s="2"/>
      <c r="E1" s="2"/>
      <c r="F1" s="2"/>
      <c r="G1" s="2"/>
      <c r="H1" s="3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">
      <c r="A2" s="5" t="s">
        <v>45</v>
      </c>
      <c r="B2" s="2"/>
      <c r="C2" s="2"/>
      <c r="D2" s="2"/>
      <c r="E2" s="2"/>
      <c r="F2" s="2"/>
      <c r="G2" s="2"/>
      <c r="H2" s="3"/>
      <c r="I2" s="5" t="s">
        <v>46</v>
      </c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x14ac:dyDescent="0.2">
      <c r="A4" s="2"/>
      <c r="B4" s="2"/>
      <c r="C4" s="2"/>
      <c r="D4" s="2"/>
      <c r="E4" s="2"/>
      <c r="F4" s="2"/>
      <c r="G4" s="2"/>
      <c r="H4" s="3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">
      <c r="A5" s="2"/>
      <c r="B5" s="17" t="s">
        <v>115</v>
      </c>
      <c r="C5" s="17" t="str">
        <f>mrigxl_Bond(C7,C8,C9,C10,C11,C12,C13,C14,C15,C16,C17,C18,C19,C20,C21,C22,C23,C24)</f>
        <v>Floating Rate Bond|Libor6M+0.01|[]|[0.01]|0.03|Bond1|2018-05-07 00:00:00|2020-09-20 00:00:00|100.0|30-360|India|Following|False|3|Backward|Semiannual|True</v>
      </c>
      <c r="D5" s="2" t="s">
        <v>116</v>
      </c>
      <c r="E5" s="2"/>
      <c r="F5" s="2"/>
      <c r="G5" s="2"/>
      <c r="H5" s="3"/>
      <c r="I5" s="2" t="s">
        <v>117</v>
      </c>
      <c r="J5" s="2"/>
      <c r="K5" s="2"/>
      <c r="L5" s="2" t="str">
        <f>mrigxl_Analytics(C5,I6:J6)</f>
        <v>Heads</v>
      </c>
      <c r="M5" s="2" t="s">
        <v>119</v>
      </c>
      <c r="N5" s="2"/>
      <c r="O5" s="2" t="str">
        <f>C5</f>
        <v>Floating Rate Bond|Libor6M+0.01|[]|[0.01]|0.03|Bond1|2018-05-07 00:00:00|2020-09-20 00:00:00|100.0|30-360|India|Following|False|3|Backward|Semiannual|True</v>
      </c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">
      <c r="A6" s="2"/>
      <c r="B6" s="6"/>
      <c r="C6" s="7"/>
      <c r="D6" s="2"/>
      <c r="E6" s="2"/>
      <c r="F6" s="2"/>
      <c r="G6" s="2"/>
      <c r="H6" s="3"/>
      <c r="I6" s="8" t="s">
        <v>118</v>
      </c>
      <c r="J6" s="16" t="str">
        <f>'Interest Rates Term Structures'!C5</f>
        <v>FFYC|Actual-360|India|0.02</v>
      </c>
      <c r="K6" s="2"/>
      <c r="L6" s="2" t="s">
        <v>120</v>
      </c>
      <c r="M6" s="2">
        <v>102.46419143041271</v>
      </c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">
      <c r="A7" s="2"/>
      <c r="B7" s="8" t="s">
        <v>47</v>
      </c>
      <c r="C7" s="15" t="s">
        <v>48</v>
      </c>
      <c r="D7" s="2"/>
      <c r="E7" s="2"/>
      <c r="F7" s="2"/>
      <c r="G7" s="2"/>
      <c r="H7" s="3"/>
      <c r="I7" s="2"/>
      <c r="J7" s="2"/>
      <c r="K7" s="2"/>
      <c r="L7" s="2" t="s">
        <v>121</v>
      </c>
      <c r="M7" s="2">
        <v>102.20812323295635</v>
      </c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">
      <c r="A8" s="2"/>
      <c r="B8" s="8" t="s">
        <v>49</v>
      </c>
      <c r="C8" s="15">
        <v>43227</v>
      </c>
      <c r="D8" s="2"/>
      <c r="E8" s="2"/>
      <c r="F8" s="2"/>
      <c r="G8" s="2"/>
      <c r="H8" s="3"/>
      <c r="I8" s="2"/>
      <c r="J8" s="2"/>
      <c r="K8" s="2"/>
      <c r="L8" s="2" t="s">
        <v>122</v>
      </c>
      <c r="M8" s="2">
        <v>102.49251625039906</v>
      </c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">
      <c r="A9" s="2"/>
      <c r="B9" s="8" t="s">
        <v>50</v>
      </c>
      <c r="C9" s="15">
        <v>44094</v>
      </c>
      <c r="D9" s="2"/>
      <c r="E9" s="2"/>
      <c r="F9" s="2"/>
      <c r="G9" s="2"/>
      <c r="H9" s="3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">
      <c r="A10" s="2"/>
      <c r="B10" s="8" t="s">
        <v>62</v>
      </c>
      <c r="C10" s="16">
        <v>100</v>
      </c>
      <c r="D10" s="2"/>
      <c r="E10" s="2"/>
      <c r="F10" s="2"/>
      <c r="G10" s="2"/>
      <c r="H10" s="3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">
      <c r="A11" s="2"/>
      <c r="B11" s="8" t="s">
        <v>3</v>
      </c>
      <c r="C11" s="16" t="s">
        <v>10</v>
      </c>
      <c r="D11" s="2"/>
      <c r="E11" s="2"/>
      <c r="F11" s="2"/>
      <c r="G11" s="2"/>
      <c r="H11" s="3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">
      <c r="A12" s="2"/>
      <c r="B12" s="8" t="s">
        <v>4</v>
      </c>
      <c r="C12" s="16" t="s">
        <v>12</v>
      </c>
      <c r="D12" s="2"/>
      <c r="E12" s="2"/>
      <c r="F12" s="2"/>
      <c r="G12" s="2"/>
      <c r="H12" s="3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">
      <c r="A13" s="2"/>
      <c r="B13" s="8" t="s">
        <v>52</v>
      </c>
      <c r="C13" s="16" t="s">
        <v>81</v>
      </c>
      <c r="D13" s="2"/>
      <c r="E13" s="2"/>
      <c r="F13" s="2"/>
      <c r="G13" s="2"/>
      <c r="H13" s="3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">
      <c r="A14" s="2"/>
      <c r="B14" s="8" t="s">
        <v>60</v>
      </c>
      <c r="C14" s="16" t="b">
        <v>0</v>
      </c>
      <c r="D14" s="2"/>
      <c r="E14" s="2"/>
      <c r="F14" s="2"/>
      <c r="G14" s="2"/>
      <c r="H14" s="3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">
      <c r="A15" s="2"/>
      <c r="B15" s="8" t="s">
        <v>61</v>
      </c>
      <c r="C15" s="16">
        <v>3</v>
      </c>
      <c r="D15" s="2"/>
      <c r="E15" s="2"/>
      <c r="F15" s="2"/>
      <c r="G15" s="2"/>
      <c r="H15" s="3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">
      <c r="A16" s="2"/>
      <c r="B16" s="8" t="s">
        <v>63</v>
      </c>
      <c r="C16" s="16" t="s">
        <v>88</v>
      </c>
      <c r="D16" s="2"/>
      <c r="E16" s="2"/>
      <c r="F16" s="2"/>
      <c r="G16" s="2"/>
      <c r="H16" s="3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">
      <c r="A17" s="2"/>
      <c r="B17" s="8" t="s">
        <v>51</v>
      </c>
      <c r="C17" s="16" t="s">
        <v>97</v>
      </c>
      <c r="D17" s="2"/>
      <c r="E17" s="2"/>
      <c r="F17" s="2"/>
      <c r="G17" s="2"/>
      <c r="H17" s="3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">
      <c r="A18" s="2"/>
      <c r="B18" s="8" t="s">
        <v>73</v>
      </c>
      <c r="C18" s="24"/>
      <c r="D18" s="2"/>
      <c r="E18" s="2"/>
      <c r="F18" s="2"/>
      <c r="G18" s="2"/>
      <c r="H18" s="3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">
      <c r="A19" s="2"/>
      <c r="B19" s="8" t="s">
        <v>74</v>
      </c>
      <c r="C19" s="16" t="str">
        <f>Index!C5</f>
        <v>Index|Libor6M|INR|6M|30-360|India|3</v>
      </c>
      <c r="D19" s="2"/>
      <c r="E19" s="2"/>
      <c r="F19" s="2"/>
      <c r="G19" s="2"/>
      <c r="H19" s="3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">
      <c r="A20" s="2"/>
      <c r="B20" s="8" t="s">
        <v>75</v>
      </c>
      <c r="C20" s="16">
        <v>0.01</v>
      </c>
      <c r="D20" s="2"/>
      <c r="E20" s="2"/>
      <c r="F20" s="2"/>
      <c r="G20" s="2"/>
      <c r="H20" s="3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x14ac:dyDescent="0.2">
      <c r="A21" s="2"/>
      <c r="B21" s="8" t="s">
        <v>76</v>
      </c>
      <c r="C21" s="16" t="b">
        <v>1</v>
      </c>
      <c r="D21" s="2"/>
      <c r="E21" s="2"/>
      <c r="F21" s="2"/>
      <c r="G21" s="2"/>
      <c r="H21" s="3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x14ac:dyDescent="0.2">
      <c r="A22" s="2"/>
      <c r="B22" s="8" t="s">
        <v>125</v>
      </c>
      <c r="C22" s="16"/>
      <c r="D22" s="2"/>
      <c r="E22" s="2"/>
      <c r="F22" s="2"/>
      <c r="G22" s="2"/>
      <c r="H22" s="3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x14ac:dyDescent="0.2">
      <c r="A23" s="2"/>
      <c r="B23" s="8" t="s">
        <v>126</v>
      </c>
      <c r="C23" s="16">
        <v>0.01</v>
      </c>
      <c r="D23" s="2"/>
      <c r="E23" s="2"/>
      <c r="F23" s="2"/>
      <c r="G23" s="2"/>
      <c r="H23" s="3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x14ac:dyDescent="0.2">
      <c r="A24" s="2"/>
      <c r="B24" s="8" t="s">
        <v>127</v>
      </c>
      <c r="C24" s="24">
        <v>0.03</v>
      </c>
      <c r="D24" s="9"/>
      <c r="E24" s="7"/>
      <c r="F24" s="7"/>
      <c r="G24" s="10"/>
      <c r="H24" s="3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x14ac:dyDescent="0.2">
      <c r="A25" s="2"/>
      <c r="B25" s="19"/>
      <c r="C25" s="7"/>
      <c r="D25" s="10"/>
      <c r="E25" s="7"/>
      <c r="F25" s="7"/>
      <c r="G25" s="10"/>
      <c r="H25" s="3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x14ac:dyDescent="0.2">
      <c r="A26" s="2"/>
      <c r="B26" s="7"/>
      <c r="C26" s="11"/>
      <c r="D26" s="10"/>
      <c r="E26" s="7"/>
      <c r="F26" s="7"/>
      <c r="G26" s="10"/>
      <c r="H26" s="3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x14ac:dyDescent="0.2">
      <c r="A27" s="2"/>
      <c r="B27" s="7"/>
      <c r="C27" s="11"/>
      <c r="D27" s="10"/>
      <c r="E27" s="7"/>
      <c r="F27" s="7"/>
      <c r="G27" s="10"/>
      <c r="H27" s="3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x14ac:dyDescent="0.2">
      <c r="A28" s="2"/>
      <c r="B28" s="7"/>
      <c r="C28" s="7"/>
      <c r="D28" s="10"/>
      <c r="E28" s="7"/>
      <c r="F28" s="7"/>
      <c r="G28" s="10"/>
      <c r="H28" s="3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x14ac:dyDescent="0.2">
      <c r="A29" s="2"/>
      <c r="B29" s="7"/>
      <c r="C29" s="7"/>
      <c r="D29" s="10"/>
      <c r="E29" s="7"/>
      <c r="F29" s="7"/>
      <c r="G29" s="10"/>
      <c r="H29" s="3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x14ac:dyDescent="0.2">
      <c r="A30" s="2"/>
      <c r="B30" s="7"/>
      <c r="C30" s="7"/>
      <c r="D30" s="10"/>
      <c r="E30" s="7"/>
      <c r="F30" s="7"/>
      <c r="G30" s="10"/>
      <c r="H30" s="3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x14ac:dyDescent="0.2">
      <c r="A31" s="2"/>
      <c r="B31" s="7"/>
      <c r="C31" s="7"/>
      <c r="D31" s="10"/>
      <c r="E31" s="7"/>
      <c r="F31" s="7"/>
      <c r="G31" s="10"/>
      <c r="H31" s="3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x14ac:dyDescent="0.2">
      <c r="A32" s="2"/>
      <c r="B32" s="7"/>
      <c r="C32" s="7"/>
      <c r="D32" s="10"/>
      <c r="E32" s="7"/>
      <c r="F32" s="7"/>
      <c r="G32" s="10"/>
      <c r="H32" s="3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x14ac:dyDescent="0.2">
      <c r="A33" s="2"/>
      <c r="B33" s="12"/>
      <c r="C33" s="10"/>
      <c r="D33" s="10"/>
      <c r="E33" s="7"/>
      <c r="F33" s="7"/>
      <c r="G33" s="10"/>
      <c r="H33" s="3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x14ac:dyDescent="0.2">
      <c r="A34" s="2"/>
      <c r="B34" s="12"/>
      <c r="C34" s="10"/>
      <c r="D34" s="10"/>
      <c r="E34" s="7"/>
      <c r="F34" s="7"/>
      <c r="G34" s="10"/>
      <c r="H34" s="3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x14ac:dyDescent="0.2">
      <c r="A35" s="2"/>
      <c r="B35" s="12"/>
      <c r="C35" s="10"/>
      <c r="D35" s="10"/>
      <c r="E35" s="7"/>
      <c r="F35" s="7"/>
      <c r="G35" s="10"/>
      <c r="H35" s="3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2">
      <c r="A36" s="2"/>
      <c r="B36" s="12"/>
      <c r="C36" s="10"/>
      <c r="D36" s="10"/>
      <c r="E36" s="7"/>
      <c r="F36" s="7"/>
      <c r="G36" s="10"/>
      <c r="H36" s="3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2">
      <c r="A37" s="2"/>
      <c r="B37" s="12"/>
      <c r="C37" s="10"/>
      <c r="D37" s="10"/>
      <c r="E37" s="7"/>
      <c r="F37" s="7"/>
      <c r="G37" s="10"/>
      <c r="H37" s="3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2">
      <c r="A38" s="2"/>
      <c r="B38" s="12"/>
      <c r="C38" s="10"/>
      <c r="D38" s="10"/>
      <c r="E38" s="7"/>
      <c r="F38" s="7"/>
      <c r="G38" s="10"/>
      <c r="H38" s="3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2">
      <c r="A39" s="2"/>
      <c r="B39" s="12"/>
      <c r="C39" s="10"/>
      <c r="D39" s="10"/>
      <c r="E39" s="7"/>
      <c r="F39" s="7"/>
      <c r="G39" s="10"/>
      <c r="H39" s="3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2">
      <c r="A40" s="2"/>
      <c r="B40" s="12"/>
      <c r="C40" s="10"/>
      <c r="D40" s="10"/>
      <c r="E40" s="7"/>
      <c r="F40" s="7"/>
      <c r="G40" s="10"/>
      <c r="H40" s="3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2">
      <c r="A41" s="2"/>
      <c r="B41" s="12"/>
      <c r="C41" s="10"/>
      <c r="D41" s="10"/>
      <c r="E41" s="7"/>
      <c r="F41" s="7"/>
      <c r="G41" s="10"/>
      <c r="H41" s="3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2">
      <c r="A42" s="2"/>
      <c r="B42" s="12"/>
      <c r="C42" s="10"/>
      <c r="D42" s="10"/>
      <c r="E42" s="7"/>
      <c r="F42" s="7"/>
      <c r="G42" s="10"/>
      <c r="H42" s="3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2">
      <c r="A43" s="2"/>
      <c r="B43" s="12"/>
      <c r="C43" s="10"/>
      <c r="D43" s="10"/>
      <c r="E43" s="7"/>
      <c r="F43" s="7"/>
      <c r="G43" s="10"/>
      <c r="H43" s="3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2">
      <c r="A44" s="2"/>
      <c r="B44" s="12"/>
      <c r="C44" s="10"/>
      <c r="D44" s="10"/>
      <c r="E44" s="7"/>
      <c r="F44" s="7"/>
      <c r="G44" s="10"/>
      <c r="H44" s="3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2">
      <c r="A45" s="2"/>
      <c r="B45" s="12"/>
      <c r="C45" s="10"/>
      <c r="D45" s="10"/>
      <c r="E45" s="7"/>
      <c r="F45" s="7"/>
      <c r="G45" s="10"/>
      <c r="H45" s="3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2">
      <c r="A46" s="2"/>
      <c r="B46" s="12"/>
      <c r="C46" s="10"/>
      <c r="D46" s="10"/>
      <c r="E46" s="7"/>
      <c r="F46" s="7"/>
      <c r="G46" s="10"/>
      <c r="H46" s="3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2">
      <c r="A47" s="2"/>
      <c r="B47" s="12"/>
      <c r="C47" s="10"/>
      <c r="D47" s="10"/>
      <c r="E47" s="7"/>
      <c r="F47" s="7"/>
      <c r="G47" s="10"/>
      <c r="H47" s="3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2">
      <c r="A48" s="2"/>
      <c r="B48" s="12"/>
      <c r="C48" s="10"/>
      <c r="D48" s="10"/>
      <c r="E48" s="7"/>
      <c r="F48" s="7"/>
      <c r="G48" s="10"/>
      <c r="H48" s="3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2">
      <c r="A49" s="2"/>
      <c r="B49" s="12"/>
      <c r="C49" s="10"/>
      <c r="D49" s="10"/>
      <c r="E49" s="7"/>
      <c r="F49" s="7"/>
      <c r="G49" s="10"/>
      <c r="H49" s="3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2">
      <c r="A50" s="2"/>
      <c r="B50" s="12"/>
      <c r="C50" s="10"/>
      <c r="D50" s="10"/>
      <c r="E50" s="7"/>
      <c r="F50" s="7"/>
      <c r="G50" s="10"/>
      <c r="H50" s="3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2">
      <c r="A51" s="2"/>
      <c r="B51" s="12"/>
      <c r="C51" s="10"/>
      <c r="D51" s="10"/>
      <c r="E51" s="7"/>
      <c r="F51" s="7"/>
      <c r="G51" s="10"/>
      <c r="H51" s="3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2">
      <c r="A52" s="2"/>
      <c r="B52" s="12"/>
      <c r="C52" s="10"/>
      <c r="D52" s="10"/>
      <c r="E52" s="7"/>
      <c r="F52" s="7"/>
      <c r="G52" s="10"/>
      <c r="H52" s="3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2">
      <c r="A53" s="2"/>
      <c r="B53" s="12"/>
      <c r="C53" s="10"/>
      <c r="D53" s="10"/>
      <c r="E53" s="7"/>
      <c r="F53" s="7"/>
      <c r="G53" s="10"/>
      <c r="H53" s="3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2">
      <c r="A54" s="2"/>
      <c r="B54" s="12"/>
      <c r="C54" s="10"/>
      <c r="D54" s="10"/>
      <c r="E54" s="7"/>
      <c r="F54" s="7"/>
      <c r="G54" s="10"/>
      <c r="H54" s="3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2">
      <c r="A55" s="2"/>
      <c r="B55" s="12"/>
      <c r="C55" s="10"/>
      <c r="D55" s="10"/>
      <c r="E55" s="7"/>
      <c r="F55" s="7"/>
      <c r="G55" s="10"/>
      <c r="H55" s="3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2">
      <c r="A56" s="2"/>
      <c r="B56" s="12"/>
      <c r="C56" s="10"/>
      <c r="D56" s="10"/>
      <c r="E56" s="7"/>
      <c r="F56" s="7"/>
      <c r="G56" s="10"/>
      <c r="H56" s="3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2">
      <c r="A57" s="2"/>
      <c r="B57" s="12"/>
      <c r="C57" s="10"/>
      <c r="D57" s="10"/>
      <c r="E57" s="7"/>
      <c r="F57" s="7"/>
      <c r="G57" s="10"/>
      <c r="H57" s="3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2">
      <c r="A58" s="2"/>
      <c r="B58" s="12"/>
      <c r="C58" s="10"/>
      <c r="D58" s="10"/>
      <c r="E58" s="7"/>
      <c r="F58" s="7"/>
      <c r="G58" s="10"/>
      <c r="H58" s="3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2">
      <c r="A59" s="2"/>
      <c r="B59" s="12"/>
      <c r="C59" s="10"/>
      <c r="D59" s="10"/>
      <c r="E59" s="7"/>
      <c r="F59" s="7"/>
      <c r="G59" s="10"/>
      <c r="H59" s="3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2">
      <c r="A60" s="2"/>
      <c r="B60" s="12"/>
      <c r="C60" s="10"/>
      <c r="D60" s="10"/>
      <c r="E60" s="7"/>
      <c r="F60" s="7"/>
      <c r="G60" s="10"/>
      <c r="H60" s="3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2">
      <c r="A61" s="2"/>
      <c r="B61" s="12"/>
      <c r="C61" s="10"/>
      <c r="D61" s="10"/>
      <c r="E61" s="7"/>
      <c r="F61" s="7"/>
      <c r="G61" s="10"/>
      <c r="H61" s="3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2">
      <c r="A62" s="2"/>
      <c r="B62" s="12"/>
      <c r="C62" s="10"/>
      <c r="D62" s="10"/>
      <c r="E62" s="7"/>
      <c r="F62" s="7"/>
      <c r="G62" s="10"/>
      <c r="H62" s="3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2">
      <c r="A63" s="2"/>
      <c r="B63" s="12"/>
      <c r="C63" s="10"/>
      <c r="D63" s="10"/>
      <c r="E63" s="7"/>
      <c r="F63" s="7"/>
      <c r="G63" s="10"/>
      <c r="H63" s="3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2">
      <c r="A64" s="2"/>
      <c r="B64" s="12"/>
      <c r="C64" s="10"/>
      <c r="D64" s="10"/>
      <c r="E64" s="7"/>
      <c r="F64" s="7"/>
      <c r="G64" s="10"/>
      <c r="H64" s="3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2">
      <c r="A65" s="2"/>
      <c r="B65" s="12"/>
      <c r="C65" s="10"/>
      <c r="D65" s="10"/>
      <c r="E65" s="7"/>
      <c r="F65" s="7"/>
      <c r="G65" s="10"/>
      <c r="H65" s="3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x14ac:dyDescent="0.2">
      <c r="A66" s="2"/>
      <c r="B66" s="12"/>
      <c r="C66" s="10"/>
      <c r="D66" s="10"/>
      <c r="E66" s="7"/>
      <c r="F66" s="7"/>
      <c r="G66" s="10"/>
      <c r="H66" s="3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2">
      <c r="A67" s="2"/>
      <c r="B67" s="12"/>
      <c r="C67" s="10"/>
      <c r="D67" s="10"/>
      <c r="E67" s="7"/>
      <c r="F67" s="7"/>
      <c r="G67" s="10"/>
      <c r="H67" s="3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x14ac:dyDescent="0.2">
      <c r="A68" s="2"/>
      <c r="B68" s="12"/>
      <c r="C68" s="10"/>
      <c r="D68" s="10"/>
      <c r="E68" s="7"/>
      <c r="F68" s="7"/>
      <c r="G68" s="10"/>
      <c r="H68" s="3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2">
      <c r="A69" s="2"/>
      <c r="B69" s="12"/>
      <c r="C69" s="10"/>
      <c r="D69" s="10"/>
      <c r="E69" s="7"/>
      <c r="F69" s="7"/>
      <c r="G69" s="10"/>
      <c r="H69" s="3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x14ac:dyDescent="0.2">
      <c r="A70" s="2"/>
      <c r="B70" s="12"/>
      <c r="C70" s="10"/>
      <c r="D70" s="10"/>
      <c r="E70" s="7"/>
      <c r="F70" s="7"/>
      <c r="G70" s="10"/>
      <c r="H70" s="3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x14ac:dyDescent="0.2">
      <c r="A71" s="2"/>
      <c r="B71" s="12"/>
      <c r="C71" s="10"/>
      <c r="D71" s="10"/>
      <c r="E71" s="7"/>
      <c r="F71" s="7"/>
      <c r="G71" s="10"/>
      <c r="H71" s="3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x14ac:dyDescent="0.2">
      <c r="A72" s="2"/>
      <c r="B72" s="12"/>
      <c r="C72" s="10"/>
      <c r="D72" s="10"/>
      <c r="E72" s="7"/>
      <c r="F72" s="7"/>
      <c r="G72" s="10"/>
      <c r="H72" s="3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x14ac:dyDescent="0.2">
      <c r="A73" s="2"/>
      <c r="B73" s="12"/>
      <c r="C73" s="10"/>
      <c r="D73" s="13"/>
      <c r="E73" s="7"/>
      <c r="F73" s="7"/>
      <c r="G73" s="10"/>
      <c r="H73" s="3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x14ac:dyDescent="0.2">
      <c r="A74" s="2"/>
      <c r="B74" s="14"/>
      <c r="C74" s="13"/>
      <c r="D74" s="2"/>
      <c r="E74" s="2"/>
      <c r="F74" s="2"/>
      <c r="G74" s="2"/>
      <c r="H74" s="3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x14ac:dyDescent="0.2">
      <c r="A75" s="2"/>
      <c r="B75" s="2"/>
      <c r="C75" s="2"/>
      <c r="D75" s="2"/>
      <c r="E75" s="2"/>
      <c r="F75" s="2"/>
      <c r="G75" s="2"/>
      <c r="H75" s="3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x14ac:dyDescent="0.2">
      <c r="A76" s="2"/>
      <c r="B76" s="2"/>
      <c r="C76" s="2"/>
      <c r="D76" s="2"/>
      <c r="E76" s="2"/>
      <c r="F76" s="2"/>
      <c r="G76" s="2"/>
      <c r="H76" s="3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x14ac:dyDescent="0.2">
      <c r="A77" s="2"/>
      <c r="B77" s="2"/>
      <c r="C77" s="2"/>
      <c r="D77" s="2"/>
      <c r="E77" s="2"/>
      <c r="F77" s="2"/>
      <c r="G77" s="2"/>
      <c r="H77" s="3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x14ac:dyDescent="0.2">
      <c r="A78" s="2"/>
      <c r="B78" s="2"/>
      <c r="C78" s="2"/>
      <c r="D78" s="2"/>
      <c r="E78" s="2"/>
      <c r="F78" s="2"/>
      <c r="G78" s="2"/>
      <c r="H78" s="3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x14ac:dyDescent="0.2">
      <c r="A79" s="2"/>
      <c r="B79" s="2"/>
      <c r="C79" s="2"/>
      <c r="D79" s="2"/>
      <c r="E79" s="2"/>
      <c r="F79" s="2"/>
      <c r="G79" s="2"/>
      <c r="H79" s="3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x14ac:dyDescent="0.2">
      <c r="A80" s="2"/>
      <c r="B80" s="2"/>
      <c r="C80" s="2"/>
      <c r="D80" s="2"/>
      <c r="E80" s="2"/>
      <c r="F80" s="2"/>
      <c r="G80" s="2"/>
      <c r="H80" s="3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x14ac:dyDescent="0.2">
      <c r="A81" s="2"/>
      <c r="B81" s="2"/>
      <c r="C81" s="2"/>
      <c r="D81" s="2"/>
      <c r="E81" s="2"/>
      <c r="F81" s="2"/>
      <c r="G81" s="2"/>
      <c r="H81" s="3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x14ac:dyDescent="0.2">
      <c r="A82" s="2"/>
      <c r="B82" s="2"/>
      <c r="C82" s="2"/>
      <c r="D82" s="2"/>
      <c r="E82" s="2"/>
      <c r="F82" s="2"/>
      <c r="G82" s="2"/>
      <c r="H82" s="3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x14ac:dyDescent="0.2">
      <c r="A83" s="2"/>
      <c r="B83" s="2"/>
      <c r="C83" s="2"/>
      <c r="D83" s="2"/>
      <c r="E83" s="2"/>
      <c r="F83" s="2"/>
      <c r="G83" s="2"/>
      <c r="H83" s="3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x14ac:dyDescent="0.2">
      <c r="A84" s="2"/>
      <c r="B84" s="2"/>
      <c r="C84" s="2"/>
      <c r="D84" s="2"/>
      <c r="E84" s="2"/>
      <c r="F84" s="2"/>
      <c r="G84" s="2"/>
      <c r="H84" s="3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x14ac:dyDescent="0.2">
      <c r="A85" s="2"/>
      <c r="B85" s="2"/>
      <c r="C85" s="2"/>
      <c r="D85" s="2"/>
      <c r="E85" s="2"/>
      <c r="F85" s="2"/>
      <c r="G85" s="2"/>
      <c r="H85" s="3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x14ac:dyDescent="0.2">
      <c r="A86" s="2"/>
      <c r="B86" s="2"/>
      <c r="C86" s="2"/>
      <c r="D86" s="2"/>
      <c r="E86" s="2"/>
      <c r="F86" s="2"/>
      <c r="G86" s="2"/>
      <c r="H86" s="3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x14ac:dyDescent="0.2">
      <c r="A87" s="2"/>
      <c r="B87" s="2"/>
      <c r="C87" s="2"/>
      <c r="D87" s="2"/>
      <c r="E87" s="2"/>
      <c r="F87" s="2"/>
      <c r="G87" s="2"/>
      <c r="H87" s="3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x14ac:dyDescent="0.2">
      <c r="A88" s="2"/>
      <c r="B88" s="2"/>
      <c r="C88" s="2"/>
      <c r="D88" s="2"/>
      <c r="E88" s="2"/>
      <c r="F88" s="2"/>
      <c r="G88" s="2"/>
      <c r="H88" s="3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x14ac:dyDescent="0.2">
      <c r="A89" s="2"/>
      <c r="B89" s="2"/>
      <c r="C89" s="2"/>
      <c r="D89" s="2"/>
      <c r="E89" s="2"/>
      <c r="F89" s="2"/>
      <c r="G89" s="2"/>
      <c r="H89" s="3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x14ac:dyDescent="0.2">
      <c r="A90" s="2"/>
      <c r="B90" s="2"/>
      <c r="C90" s="2"/>
      <c r="D90" s="2"/>
      <c r="E90" s="2"/>
      <c r="F90" s="2"/>
      <c r="G90" s="2"/>
      <c r="H90" s="3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x14ac:dyDescent="0.2">
      <c r="A91" s="2"/>
      <c r="B91" s="2"/>
      <c r="C91" s="2"/>
      <c r="D91" s="2"/>
      <c r="E91" s="2"/>
      <c r="F91" s="2"/>
      <c r="G91" s="2"/>
      <c r="H91" s="3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x14ac:dyDescent="0.2">
      <c r="A92" s="2"/>
      <c r="B92" s="2"/>
      <c r="C92" s="2"/>
      <c r="D92" s="2"/>
      <c r="E92" s="2"/>
      <c r="F92" s="2"/>
      <c r="G92" s="2"/>
      <c r="H92" s="3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x14ac:dyDescent="0.2">
      <c r="A93" s="2"/>
      <c r="B93" s="2"/>
      <c r="C93" s="2"/>
      <c r="D93" s="2"/>
      <c r="E93" s="2"/>
      <c r="F93" s="2"/>
      <c r="G93" s="2"/>
      <c r="H93" s="3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x14ac:dyDescent="0.2">
      <c r="A94" s="2"/>
      <c r="B94" s="2"/>
      <c r="C94" s="2"/>
      <c r="D94" s="2"/>
      <c r="E94" s="2"/>
      <c r="F94" s="2"/>
      <c r="G94" s="2"/>
      <c r="H94" s="3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x14ac:dyDescent="0.2">
      <c r="A95" s="2"/>
      <c r="B95" s="2"/>
      <c r="C95" s="2"/>
      <c r="D95" s="2"/>
      <c r="E95" s="2"/>
      <c r="F95" s="2"/>
      <c r="G95" s="2"/>
      <c r="H95" s="3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x14ac:dyDescent="0.2">
      <c r="A96" s="2"/>
      <c r="B96" s="2"/>
      <c r="C96" s="2"/>
      <c r="D96" s="2"/>
      <c r="E96" s="2"/>
      <c r="F96" s="2"/>
      <c r="G96" s="2"/>
      <c r="H96" s="3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x14ac:dyDescent="0.2">
      <c r="A97" s="2"/>
      <c r="B97" s="2"/>
      <c r="C97" s="2"/>
      <c r="D97" s="2"/>
      <c r="E97" s="2"/>
      <c r="F97" s="2"/>
      <c r="G97" s="2"/>
      <c r="H97" s="3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x14ac:dyDescent="0.2">
      <c r="A98" s="2"/>
      <c r="B98" s="2"/>
      <c r="C98" s="2"/>
      <c r="D98" s="2"/>
      <c r="E98" s="2"/>
      <c r="F98" s="2"/>
      <c r="G98" s="2"/>
      <c r="H98" s="3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x14ac:dyDescent="0.2">
      <c r="A99" s="2"/>
      <c r="B99" s="2"/>
      <c r="C99" s="2"/>
      <c r="D99" s="2"/>
      <c r="E99" s="2"/>
      <c r="F99" s="2"/>
      <c r="G99" s="2"/>
      <c r="H99" s="3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x14ac:dyDescent="0.2">
      <c r="A100" s="2"/>
      <c r="B100" s="2"/>
      <c r="C100" s="2"/>
      <c r="D100" s="2"/>
      <c r="E100" s="2"/>
      <c r="F100" s="2"/>
      <c r="G100" s="2"/>
      <c r="H100" s="3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</sheetData>
  <dataValidations count="7">
    <dataValidation type="decimal" allowBlank="1" showInputMessage="1" showErrorMessage="1" promptTitle="Rate" prompt="Rate in Decimal" sqref="C18 C20 C22:C24">
      <formula1>-9999999</formula1>
      <formula2>99999999</formula2>
    </dataValidation>
    <dataValidation allowBlank="1" showInputMessage="1" showErrorMessage="1" promptTitle="Bond Name" prompt="Bond Name" sqref="C7"/>
    <dataValidation type="list" allowBlank="1" showInputMessage="1" showErrorMessage="1" promptTitle="Month End Flag" prompt="Whether Month End to be included" sqref="C14">
      <formula1>"True,False"</formula1>
    </dataValidation>
    <dataValidation type="whole" allowBlank="1" showInputMessage="1" showErrorMessage="1" promptTitle="Settle Days" prompt="Bond Settlement Days_x000a_" sqref="C15">
      <formula1>0</formula1>
      <formula2>99999999999999</formula2>
    </dataValidation>
    <dataValidation type="decimal" allowBlank="1" showInputMessage="1" showErrorMessage="1" promptTitle="Face Value" prompt="Notional" sqref="C10">
      <formula1>-9999999</formula1>
      <formula2>99999999</formula2>
    </dataValidation>
    <dataValidation type="list" allowBlank="1" showInputMessage="1" showErrorMessage="1" promptTitle="Arrears" prompt="Coupon in Arrears" sqref="C21">
      <formula1>"True,False"</formula1>
    </dataValidation>
    <dataValidation allowBlank="1" showInputMessage="1" showErrorMessage="1" promptTitle="Interest Rate Index" prompt="Index Object Reference" sqref="C19"/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promptTitle="Curve Currency" prompt="Curve Currency">
          <x14:formula1>
            <xm:f>Reference!$H$4:$H$9</xm:f>
          </x14:formula1>
          <xm:sqref>C27</xm:sqref>
        </x14:dataValidation>
        <x14:dataValidation type="list" allowBlank="1" showInputMessage="1" showErrorMessage="1" prompt="Default is Linear">
          <x14:formula1>
            <xm:f>Reference!$G$4</xm:f>
          </x14:formula1>
          <xm:sqref>C32</xm:sqref>
        </x14:dataValidation>
        <x14:dataValidation type="list" allowBlank="1" showInputMessage="1" showErrorMessage="1" promptTitle="Compounding Frequency" prompt="Default is Annual">
          <x14:formula1>
            <xm:f>Reference!$F$4:$F$15</xm:f>
          </x14:formula1>
          <xm:sqref>C31</xm:sqref>
        </x14:dataValidation>
        <x14:dataValidation type="list" allowBlank="1" showInputMessage="1" showErrorMessage="1" promptTitle="Compounding Method" prompt="Simple  \( 1+rt \); Compounded  \( (1+r)^t \);_x000a_Continuous \( e^{rt} \); _x000a__x000a_Default is Compounded">
          <x14:formula1>
            <xm:f>Reference!$E$4:$E$8</xm:f>
          </x14:formula1>
          <xm:sqref>C30</xm:sqref>
        </x14:dataValidation>
        <x14:dataValidation type="list" allowBlank="1" showInputMessage="1" showErrorMessage="1" promptTitle="Market Calendar" prompt="Economic Caledar for the Region_x000a_Default is India">
          <x14:formula1>
            <xm:f>Reference!$C$4:$C$9</xm:f>
          </x14:formula1>
          <xm:sqref>C29 C12</xm:sqref>
        </x14:dataValidation>
        <x14:dataValidation type="list" allowBlank="1" showInputMessage="1" showErrorMessage="1" promptTitle="Yield Curve Day Count Convention" prompt="Default is 30-360">
          <x14:formula1>
            <xm:f>Reference!$B$4:$B$8</xm:f>
          </x14:formula1>
          <xm:sqref>C28 C11</xm:sqref>
        </x14:dataValidation>
        <x14:dataValidation type="list" allowBlank="1" showInputMessage="1" showErrorMessage="1" promptTitle="Coupon Frequency" prompt="Default is Annual">
          <x14:formula1>
            <xm:f>Reference!$F$4:$F$15</xm:f>
          </x14:formula1>
          <xm:sqref>C17</xm:sqref>
        </x14:dataValidation>
        <x14:dataValidation type="list" allowBlank="1" showInputMessage="1" showErrorMessage="1" promptTitle="Convention" prompt="Business Day Convention_x000a_">
          <x14:formula1>
            <xm:f>Reference!$I$4:$I$10</xm:f>
          </x14:formula1>
          <xm:sqref>C13</xm:sqref>
        </x14:dataValidation>
        <x14:dataValidation type="list" allowBlank="1" showInputMessage="1" showErrorMessage="1" promptTitle="Date Generation" prompt="Date Generation Method">
          <x14:formula1>
            <xm:f>Reference!$L$4:$L$12</xm:f>
          </x14:formula1>
          <xm:sqref>C16</xm:sqref>
        </x14:dataValidation>
        <x14:dataValidation type="date" allowBlank="1" showInputMessage="1" showErrorMessage="1" promptTitle="Curve Date" prompt="Date from where the yield curve starts_x000a_">
          <x14:formula1>
            <xm:f>Reference!D12</xm:f>
          </x14:formula1>
          <x14:formula2>
            <xm:f>Reference!D13</xm:f>
          </x14:formula2>
          <xm:sqref>C26</xm:sqref>
        </x14:dataValidation>
        <x14:dataValidation type="date" allowBlank="1" showInputMessage="1" showErrorMessage="1" promptTitle="Curve Date" prompt="Date from where the yield curve starts_x000a_">
          <x14:formula1>
            <xm:f>Reference!D1048570</xm:f>
          </x14:formula1>
          <x14:formula2>
            <xm:f>Reference!D1048571</xm:f>
          </x14:formula2>
          <xm:sqref>C8:C9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F21" sqref="F21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Q16"/>
  <sheetViews>
    <sheetView topLeftCell="C1" workbookViewId="0">
      <selection activeCell="Q4" sqref="Q4"/>
    </sheetView>
  </sheetViews>
  <sheetFormatPr defaultRowHeight="15" x14ac:dyDescent="0.25"/>
  <cols>
    <col min="2" max="2" width="22.28515625" bestFit="1" customWidth="1"/>
    <col min="5" max="5" width="24.42578125" bestFit="1" customWidth="1"/>
  </cols>
  <sheetData>
    <row r="2" spans="2:17" x14ac:dyDescent="0.25">
      <c r="B2" t="s">
        <v>3</v>
      </c>
      <c r="C2" t="s">
        <v>11</v>
      </c>
      <c r="D2" t="s">
        <v>18</v>
      </c>
      <c r="E2" t="s">
        <v>22</v>
      </c>
      <c r="F2" t="s">
        <v>28</v>
      </c>
      <c r="G2" t="s">
        <v>31</v>
      </c>
      <c r="H2" t="s">
        <v>38</v>
      </c>
      <c r="I2" t="s">
        <v>52</v>
      </c>
      <c r="L2" t="s">
        <v>63</v>
      </c>
      <c r="N2" t="s">
        <v>109</v>
      </c>
    </row>
    <row r="4" spans="2:17" x14ac:dyDescent="0.25">
      <c r="B4" t="s">
        <v>6</v>
      </c>
      <c r="C4" t="s">
        <v>12</v>
      </c>
      <c r="D4" s="1">
        <v>1</v>
      </c>
      <c r="E4" t="s">
        <v>23</v>
      </c>
      <c r="F4" t="s">
        <v>37</v>
      </c>
      <c r="G4" t="s">
        <v>32</v>
      </c>
      <c r="H4" t="s">
        <v>39</v>
      </c>
      <c r="I4" t="s">
        <v>81</v>
      </c>
      <c r="J4" t="s">
        <v>53</v>
      </c>
      <c r="L4" t="s">
        <v>88</v>
      </c>
      <c r="M4" t="s">
        <v>64</v>
      </c>
      <c r="N4" t="s">
        <v>110</v>
      </c>
      <c r="O4" t="s">
        <v>114</v>
      </c>
      <c r="P4" t="b">
        <f>AND(ISNUMBER(INT(LEFT(O4,LEN(O4)-1))),NOT(ISERROR(VLOOKUP(RIGHT(O4,1),$N$4:$N$7,1,0))))</f>
        <v>1</v>
      </c>
      <c r="Q4" t="b">
        <f>NOT(ISERROR(VLOOKUP(RIGHT(O4,1),$N$4:$N$7,1,0)))</f>
        <v>1</v>
      </c>
    </row>
    <row r="5" spans="2:17" x14ac:dyDescent="0.25">
      <c r="B5" t="s">
        <v>7</v>
      </c>
      <c r="C5" t="s">
        <v>16</v>
      </c>
      <c r="D5" s="1">
        <v>109575</v>
      </c>
      <c r="E5" t="s">
        <v>24</v>
      </c>
      <c r="F5" t="s">
        <v>106</v>
      </c>
      <c r="G5" t="s">
        <v>34</v>
      </c>
      <c r="H5" t="s">
        <v>40</v>
      </c>
      <c r="I5" t="s">
        <v>82</v>
      </c>
      <c r="J5" t="s">
        <v>54</v>
      </c>
      <c r="L5" t="s">
        <v>89</v>
      </c>
      <c r="M5" t="s">
        <v>65</v>
      </c>
      <c r="N5" t="s">
        <v>111</v>
      </c>
    </row>
    <row r="6" spans="2:17" x14ac:dyDescent="0.25">
      <c r="B6" t="s">
        <v>8</v>
      </c>
      <c r="C6" t="s">
        <v>17</v>
      </c>
      <c r="E6" t="s">
        <v>25</v>
      </c>
      <c r="F6" t="s">
        <v>36</v>
      </c>
      <c r="G6" t="s">
        <v>33</v>
      </c>
      <c r="H6" t="s">
        <v>41</v>
      </c>
      <c r="I6" t="s">
        <v>83</v>
      </c>
      <c r="J6" t="s">
        <v>55</v>
      </c>
      <c r="L6" t="s">
        <v>90</v>
      </c>
      <c r="M6" t="s">
        <v>66</v>
      </c>
      <c r="N6" t="s">
        <v>112</v>
      </c>
    </row>
    <row r="7" spans="2:17" x14ac:dyDescent="0.25">
      <c r="B7" t="s">
        <v>9</v>
      </c>
      <c r="C7" t="s">
        <v>14</v>
      </c>
      <c r="E7" t="s">
        <v>26</v>
      </c>
      <c r="F7" t="s">
        <v>97</v>
      </c>
      <c r="H7" t="s">
        <v>42</v>
      </c>
      <c r="I7" t="s">
        <v>84</v>
      </c>
      <c r="J7" t="s">
        <v>56</v>
      </c>
      <c r="L7" t="s">
        <v>91</v>
      </c>
      <c r="M7" t="s">
        <v>67</v>
      </c>
      <c r="N7" t="s">
        <v>113</v>
      </c>
    </row>
    <row r="8" spans="2:17" x14ac:dyDescent="0.25">
      <c r="B8" t="s">
        <v>10</v>
      </c>
      <c r="C8" t="s">
        <v>15</v>
      </c>
      <c r="E8" t="s">
        <v>27</v>
      </c>
      <c r="F8" t="s">
        <v>30</v>
      </c>
      <c r="H8" t="s">
        <v>43</v>
      </c>
      <c r="I8" t="s">
        <v>85</v>
      </c>
      <c r="J8" t="s">
        <v>57</v>
      </c>
      <c r="L8" t="s">
        <v>92</v>
      </c>
      <c r="M8" t="s">
        <v>68</v>
      </c>
    </row>
    <row r="9" spans="2:17" x14ac:dyDescent="0.25">
      <c r="C9" t="s">
        <v>13</v>
      </c>
      <c r="F9" t="s">
        <v>98</v>
      </c>
      <c r="H9" t="s">
        <v>44</v>
      </c>
      <c r="I9" t="s">
        <v>86</v>
      </c>
      <c r="J9" t="s">
        <v>58</v>
      </c>
      <c r="L9" t="s">
        <v>93</v>
      </c>
      <c r="M9" t="s">
        <v>69</v>
      </c>
    </row>
    <row r="10" spans="2:17" x14ac:dyDescent="0.25">
      <c r="F10" t="s">
        <v>99</v>
      </c>
      <c r="I10" t="s">
        <v>87</v>
      </c>
      <c r="J10" t="s">
        <v>59</v>
      </c>
      <c r="L10" t="s">
        <v>94</v>
      </c>
      <c r="M10" t="s">
        <v>70</v>
      </c>
    </row>
    <row r="11" spans="2:17" x14ac:dyDescent="0.25">
      <c r="F11" t="s">
        <v>100</v>
      </c>
      <c r="L11" t="s">
        <v>95</v>
      </c>
      <c r="M11" t="s">
        <v>71</v>
      </c>
    </row>
    <row r="12" spans="2:17" x14ac:dyDescent="0.25">
      <c r="F12" t="s">
        <v>101</v>
      </c>
      <c r="L12" t="s">
        <v>96</v>
      </c>
      <c r="M12" t="s">
        <v>72</v>
      </c>
    </row>
    <row r="13" spans="2:17" x14ac:dyDescent="0.25">
      <c r="F13" t="s">
        <v>102</v>
      </c>
    </row>
    <row r="14" spans="2:17" x14ac:dyDescent="0.25">
      <c r="F14" t="s">
        <v>103</v>
      </c>
    </row>
    <row r="15" spans="2:17" x14ac:dyDescent="0.25">
      <c r="F15" t="s">
        <v>104</v>
      </c>
    </row>
    <row r="16" spans="2:17" x14ac:dyDescent="0.25">
      <c r="F16" t="s">
        <v>105</v>
      </c>
    </row>
  </sheetData>
  <hyperlinks>
    <hyperlink ref="M5" r:id="rId1" tooltip="Abstract base forward class. " display="https://www.quantlib.org/reference/class_quant_lib_1_1_forward.html"/>
    <hyperlink ref="M9" r:id="rId2" tooltip="Main cycle of the International Money Market (a.k.a. IMM) months. " display="https://www.quantlib.org/reference/struct_quant_lib_1_1_i_m_m.html"/>
  </hyperlinks>
  <pageMargins left="0.7" right="0.7" top="0.75" bottom="0.75" header="0.3" footer="0.3"/>
  <pageSetup orientation="portrait"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B5"/>
  <sheetViews>
    <sheetView workbookViewId="0">
      <selection activeCell="B5" sqref="B5"/>
    </sheetView>
  </sheetViews>
  <sheetFormatPr defaultRowHeight="15" x14ac:dyDescent="0.25"/>
  <sheetData>
    <row r="2" spans="2:2" x14ac:dyDescent="0.25">
      <c r="B2" t="s">
        <v>108</v>
      </c>
    </row>
    <row r="4" spans="2:2" x14ac:dyDescent="0.25">
      <c r="B4" t="str">
        <f>objectcheck()</f>
        <v>SZYC|Actual-360|India|Compounded|Annual|Linear</v>
      </c>
    </row>
    <row r="5" spans="2:2" x14ac:dyDescent="0.25">
      <c r="B5" t="s">
        <v>128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Interest Rates Term Structures</vt:lpstr>
      <vt:lpstr>Index</vt:lpstr>
      <vt:lpstr>Bonds</vt:lpstr>
      <vt:lpstr>Options</vt:lpstr>
      <vt:lpstr>Reference</vt:lpstr>
      <vt:lpstr>Admin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2018-06-08T17:50:50Z</dcterms:modified>
</cp:coreProperties>
</file>