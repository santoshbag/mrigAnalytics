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rate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volSurf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" i="9" l="1"/>
  <c r="M30" i="9"/>
  <c r="L30" i="9"/>
  <c r="K30" i="9"/>
  <c r="M29" i="9"/>
  <c r="L29" i="9"/>
  <c r="K29" i="9"/>
  <c r="M28" i="9"/>
  <c r="L28" i="9"/>
  <c r="K28" i="9"/>
  <c r="M27" i="9"/>
  <c r="L27" i="9"/>
  <c r="K27" i="9"/>
  <c r="M26" i="9"/>
  <c r="L26" i="9"/>
  <c r="K26" i="9"/>
  <c r="M25" i="9"/>
  <c r="L25" i="9"/>
  <c r="K25" i="9"/>
  <c r="M24" i="9"/>
  <c r="L24" i="9"/>
  <c r="K24" i="9"/>
  <c r="M23" i="9"/>
  <c r="L23" i="9"/>
  <c r="K23" i="9"/>
  <c r="M22" i="9"/>
  <c r="K22" i="9"/>
  <c r="M21" i="9"/>
  <c r="L21" i="9"/>
  <c r="K21" i="9"/>
  <c r="M20" i="9"/>
  <c r="L20" i="9"/>
  <c r="K20" i="9"/>
  <c r="C5" i="1"/>
  <c r="C15" i="1"/>
  <c r="C20" i="9"/>
  <c r="D20" i="9"/>
  <c r="F10" i="10" l="1"/>
  <c r="F9" i="10"/>
  <c r="F8" i="10"/>
  <c r="D15" i="1"/>
  <c r="C5" i="2"/>
  <c r="C28" i="1"/>
  <c r="C15" i="9"/>
  <c r="C5" i="9"/>
  <c r="D5" i="1"/>
  <c r="J7" i="11" l="1"/>
  <c r="J6" i="11"/>
  <c r="C13" i="6"/>
  <c r="L12" i="2"/>
  <c r="L11" i="2"/>
  <c r="L10" i="2"/>
  <c r="L9" i="2"/>
  <c r="C5" i="3"/>
  <c r="C5" i="6"/>
  <c r="B4" i="8"/>
  <c r="C20" i="11" l="1"/>
  <c r="K6" i="10"/>
  <c r="J7" i="3"/>
  <c r="P6" i="2"/>
  <c r="P7" i="2"/>
  <c r="P8" i="2"/>
  <c r="V6" i="2"/>
  <c r="J9" i="3"/>
  <c r="J8" i="3"/>
  <c r="L5" i="3"/>
  <c r="R5" i="2"/>
  <c r="C5" i="11"/>
  <c r="F17" i="10" l="1"/>
  <c r="P4" i="4"/>
  <c r="Q4" i="4"/>
  <c r="L5" i="11"/>
  <c r="C5" i="10"/>
  <c r="O5" i="11" l="1"/>
  <c r="O5" i="3"/>
  <c r="M5" i="10"/>
  <c r="V5" i="2" l="1"/>
  <c r="Q5" i="10" l="1"/>
  <c r="Q6" i="10"/>
</calcChain>
</file>

<file path=xl/sharedStrings.xml><?xml version="1.0" encoding="utf-8"?>
<sst xmlns="http://schemas.openxmlformats.org/spreadsheetml/2006/main" count="362" uniqueCount="212">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</sst>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6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164" fontId="3" fillId="2" borderId="0" xfId="0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542925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107" name="Flat Forward 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542925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254000</xdr:colOff>
      <xdr:row>32</xdr:row>
      <xdr:rowOff>6350</xdr:rowOff>
    </xdr:to>
    <xdr:pic>
      <xdr:nvPicPr>
        <xdr:cNvPr id="115" name="Spot Zero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3257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19</xdr:row>
      <xdr:rowOff>0</xdr:rowOff>
    </xdr:from>
    <xdr:to>
      <xdr:col>22</xdr:col>
      <xdr:colOff>203200</xdr:colOff>
      <xdr:row>47</xdr:row>
      <xdr:rowOff>12700</xdr:rowOff>
    </xdr:to>
    <xdr:pic>
      <xdr:nvPicPr>
        <xdr:cNvPr id="116" name="Cap Floor Vol Surface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6450" y="3438525"/>
          <a:ext cx="5080000" cy="50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10583</xdr:rowOff>
    </xdr:from>
    <xdr:to>
      <xdr:col>24</xdr:col>
      <xdr:colOff>254000</xdr:colOff>
      <xdr:row>33</xdr:row>
      <xdr:rowOff>16933</xdr:rowOff>
    </xdr:to>
    <xdr:pic>
      <xdr:nvPicPr>
        <xdr:cNvPr id="52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7325" y="3449108"/>
          <a:ext cx="635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tabSelected="1" topLeftCell="B1" zoomScale="90" zoomScaleNormal="90" workbookViewId="0">
      <pane ySplit="3" topLeftCell="A4" activePane="bottomLeft" state="frozen"/>
      <selection pane="bottomLeft" activeCell="C28" sqref="C28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FFYC|30-360|US|0.045|Compounded|Annual</v>
      </c>
      <c r="D5" s="2" t="str">
        <f>mrigxl_ratePlot(C5,"I4",B5)</f>
        <v/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43270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36">
        <v>4.4999999999999998E-2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36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tr">
        <f>mrigxl_ratePlot(C15,"I19",B15)</f>
        <v/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43271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4.0000000000000001E-3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6.0000000000000001E-3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43266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 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7" activePane="bottomLeft" state="frozen"/>
      <selection pane="bottomLeft" activeCell="J31" sqref="J31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1" width="11.5703125" style="4" bestFit="1" customWidth="1"/>
    <col min="1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45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202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210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211</v>
      </c>
      <c r="C20" s="21" t="str">
        <f ca="1">mrigxl_CapFloorVolatilitySurface(C22,C23,C24,C25,K19:M19,J20:J30,K20:M30)</f>
        <v>CFVS|30-360|US|Unadjusted|3</v>
      </c>
      <c r="D20" s="2" t="str">
        <f ca="1">mrigxl_volSurface($C$20,"O20",$B$20)</f>
        <v/>
      </c>
      <c r="E20" s="2"/>
      <c r="F20" s="2"/>
      <c r="G20" s="2"/>
      <c r="H20" s="3"/>
      <c r="I20" s="2"/>
      <c r="J20" s="8">
        <v>1</v>
      </c>
      <c r="K20" s="36">
        <f t="shared" ref="K20:M30" ca="1" si="0">RANDBETWEEN(95,110)/100*45%</f>
        <v>0.48600000000000004</v>
      </c>
      <c r="L20" s="36">
        <f t="shared" ca="1" si="0"/>
        <v>0.48150000000000004</v>
      </c>
      <c r="M20" s="36">
        <f t="shared" ca="1" si="0"/>
        <v>0.4365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203</v>
      </c>
      <c r="J21" s="8">
        <v>2</v>
      </c>
      <c r="K21" s="36">
        <f t="shared" ca="1" si="0"/>
        <v>0.45900000000000002</v>
      </c>
      <c r="L21" s="36">
        <f t="shared" ca="1" si="0"/>
        <v>0.49050000000000005</v>
      </c>
      <c r="M21" s="36">
        <f t="shared" ca="1" si="0"/>
        <v>0.42749999999999999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204</v>
      </c>
      <c r="J22" s="8">
        <v>3</v>
      </c>
      <c r="K22" s="36">
        <f t="shared" ca="1" si="0"/>
        <v>0.46350000000000002</v>
      </c>
      <c r="L22" s="36">
        <f ca="1">RANDBETWEEN(95,110)/100*45%</f>
        <v>0.45450000000000002</v>
      </c>
      <c r="M22" s="36">
        <f t="shared" ca="1" si="0"/>
        <v>0.432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13</v>
      </c>
      <c r="D23" s="2"/>
      <c r="E23" s="2"/>
      <c r="F23" s="2"/>
      <c r="G23" s="2"/>
      <c r="H23" s="3"/>
      <c r="I23" s="2" t="s">
        <v>205</v>
      </c>
      <c r="J23" s="8">
        <v>4</v>
      </c>
      <c r="K23" s="36">
        <f t="shared" ca="1" si="0"/>
        <v>0.45900000000000002</v>
      </c>
      <c r="L23" s="36">
        <f t="shared" ca="1" si="0"/>
        <v>0.44550000000000001</v>
      </c>
      <c r="M23" s="36">
        <f t="shared" ca="1" si="0"/>
        <v>0.4365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52</v>
      </c>
      <c r="C24" s="16" t="s">
        <v>85</v>
      </c>
      <c r="D24" s="2"/>
      <c r="E24" s="2"/>
      <c r="F24" s="2"/>
      <c r="G24" s="2"/>
      <c r="H24" s="3"/>
      <c r="I24" s="2" t="s">
        <v>206</v>
      </c>
      <c r="J24" s="8">
        <v>5</v>
      </c>
      <c r="K24" s="36">
        <f t="shared" ca="1" si="0"/>
        <v>0.44550000000000001</v>
      </c>
      <c r="L24" s="36">
        <f t="shared" ca="1" si="0"/>
        <v>0.48600000000000004</v>
      </c>
      <c r="M24" s="36">
        <f t="shared" ca="1" si="0"/>
        <v>0.45450000000000002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61</v>
      </c>
      <c r="C25" s="16">
        <v>3</v>
      </c>
      <c r="D25" s="2"/>
      <c r="E25" s="2"/>
      <c r="F25" s="2"/>
      <c r="G25" s="2"/>
      <c r="H25" s="3"/>
      <c r="I25" s="2" t="s">
        <v>207</v>
      </c>
      <c r="J25" s="8">
        <v>6</v>
      </c>
      <c r="K25" s="36">
        <f t="shared" ca="1" si="0"/>
        <v>0.45450000000000002</v>
      </c>
      <c r="L25" s="36">
        <f t="shared" ca="1" si="0"/>
        <v>0.49500000000000005</v>
      </c>
      <c r="M25" s="36">
        <f t="shared" ca="1" si="0"/>
        <v>0.45900000000000002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113</v>
      </c>
      <c r="J26" s="8">
        <v>7</v>
      </c>
      <c r="K26" s="36">
        <f t="shared" ca="1" si="0"/>
        <v>0.46350000000000002</v>
      </c>
      <c r="L26" s="36">
        <f t="shared" ca="1" si="0"/>
        <v>0.44550000000000001</v>
      </c>
      <c r="M26" s="36">
        <f t="shared" ca="1" si="0"/>
        <v>0.46800000000000003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f t="shared" ca="1" si="0"/>
        <v>0.49050000000000005</v>
      </c>
      <c r="L27" s="36">
        <f t="shared" ca="1" si="0"/>
        <v>0.46800000000000003</v>
      </c>
      <c r="M27" s="36">
        <f t="shared" ca="1" si="0"/>
        <v>0.45900000000000002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208</v>
      </c>
      <c r="J28" s="8">
        <v>9</v>
      </c>
      <c r="K28" s="36">
        <f t="shared" ca="1" si="0"/>
        <v>0.45900000000000002</v>
      </c>
      <c r="L28" s="36">
        <f t="shared" ca="1" si="0"/>
        <v>0.48600000000000004</v>
      </c>
      <c r="M28" s="36">
        <f t="shared" ca="1" si="0"/>
        <v>0.47250000000000003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209</v>
      </c>
      <c r="J29" s="8">
        <v>10</v>
      </c>
      <c r="K29" s="36">
        <f t="shared" ca="1" si="0"/>
        <v>0.441</v>
      </c>
      <c r="L29" s="36">
        <f t="shared" ca="1" si="0"/>
        <v>0.45900000000000002</v>
      </c>
      <c r="M29" s="36">
        <f t="shared" ca="1" si="0"/>
        <v>0.45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208</v>
      </c>
      <c r="J30" s="8">
        <v>12</v>
      </c>
      <c r="K30" s="36">
        <f t="shared" ca="1" si="0"/>
        <v>0.45900000000000002</v>
      </c>
      <c r="L30" s="36">
        <f t="shared" ca="1" si="0"/>
        <v>0.46800000000000003</v>
      </c>
      <c r="M30" s="36">
        <f t="shared" ca="1" si="0"/>
        <v>0.48600000000000004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Index|Libor3M|USD|3M|30-360|India|3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40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FFYC|30-360|US|0.045|Compounded|Annual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zoomScale="90" zoomScaleNormal="90" workbookViewId="0">
      <selection activeCell="B15" sqref="B15:C1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00:00:00|100.0|30-360|US|Unadjusted|False|3|Backward|Quarterly|True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3" t="s">
        <v>146</v>
      </c>
      <c r="P5" s="44"/>
      <c r="Q5" s="2"/>
      <c r="R5" s="24" t="str">
        <f>mrigxl_Analytics(C5,O6:P12)</f>
        <v>KeyError: 'Callable Bond |0.1||Bond1|2002-03-15 00:00:00|2022-03-15 00:00:00|100.0|30-360|US|Unadjusted|False|3|Backward|Quarterly|True'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" s="24" t="s">
        <v>119</v>
      </c>
      <c r="T5" s="2"/>
      <c r="U5" s="2"/>
      <c r="V5" s="2" t="str">
        <f>R5</f>
        <v>KeyError: 'Callable Bond |0.1||Bond1|2002-03-15 00:00:00|2022-03-15 00:00:00|100.0|30-360|US|Unadjusted|False|3|Backward|Quarterly|True'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102.11840694497023</v>
      </c>
      <c r="T6" s="2"/>
      <c r="U6" s="2"/>
      <c r="V6" s="2" t="str">
        <f>C5</f>
        <v>Callable Bond |0.1||Bond1|2002-03-15 00:00:00|2022-03-15 00:00:00|100.0|30-360|US|Unadjusted|False|3|Backward|Quarterly|True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>'Vol Term Structure'!C5</f>
        <v>FVYC|30-360|US|0.4|Compounded|Annual</v>
      </c>
      <c r="Q7" s="2"/>
      <c r="R7" s="25" t="s">
        <v>156</v>
      </c>
      <c r="S7" s="31">
        <v>101.92396250052577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>'Interest Rates Term Structures'!C28</f>
        <v>FDYC|30-360|US|0.02|Compounded|Annual</v>
      </c>
      <c r="Q8" s="2"/>
      <c r="R8" s="25" t="s">
        <v>157</v>
      </c>
      <c r="S8" s="31">
        <v>102.11840694497023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0.19444444444445264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9.3821315807103678E-2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1.1139236608389953E-2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3.0874797318161997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3.15989758455789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3.1598975845578892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11.328069436919666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topLeftCell="C1" zoomScale="90" zoomScaleNormal="90" workbookViewId="0">
      <selection activeCell="F20" sqref="F20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3" t="s">
        <v>146</v>
      </c>
      <c r="K5" s="44"/>
      <c r="L5" s="2"/>
      <c r="M5" s="24" t="str">
        <f>mrigxl_Analytics(C5,J6:K6)</f>
        <v>Heads</v>
      </c>
      <c r="N5" s="24" t="s">
        <v>119</v>
      </c>
      <c r="O5" s="2"/>
      <c r="P5" s="2"/>
      <c r="Q5" s="2" t="str">
        <f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>'Interest Rates Term Structures'!C5</f>
        <v>FFYC|30-360|US|0.045|Compounded|Annual</v>
      </c>
      <c r="L6" s="2"/>
      <c r="M6" s="25" t="s">
        <v>120</v>
      </c>
      <c r="N6" s="31">
        <v>1.0363750907454339</v>
      </c>
      <c r="O6" s="2"/>
      <c r="P6" s="2"/>
      <c r="Q6" s="2" t="str">
        <f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19.575020598833394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-18.53864550808796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1.3033248053254225E-2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5.4455734099129682E-2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3.404351408492759E-2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-3.4167172369353613E-2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43458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43640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>Index!C5</f>
        <v>Index|Libor3M|USD|3M|30-360|India|3</v>
      </c>
      <c r="G17" s="2"/>
      <c r="H17" s="2"/>
      <c r="I17" s="3"/>
      <c r="J17" s="2"/>
      <c r="K17" s="2"/>
      <c r="L17" s="2"/>
      <c r="M17" s="27">
        <v>43822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44005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44188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44370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44553</v>
      </c>
      <c r="N21" s="31">
        <v>2.8750000000000053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>
        <v>44637</v>
      </c>
      <c r="N22" s="31">
        <v>1.3416666666666632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 t="s">
        <v>195</v>
      </c>
      <c r="N23" s="31" t="s">
        <v>196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43367</v>
      </c>
      <c r="N24" s="31">
        <v>1.3413598245764835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43458</v>
      </c>
      <c r="N25" s="31">
        <v>1.3564990499148664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43549</v>
      </c>
      <c r="N26" s="31">
        <v>1.3716397867690504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43640</v>
      </c>
      <c r="N27" s="31">
        <v>1.3413598245764837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43731</v>
      </c>
      <c r="N28" s="31">
        <v>1.3413598245764835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43822</v>
      </c>
      <c r="N29" s="31">
        <v>1.3564990499148664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43913</v>
      </c>
      <c r="N30" s="31">
        <v>1.3564990499148661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44005</v>
      </c>
      <c r="N31" s="31">
        <v>1.3564990499148664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44097</v>
      </c>
      <c r="N32" s="31">
        <v>1.3564990499148664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44188</v>
      </c>
      <c r="N33" s="31">
        <v>1.3564990499148886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44278</v>
      </c>
      <c r="N34" s="31">
        <v>1.3564990499148664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44370</v>
      </c>
      <c r="N35" s="31">
        <v>1.3564990499148883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>
        <v>44462</v>
      </c>
      <c r="N36" s="31">
        <v>1.3564990499148661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>
        <v>44553</v>
      </c>
      <c r="N37" s="31">
        <v>1.3564990499148661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>
        <v>44637</v>
      </c>
      <c r="N38" s="31">
        <v>1.2656863641542984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/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India|2018-06-28 00:00:00|Call|220.0|European|30-360|India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KeyError: 'Vanilla European | |SBIOpt|State Bank of India|2018-06-28 00:00:00|Call|220.0|European|30-360|India'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119</v>
      </c>
      <c r="N5" s="2"/>
      <c r="O5" s="2" t="str">
        <f>L5</f>
        <v>KeyError: 'Vanilla European | |SBIOpt|State Bank of India|2018-06-28 00:00:00|Call|220.0|European|30-360|India'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62.454279239116438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0.99920758428974199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1.6547558089169471E-5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43279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5.1501377018702454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1.4109966306493823E-2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220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5.4980446020291183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1.4683707336237913E-2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-0.9996444730962033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-10.196913397676818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zoomScale="90" zoomScaleNormal="90" workbookViewId="0">
      <selection activeCell="A5" sqref="A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mrigxl_CapFloor(C7,C8,C9,C10,C11,C12,C13,C14,C15,C16,C17,C18,C19,C20,C21,C22)</f>
        <v>FLOOR|Libor3M+0.005|0.01|capfloortest|2018-06-28 00:00:00|2020-06-28 00:00:00|FLOOR|0.02|282.6|30-360|India|Unadjusted|False|3|Forward|Quarterly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mrigxl_Analytics(C5,I6:J7)</f>
        <v>KeyError: 'FLOOR|Libor3M+0.005|0.01|capfloortest|2018-06-28 00:00:00|2020-06-28 00:00:00|FLOOR|0.02|282.6|30-360|India|Unadjusted|False|3|Forward|Quarterly'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119</v>
      </c>
      <c r="N5" s="2"/>
      <c r="O5" s="2" t="str">
        <f ca="1">L5</f>
        <v>KeyError: 'FLOOR|Libor3M+0.005|0.01|capfloortest|2018-06-28 00:00:00|2020-06-28 00:00:00|FLOOR|0.02|282.6|30-360|India|Unadjusted|False|3|Forward|Quarterly'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>'Interest Rates Term Structures'!C5</f>
        <v>FFYC|30-360|US|0.045|Compounded|Annual</v>
      </c>
      <c r="K6" s="2"/>
      <c r="L6" s="25" t="s">
        <v>120</v>
      </c>
      <c r="M6" s="26">
        <v>0.18616681268545671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133</v>
      </c>
      <c r="J7" s="16" t="str">
        <f ca="1">'Vol Term Structure'!C20</f>
        <v>CFVS|30-360|US|Unadjusted|3</v>
      </c>
      <c r="K7" s="2"/>
      <c r="L7" s="25" t="s">
        <v>165</v>
      </c>
      <c r="M7" s="26" t="s">
        <v>165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v>43279</v>
      </c>
      <c r="D8" s="2"/>
      <c r="E8" s="2"/>
      <c r="F8" s="2"/>
      <c r="G8" s="2"/>
      <c r="H8" s="3"/>
      <c r="I8" s="2"/>
      <c r="J8" s="2"/>
      <c r="K8" s="2"/>
      <c r="L8" s="25" t="s">
        <v>166</v>
      </c>
      <c r="M8" s="26" t="s">
        <v>167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44010</v>
      </c>
      <c r="D9" s="2"/>
      <c r="E9" s="2"/>
      <c r="F9" s="2"/>
      <c r="G9" s="2"/>
      <c r="H9" s="3"/>
      <c r="I9" s="2"/>
      <c r="J9" s="2"/>
      <c r="K9" s="2"/>
      <c r="L9" s="27">
        <v>43371</v>
      </c>
      <c r="M9" s="26">
        <v>3.1269663150594127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2"/>
      <c r="J10" s="2"/>
      <c r="K10" s="2"/>
      <c r="L10" s="27">
        <v>43462</v>
      </c>
      <c r="M10" s="26">
        <v>3.1269663150594127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43552</v>
      </c>
      <c r="M11" s="26">
        <v>3.1269663150594753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43644</v>
      </c>
      <c r="M12" s="26">
        <v>3.1269663150594127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43738</v>
      </c>
      <c r="M13" s="26">
        <v>3.1273493789594178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43829</v>
      </c>
      <c r="M14" s="26">
        <v>3.1269663150594127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>
        <v>43920</v>
      </c>
      <c r="M15" s="26">
        <v>3.1269663150594127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44011</v>
      </c>
      <c r="M16" s="26">
        <v>3.1267748065481857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89</v>
      </c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>Index!C5</f>
        <v>Index|Libor3M|USD|3M|30-360|India|3</v>
      </c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4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FFYC|30-360|US|0.045|Compounded|Annual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2018-06-23T17:53:14Z</dcterms:modified>
</cp:coreProperties>
</file>