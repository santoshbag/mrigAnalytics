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730" activeTab="4"/>
  </bookViews>
  <sheets>
    <sheet name="Interest Rates Term Structures" sheetId="1" r:id="rId1"/>
    <sheet name="Vol Term Structure" sheetId="9" r:id="rId2"/>
    <sheet name="Index" sheetId="6" r:id="rId3"/>
    <sheet name="Bonds" sheetId="2" r:id="rId4"/>
    <sheet name="Swaps" sheetId="10" r:id="rId5"/>
    <sheet name="Options" sheetId="3" r:id="rId6"/>
    <sheet name="Reference" sheetId="4" r:id="rId7"/>
    <sheet name="Admin" sheetId="8" r:id="rId8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ictcheck">
          <x14:argumentDescriptions count="1">
            <x14:argumentDescription index="0">Positional argument 1</x14:argumentDescription>
          </x14:argumentDescriptions>
        </x14:definedName>
        <x14:definedName name="makeBond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FixedRateBond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objectcheck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0" l="1"/>
  <c r="F9" i="10"/>
  <c r="F8" i="10"/>
  <c r="C5" i="1"/>
  <c r="R5" i="2"/>
  <c r="C5" i="2"/>
  <c r="C15" i="1"/>
  <c r="C13" i="6" l="1"/>
  <c r="L12" i="2"/>
  <c r="L11" i="2"/>
  <c r="L10" i="2"/>
  <c r="L9" i="2"/>
  <c r="C5" i="6"/>
  <c r="B4" i="8"/>
  <c r="C28" i="1"/>
  <c r="C5" i="9"/>
  <c r="C5" i="3"/>
  <c r="K6" i="10" l="1"/>
  <c r="J7" i="3"/>
  <c r="P6" i="2"/>
  <c r="P7" i="2"/>
  <c r="P8" i="2"/>
  <c r="V6" i="2"/>
  <c r="J9" i="3"/>
  <c r="J8" i="3"/>
  <c r="L5" i="3"/>
  <c r="F17" i="10" l="1"/>
  <c r="J5" i="9"/>
  <c r="P4" i="4"/>
  <c r="Q4" i="4"/>
  <c r="C5" i="10"/>
  <c r="M5" i="10"/>
  <c r="O5" i="3" l="1"/>
  <c r="V5" i="2" l="1"/>
  <c r="Q5" i="10" l="1"/>
  <c r="Q6" i="10"/>
</calcChain>
</file>

<file path=xl/sharedStrings.xml><?xml version="1.0" encoding="utf-8"?>
<sst xmlns="http://schemas.openxmlformats.org/spreadsheetml/2006/main" count="309" uniqueCount="197">
  <si>
    <t xml:space="preserve">Flat Forward </t>
  </si>
  <si>
    <t>Y I E L D   C U R V E S</t>
  </si>
  <si>
    <t>Curve Date</t>
  </si>
  <si>
    <t>Day Count</t>
  </si>
  <si>
    <t>Calendar</t>
  </si>
  <si>
    <t>Flat Rate</t>
  </si>
  <si>
    <t>Actual-360</t>
  </si>
  <si>
    <t>Actual-365Fixed</t>
  </si>
  <si>
    <t>Actual-365FixedNoLeap</t>
  </si>
  <si>
    <t>Actual-Actual</t>
  </si>
  <si>
    <t>30-360</t>
  </si>
  <si>
    <t>Calendars</t>
  </si>
  <si>
    <t>India</t>
  </si>
  <si>
    <t>US</t>
  </si>
  <si>
    <t>TARGET</t>
  </si>
  <si>
    <t>UK</t>
  </si>
  <si>
    <t>HongKong</t>
  </si>
  <si>
    <t>Japan</t>
  </si>
  <si>
    <t>Date</t>
  </si>
  <si>
    <t>Spot Zero</t>
  </si>
  <si>
    <t>Spot Date</t>
  </si>
  <si>
    <t>Zero Yield</t>
  </si>
  <si>
    <t>Compounding</t>
  </si>
  <si>
    <t>Simple</t>
  </si>
  <si>
    <t>Compounded</t>
  </si>
  <si>
    <t xml:space="preserve">Continuous </t>
  </si>
  <si>
    <t xml:space="preserve">SimpleThenCompounded </t>
  </si>
  <si>
    <t xml:space="preserve">CompoundedThenSimple </t>
  </si>
  <si>
    <t>Frequency</t>
  </si>
  <si>
    <t>Annual </t>
  </si>
  <si>
    <t>EveryFourthMonth </t>
  </si>
  <si>
    <t>Interpolation</t>
  </si>
  <si>
    <t>Linear</t>
  </si>
  <si>
    <t>BackwardFlat</t>
  </si>
  <si>
    <t>Cubic</t>
  </si>
  <si>
    <t>C U R V E   A N A L Y T I C S</t>
  </si>
  <si>
    <t>Annual</t>
  </si>
  <si>
    <t>NoFrequency</t>
  </si>
  <si>
    <t>Curve Currency</t>
  </si>
  <si>
    <t>INR</t>
  </si>
  <si>
    <t>USD</t>
  </si>
  <si>
    <t>EUR</t>
  </si>
  <si>
    <t>GBP</t>
  </si>
  <si>
    <t>CHF</t>
  </si>
  <si>
    <t>ZAR</t>
  </si>
  <si>
    <t>B O N D S</t>
  </si>
  <si>
    <t>B O N D   A N A L Y T I C S</t>
  </si>
  <si>
    <t>Bond Name</t>
  </si>
  <si>
    <t>Bond1</t>
  </si>
  <si>
    <t>Issue Date</t>
  </si>
  <si>
    <t>Maturity Date</t>
  </si>
  <si>
    <t>Coupon Frequency</t>
  </si>
  <si>
    <t>Business Convention</t>
  </si>
  <si>
    <t>Choose the first business day after the given holiday.</t>
  </si>
  <si>
    <t>Choose the first business day after the given holiday unless it belongs to a different month, in which case choose the first business day before the holiday.</t>
  </si>
  <si>
    <t>Choose the first business day before the given holiday.</t>
  </si>
  <si>
    <t>Choose the first business day before the given holiday unless it belongs to a different month, in which case choose the first business day after the holiday.</t>
  </si>
  <si>
    <t>Do not adjust.</t>
  </si>
  <si>
    <t>Choose the first business day after the given holiday unless that day crosses the mid-month (15th) or the end of month, in which case choose the first business day before the holiday.</t>
  </si>
  <si>
    <t>Choose the nearest business day to the given holiday. If both the preceding and following business days are equally far away, default to following business day.</t>
  </si>
  <si>
    <t>Month End</t>
  </si>
  <si>
    <t>Settlement Days</t>
  </si>
  <si>
    <t>Face Value</t>
  </si>
  <si>
    <t>Date Generation</t>
  </si>
  <si>
    <t>Backward from termination date to effective date.</t>
  </si>
  <si>
    <t>Forward from effective date to termination date.</t>
  </si>
  <si>
    <t>No intermediate dates between effective date and termination date.</t>
  </si>
  <si>
    <t>All dates but effective date and termination date are taken to be on the third wednesday of their month (with forward calculation.)</t>
  </si>
  <si>
    <t>All dates but the effective date are taken to be the twentieth of their month (used for CDS schedules in emerging markets.) The termination date is also modified.</t>
  </si>
  <si>
    <t>All dates but the effective date are taken to be the twentieth of an IMM month (used for CDS schedules.) The termination date is also modified.</t>
  </si>
  <si>
    <t>Same as TwentiethIMM with unrestricted date ends and log/short stub coupon period (old CDS convention).</t>
  </si>
  <si>
    <t>Credit derivatives standard rule since 'Big Bang' changes in 2009.</t>
  </si>
  <si>
    <t>Credit derivatives standard rule since December 20th, 2015.</t>
  </si>
  <si>
    <t>Fixed Coupon Rate</t>
  </si>
  <si>
    <t>Floating Coupon Index</t>
  </si>
  <si>
    <t>Floating Coupon Spread</t>
  </si>
  <si>
    <t>In Arrears</t>
  </si>
  <si>
    <t>INDEX</t>
  </si>
  <si>
    <t>Index Name</t>
  </si>
  <si>
    <t>Tenor</t>
  </si>
  <si>
    <t>L I B O R   A N D    O T H E R    I N D I C E S</t>
  </si>
  <si>
    <t>Following</t>
  </si>
  <si>
    <t>ModifiedFollowing</t>
  </si>
  <si>
    <t>Preceding</t>
  </si>
  <si>
    <t>ModifiedPreceding</t>
  </si>
  <si>
    <t>Unadjusted</t>
  </si>
  <si>
    <t>HalfMonthModifiedFollowing</t>
  </si>
  <si>
    <t>Nearest</t>
  </si>
  <si>
    <t>Backward</t>
  </si>
  <si>
    <t>Forward</t>
  </si>
  <si>
    <t>Zero</t>
  </si>
  <si>
    <t>ThirdWednesday</t>
  </si>
  <si>
    <t>Twentieth</t>
  </si>
  <si>
    <t>TwentiethIMM</t>
  </si>
  <si>
    <t>OldCDS</t>
  </si>
  <si>
    <t>CDS</t>
  </si>
  <si>
    <t>CDS2015</t>
  </si>
  <si>
    <t>Semiannual</t>
  </si>
  <si>
    <t>Quarterly</t>
  </si>
  <si>
    <t>Bimonthly</t>
  </si>
  <si>
    <t>Monthly</t>
  </si>
  <si>
    <t>EveryFourthWeek</t>
  </si>
  <si>
    <t>Biweekly</t>
  </si>
  <si>
    <t>Weekly</t>
  </si>
  <si>
    <t>Daily</t>
  </si>
  <si>
    <t>OtherFrequency</t>
  </si>
  <si>
    <t>Once</t>
  </si>
  <si>
    <t>Yield Term Structure</t>
  </si>
  <si>
    <t>Object List</t>
  </si>
  <si>
    <t>LIBOR Tenors</t>
  </si>
  <si>
    <t>D</t>
  </si>
  <si>
    <t>W</t>
  </si>
  <si>
    <t>M</t>
  </si>
  <si>
    <t>Y</t>
  </si>
  <si>
    <t>34M</t>
  </si>
  <si>
    <t>Bond</t>
  </si>
  <si>
    <t xml:space="preserve"> </t>
  </si>
  <si>
    <t>Arguments</t>
  </si>
  <si>
    <t>Discount Curve</t>
  </si>
  <si>
    <t>Values</t>
  </si>
  <si>
    <t>NPV</t>
  </si>
  <si>
    <t>Cap</t>
  </si>
  <si>
    <t>Floor</t>
  </si>
  <si>
    <t>Last Libor Fixing</t>
  </si>
  <si>
    <t>O P T I O N S</t>
  </si>
  <si>
    <t>O P T I O N  A N A L Y T I C S</t>
  </si>
  <si>
    <t>Option Name</t>
  </si>
  <si>
    <t>Underlying Name</t>
  </si>
  <si>
    <t>Option Type</t>
  </si>
  <si>
    <t>Strike</t>
  </si>
  <si>
    <t>Exercise Type</t>
  </si>
  <si>
    <t>Option</t>
  </si>
  <si>
    <t>Underlying Spot</t>
  </si>
  <si>
    <t>Volatility Curve</t>
  </si>
  <si>
    <t>Dividend Curve</t>
  </si>
  <si>
    <t>SBIOpt</t>
  </si>
  <si>
    <t>State Bank of India</t>
  </si>
  <si>
    <t>European</t>
  </si>
  <si>
    <t>V O L A T I L I T Y   C U R V E S</t>
  </si>
  <si>
    <t xml:space="preserve">Flat Vol </t>
  </si>
  <si>
    <t xml:space="preserve">Flat Dividend </t>
  </si>
  <si>
    <t>Valuation Method</t>
  </si>
  <si>
    <t>delta</t>
  </si>
  <si>
    <t>gamma</t>
  </si>
  <si>
    <t>theta</t>
  </si>
  <si>
    <t>Parallel Shift</t>
  </si>
  <si>
    <t>A R G U M E N T S</t>
  </si>
  <si>
    <t>Conversion Ratio (per 100)</t>
  </si>
  <si>
    <t>Conversion Price</t>
  </si>
  <si>
    <t>Call Dates</t>
  </si>
  <si>
    <t>Call Price</t>
  </si>
  <si>
    <t>Put Dates</t>
  </si>
  <si>
    <t>Put Price</t>
  </si>
  <si>
    <t>Dividend Date</t>
  </si>
  <si>
    <t>Dividend</t>
  </si>
  <si>
    <t>Credit Spread</t>
  </si>
  <si>
    <t>cleanPrice</t>
  </si>
  <si>
    <t>dirtyPrice</t>
  </si>
  <si>
    <t>accruedAmount</t>
  </si>
  <si>
    <t>Yield</t>
  </si>
  <si>
    <t>Spread</t>
  </si>
  <si>
    <t>Modified Duration</t>
  </si>
  <si>
    <t>Simple Duration</t>
  </si>
  <si>
    <t>Macualay Duration</t>
  </si>
  <si>
    <t>Convexity</t>
  </si>
  <si>
    <t>-----------------</t>
  </si>
  <si>
    <t>Cashflow Date</t>
  </si>
  <si>
    <t>Cashflow Amount</t>
  </si>
  <si>
    <t>Mean Reversion</t>
  </si>
  <si>
    <t>Short Rate Vol</t>
  </si>
  <si>
    <t>Hull White Grid Pts</t>
  </si>
  <si>
    <t>Call</t>
  </si>
  <si>
    <t>S W A P S</t>
  </si>
  <si>
    <t>S W A P   A N A L Y T I C S</t>
  </si>
  <si>
    <t>Swap</t>
  </si>
  <si>
    <t>Black Scholes</t>
  </si>
  <si>
    <t>theta_per_day</t>
  </si>
  <si>
    <t>rho</t>
  </si>
  <si>
    <t>vega</t>
  </si>
  <si>
    <t>strike_sensitivity</t>
  </si>
  <si>
    <t>dividendRho</t>
  </si>
  <si>
    <t>3M</t>
  </si>
  <si>
    <t>FIXED LEG</t>
  </si>
  <si>
    <t>FLOAT LEG</t>
  </si>
  <si>
    <t>Pay/Receive</t>
  </si>
  <si>
    <t>RECIEVE</t>
  </si>
  <si>
    <t>Libor3M</t>
  </si>
  <si>
    <t>Fixed Leg NPV</t>
  </si>
  <si>
    <t>Float Leg NPV</t>
  </si>
  <si>
    <t>Fair Spread</t>
  </si>
  <si>
    <t>Fair Rate</t>
  </si>
  <si>
    <t>Fixed Leg BPS</t>
  </si>
  <si>
    <t>Floating Leg BPS</t>
  </si>
  <si>
    <t>Fixed Leg Cashflow Date</t>
  </si>
  <si>
    <t>Fixed Leg Cashflow Amount</t>
  </si>
  <si>
    <t>Floating Leg Cashflow Date</t>
  </si>
  <si>
    <t>Floating Leg Cashflow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</si>
</sst>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000"/>
    <numFmt numFmtId="165" formatCode="0.0%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Lucida Console"/>
      <family val="3"/>
    </font>
    <font>
      <sz val="11"/>
      <color theme="1"/>
      <name val="Lucida Console"/>
      <family val="3"/>
    </font>
    <font>
      <sz val="11"/>
      <color rgb="FFFF9900"/>
      <name val="Lucida Console"/>
      <family val="3"/>
    </font>
    <font>
      <b/>
      <sz val="11"/>
      <color rgb="FFFF9900"/>
      <name val="Lucida Console"/>
      <family val="3"/>
    </font>
    <font>
      <sz val="11"/>
      <color theme="1"/>
      <name val="Calibri"/>
      <family val="2"/>
      <scheme val="minor"/>
    </font>
    <font>
      <sz val="11"/>
      <color rgb="FF00B0F0"/>
      <name val="Lucida Console"/>
      <family val="3"/>
    </font>
  </fonts>
  <fills count="6">
    <fill>
      <patternFill patternType="none"/>
    </fill>
    <fill>
      <patternFill patternType="gray125"/>
    </fill>
    <fill>
      <patternFill patternType="solid">
        <fgColor theme="1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44">
    <xf numFmtId="0" fontId="0" fillId="0" borderId="0" xfId="0"/>
    <xf numFmtId="15" fontId="0" fillId="0" borderId="0" xfId="0" applyNumberFormat="1"/>
    <xf numFmtId="0" fontId="3" fillId="2" borderId="0" xfId="0" applyFont="1" applyFill="1"/>
    <xf numFmtId="0" fontId="3" fillId="4" borderId="0" xfId="0" applyFont="1" applyFill="1"/>
    <xf numFmtId="0" fontId="3" fillId="0" borderId="0" xfId="0" applyFont="1" applyFill="1"/>
    <xf numFmtId="0" fontId="4" fillId="2" borderId="0" xfId="0" applyFont="1" applyFill="1"/>
    <xf numFmtId="0" fontId="3" fillId="2" borderId="9" xfId="0" applyFont="1" applyFill="1" applyBorder="1"/>
    <xf numFmtId="0" fontId="3" fillId="2" borderId="1" xfId="0" applyFont="1" applyFill="1" applyBorder="1"/>
    <xf numFmtId="0" fontId="3" fillId="2" borderId="8" xfId="0" applyFont="1" applyFill="1" applyBorder="1"/>
    <xf numFmtId="0" fontId="3" fillId="2" borderId="2" xfId="0" applyFont="1" applyFill="1" applyBorder="1"/>
    <xf numFmtId="0" fontId="3" fillId="2" borderId="0" xfId="0" applyFont="1" applyFill="1" applyBorder="1"/>
    <xf numFmtId="15" fontId="3" fillId="2" borderId="1" xfId="0" applyNumberFormat="1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3" fillId="2" borderId="4" xfId="0" applyFont="1" applyFill="1" applyBorder="1"/>
    <xf numFmtId="15" fontId="2" fillId="5" borderId="6" xfId="0" applyNumberFormat="1" applyFont="1" applyFill="1" applyBorder="1" applyAlignment="1">
      <alignment horizontal="right"/>
    </xf>
    <xf numFmtId="0" fontId="2" fillId="5" borderId="6" xfId="0" applyFont="1" applyFill="1" applyBorder="1" applyAlignment="1">
      <alignment horizontal="right"/>
    </xf>
    <xf numFmtId="0" fontId="1" fillId="3" borderId="1" xfId="0" applyFont="1" applyFill="1" applyBorder="1"/>
    <xf numFmtId="0" fontId="1" fillId="3" borderId="7" xfId="0" applyFont="1" applyFill="1" applyBorder="1"/>
    <xf numFmtId="0" fontId="3" fillId="2" borderId="11" xfId="0" applyFont="1" applyFill="1" applyBorder="1"/>
    <xf numFmtId="15" fontId="2" fillId="5" borderId="10" xfId="0" applyNumberFormat="1" applyFont="1" applyFill="1" applyBorder="1" applyAlignment="1"/>
    <xf numFmtId="0" fontId="1" fillId="3" borderId="7" xfId="0" applyFont="1" applyFill="1" applyBorder="1" applyAlignment="1"/>
    <xf numFmtId="0" fontId="2" fillId="5" borderId="10" xfId="0" applyNumberFormat="1" applyFont="1" applyFill="1" applyBorder="1" applyAlignment="1"/>
    <xf numFmtId="9" fontId="2" fillId="5" borderId="6" xfId="0" applyNumberFormat="1" applyFont="1" applyFill="1" applyBorder="1" applyAlignment="1">
      <alignment horizontal="right"/>
    </xf>
    <xf numFmtId="0" fontId="4" fillId="2" borderId="8" xfId="0" applyFont="1" applyFill="1" applyBorder="1" applyAlignment="1">
      <alignment horizontal="right"/>
    </xf>
    <xf numFmtId="0" fontId="3" fillId="2" borderId="0" xfId="0" applyFont="1" applyFill="1" applyAlignment="1">
      <alignment horizontal="right"/>
    </xf>
    <xf numFmtId="164" fontId="3" fillId="2" borderId="0" xfId="0" applyNumberFormat="1" applyFont="1" applyFill="1" applyAlignment="1">
      <alignment horizontal="right"/>
    </xf>
    <xf numFmtId="14" fontId="3" fillId="2" borderId="0" xfId="0" applyNumberFormat="1" applyFont="1" applyFill="1" applyAlignment="1">
      <alignment horizontal="right"/>
    </xf>
    <xf numFmtId="0" fontId="3" fillId="0" borderId="0" xfId="0" applyFont="1" applyFill="1" applyAlignment="1">
      <alignment horizontal="right"/>
    </xf>
    <xf numFmtId="164" fontId="3" fillId="0" borderId="0" xfId="0" applyNumberFormat="1" applyFont="1" applyFill="1" applyAlignment="1">
      <alignment horizontal="right"/>
    </xf>
    <xf numFmtId="43" fontId="2" fillId="5" borderId="6" xfId="1" applyFont="1" applyFill="1" applyBorder="1" applyAlignment="1">
      <alignment horizontal="right"/>
    </xf>
    <xf numFmtId="2" fontId="3" fillId="2" borderId="0" xfId="0" applyNumberFormat="1" applyFont="1" applyFill="1" applyAlignment="1">
      <alignment horizontal="right"/>
    </xf>
    <xf numFmtId="2" fontId="3" fillId="0" borderId="0" xfId="0" applyNumberFormat="1" applyFont="1" applyFill="1" applyAlignment="1">
      <alignment horizontal="right"/>
    </xf>
    <xf numFmtId="165" fontId="2" fillId="5" borderId="6" xfId="0" applyNumberFormat="1" applyFont="1" applyFill="1" applyBorder="1" applyAlignment="1">
      <alignment horizontal="right"/>
    </xf>
    <xf numFmtId="14" fontId="3" fillId="2" borderId="0" xfId="0" applyNumberFormat="1" applyFont="1" applyFill="1"/>
    <xf numFmtId="14" fontId="3" fillId="0" borderId="0" xfId="0" applyNumberFormat="1" applyFont="1" applyFill="1"/>
    <xf numFmtId="10" fontId="2" fillId="5" borderId="6" xfId="0" applyNumberFormat="1" applyFont="1" applyFill="1" applyBorder="1" applyAlignment="1">
      <alignment horizontal="right"/>
    </xf>
    <xf numFmtId="166" fontId="2" fillId="5" borderId="6" xfId="1" applyNumberFormat="1" applyFont="1" applyFill="1" applyBorder="1" applyAlignment="1">
      <alignment horizontal="right"/>
    </xf>
    <xf numFmtId="0" fontId="3" fillId="2" borderId="13" xfId="0" applyFont="1" applyFill="1" applyBorder="1"/>
    <xf numFmtId="15" fontId="2" fillId="5" borderId="14" xfId="0" applyNumberFormat="1" applyFont="1" applyFill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6" fillId="2" borderId="12" xfId="0" applyFont="1" applyFill="1" applyBorder="1"/>
    <xf numFmtId="14" fontId="3" fillId="2" borderId="3" xfId="0" applyNumberFormat="1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9900"/>
      <color rgb="FFFF66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www.quantlib.org/reference/struct_quant_lib_1_1_i_m_m.html" TargetMode="External"/><Relationship Id="rId1" Type="http://schemas.openxmlformats.org/officeDocument/2006/relationships/hyperlink" Target="https://www.quantlib.org/reference/class_quant_lib_1_1_forward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00"/>
  <sheetViews>
    <sheetView zoomScale="90" zoomScaleNormal="90" workbookViewId="0">
      <pane ySplit="3" topLeftCell="A4" activePane="bottomLeft" state="frozen"/>
      <selection pane="bottomLeft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0</v>
      </c>
      <c r="C5" s="21" t="str">
        <f>mrigxl_FlatForwardYieldCurve(C7,C8,C9,C10,C11,C12,E18:F20)</f>
        <v>FFYC|30-360|US|0.04|Compounded|Annual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43269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0.04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145</v>
      </c>
      <c r="C13" s="23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19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18" t="s">
        <v>19</v>
      </c>
      <c r="C15" s="21" t="str">
        <f>mrigxl_SpotZeroYieldCurve(C17,C18,C19,C20,C21,C22,C23,E18:F20)</f>
        <v>SZYC|Actual-360|India|Compounded|Annual|Linear</v>
      </c>
      <c r="D15" s="2" t="s">
        <v>116</v>
      </c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6"/>
      <c r="C16" s="19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 t="s">
        <v>2</v>
      </c>
      <c r="C17" s="20">
        <v>43265</v>
      </c>
      <c r="D17" s="2"/>
      <c r="E17" s="8" t="s">
        <v>20</v>
      </c>
      <c r="F17" s="8" t="s">
        <v>21</v>
      </c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 t="s">
        <v>38</v>
      </c>
      <c r="C18" s="20" t="s">
        <v>39</v>
      </c>
      <c r="D18" s="2"/>
      <c r="E18" s="20">
        <v>43257</v>
      </c>
      <c r="F18" s="33">
        <v>0.01</v>
      </c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 t="s">
        <v>3</v>
      </c>
      <c r="C19" s="20" t="s">
        <v>6</v>
      </c>
      <c r="D19" s="2"/>
      <c r="E19" s="20">
        <v>45083</v>
      </c>
      <c r="F19" s="33">
        <v>5.0000000000000001E-3</v>
      </c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 t="s">
        <v>4</v>
      </c>
      <c r="C20" s="20" t="s">
        <v>12</v>
      </c>
      <c r="D20" s="2"/>
      <c r="E20" s="20">
        <v>46910</v>
      </c>
      <c r="F20" s="33">
        <v>0.01</v>
      </c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 t="s">
        <v>22</v>
      </c>
      <c r="C21" s="16" t="s">
        <v>24</v>
      </c>
      <c r="D21" s="2"/>
      <c r="E21" s="20">
        <v>43257</v>
      </c>
      <c r="F21" s="33">
        <v>0.01</v>
      </c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 t="s">
        <v>28</v>
      </c>
      <c r="C22" s="16" t="s">
        <v>29</v>
      </c>
      <c r="D22" s="2"/>
      <c r="E22" s="20">
        <v>43257</v>
      </c>
      <c r="F22" s="33">
        <v>0.01</v>
      </c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 t="s">
        <v>31</v>
      </c>
      <c r="C23" s="16" t="s">
        <v>32</v>
      </c>
      <c r="D23" s="2"/>
      <c r="E23" s="20">
        <v>43257</v>
      </c>
      <c r="F23" s="33">
        <v>0.01</v>
      </c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 t="s">
        <v>145</v>
      </c>
      <c r="C24" s="23">
        <v>0</v>
      </c>
      <c r="D24" s="7"/>
      <c r="E24" s="20">
        <v>43257</v>
      </c>
      <c r="F24" s="33">
        <v>0.01</v>
      </c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11"/>
      <c r="D25" s="7"/>
      <c r="E25" s="20">
        <v>43257</v>
      </c>
      <c r="F25" s="33">
        <v>0.01</v>
      </c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7"/>
      <c r="E26" s="20">
        <v>43257</v>
      </c>
      <c r="F26" s="33">
        <v>0.01</v>
      </c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20">
        <v>43257</v>
      </c>
      <c r="F27" s="33">
        <v>0.01</v>
      </c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18" t="s">
        <v>140</v>
      </c>
      <c r="C28" s="21" t="str">
        <f>mrigxl_FlatDividendYieldCurve(C30,C31,C32,C33,C34,C35)</f>
        <v>FDYC|30-360|US|0.02|Compounded|Annual</v>
      </c>
      <c r="D28" s="7"/>
      <c r="E28" s="20">
        <v>43257</v>
      </c>
      <c r="F28" s="33">
        <v>0.01</v>
      </c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6"/>
      <c r="C29" s="19"/>
      <c r="D29" s="7"/>
      <c r="E29" s="20">
        <v>43257</v>
      </c>
      <c r="F29" s="33">
        <v>0.01</v>
      </c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8" t="s">
        <v>2</v>
      </c>
      <c r="C30" s="20">
        <v>43266</v>
      </c>
      <c r="D30" s="7"/>
      <c r="E30" s="20">
        <v>43257</v>
      </c>
      <c r="F30" s="33">
        <v>0.01</v>
      </c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8" t="s">
        <v>3</v>
      </c>
      <c r="C31" s="20" t="s">
        <v>10</v>
      </c>
      <c r="D31" s="7"/>
      <c r="E31" s="20">
        <v>43257</v>
      </c>
      <c r="F31" s="33">
        <v>0.01</v>
      </c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8" t="s">
        <v>4</v>
      </c>
      <c r="C32" s="22" t="s">
        <v>13</v>
      </c>
      <c r="D32" s="7"/>
      <c r="E32" s="20">
        <v>43257</v>
      </c>
      <c r="F32" s="33">
        <v>0.01</v>
      </c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8" t="s">
        <v>5</v>
      </c>
      <c r="C33" s="23">
        <v>0.02</v>
      </c>
      <c r="D33" s="7"/>
      <c r="E33" s="20">
        <v>43257</v>
      </c>
      <c r="F33" s="33">
        <v>0.01</v>
      </c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8" t="s">
        <v>22</v>
      </c>
      <c r="C34" s="16" t="s">
        <v>24</v>
      </c>
      <c r="D34" s="7"/>
      <c r="E34" s="20">
        <v>43257</v>
      </c>
      <c r="F34" s="33">
        <v>0.01</v>
      </c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8" t="s">
        <v>28</v>
      </c>
      <c r="C35" s="16" t="s">
        <v>29</v>
      </c>
      <c r="D35" s="7"/>
      <c r="E35" s="20">
        <v>43257</v>
      </c>
      <c r="F35" s="33">
        <v>0.01</v>
      </c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20">
        <v>43257</v>
      </c>
      <c r="F36" s="33">
        <v>0.01</v>
      </c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20">
        <v>43257</v>
      </c>
      <c r="F37" s="33">
        <v>0.01</v>
      </c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20">
        <v>43257</v>
      </c>
      <c r="F38" s="33">
        <v>0.01</v>
      </c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20">
        <v>43257</v>
      </c>
      <c r="F39" s="33">
        <v>0.01</v>
      </c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20">
        <v>43257</v>
      </c>
      <c r="F40" s="33">
        <v>0.01</v>
      </c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20">
        <v>43257</v>
      </c>
      <c r="F41" s="33">
        <v>0.01</v>
      </c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20">
        <v>43257</v>
      </c>
      <c r="F42" s="33">
        <v>0.01</v>
      </c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C24 C10 C33 C13 F18:F4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 C31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 C32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 C34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 C35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C17 C7</xm:sqref>
        </x14:dataValidation>
        <x14:dataValidation type="date" allowBlank="1" showInputMessage="1" showErrorMessage="1" promptTitle="Curve Date" prompt="Date from where the yield curve starts_x000a_">
          <x14:formula1>
            <xm:f>Reference!D25</xm:f>
          </x14:formula1>
          <x14:formula2>
            <xm:f>Reference!D26</xm:f>
          </x14:formula2>
          <xm:sqref>C30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"/>
  <sheetViews>
    <sheetView zoomScale="90" zoomScaleNormal="90" workbookViewId="0">
      <pane ySplit="3" topLeftCell="A4" activePane="bottomLeft" state="frozen"/>
      <selection pane="bottomLeft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4" width="9.5703125" style="4" bestFit="1" customWidth="1"/>
    <col min="5" max="5" width="12.85546875" style="4" bestFit="1" customWidth="1"/>
    <col min="6" max="6" width="14.2851562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138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139</v>
      </c>
      <c r="C5" s="21" t="str">
        <f>mrigxl_FlatVolatilityCurve(C7,C8,C9,C10,C11,C12)</f>
        <v>FVYC|30-360|US|0.4|Compounded|Annual</v>
      </c>
      <c r="D5" s="2" t="s">
        <v>116</v>
      </c>
      <c r="E5" s="2"/>
      <c r="F5" s="2"/>
      <c r="G5" s="2"/>
      <c r="H5" s="3"/>
      <c r="I5" s="2"/>
      <c r="J5" s="2" t="str">
        <f>C5</f>
        <v>FVYC|30-360|US|0.4|Compounded|Annual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2</v>
      </c>
      <c r="C7" s="20">
        <v>43265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</v>
      </c>
      <c r="C8" s="20" t="s">
        <v>10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4</v>
      </c>
      <c r="C9" s="22" t="s">
        <v>13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5</v>
      </c>
      <c r="C10" s="23">
        <v>0.4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22</v>
      </c>
      <c r="C11" s="16" t="s">
        <v>24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28</v>
      </c>
      <c r="C12" s="16" t="s">
        <v>29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19"/>
      <c r="C13" s="11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7"/>
      <c r="C14" s="11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7"/>
      <c r="C15" s="11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7"/>
      <c r="C16" s="11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7"/>
      <c r="C17" s="11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7"/>
      <c r="C18" s="11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7"/>
      <c r="C19" s="11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7"/>
      <c r="C20" s="11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11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11"/>
      <c r="D22" s="2"/>
      <c r="E22" s="2"/>
      <c r="F22" s="2"/>
      <c r="G22" s="2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2"/>
      <c r="E23" s="2"/>
      <c r="F23" s="2"/>
      <c r="G23" s="2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2"/>
      <c r="E24" s="2"/>
      <c r="F24" s="2"/>
      <c r="G24" s="2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11"/>
      <c r="D25" s="2"/>
      <c r="E25" s="2"/>
      <c r="F25" s="2"/>
      <c r="G25" s="2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2"/>
      <c r="E26" s="2"/>
      <c r="F26" s="2"/>
      <c r="G26" s="2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2"/>
      <c r="E27" s="2"/>
      <c r="F27" s="2"/>
      <c r="G27" s="2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11"/>
      <c r="D28" s="2"/>
      <c r="E28" s="2"/>
      <c r="F28" s="2"/>
      <c r="G28" s="2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11"/>
      <c r="D29" s="2"/>
      <c r="E29" s="2"/>
      <c r="F29" s="2"/>
      <c r="G29" s="2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11"/>
      <c r="D30" s="2"/>
      <c r="E30" s="2"/>
      <c r="F30" s="2"/>
      <c r="G30" s="2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11"/>
      <c r="D31" s="2"/>
      <c r="E31" s="2"/>
      <c r="F31" s="2"/>
      <c r="G31" s="2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11"/>
      <c r="D32" s="2"/>
      <c r="E32" s="2"/>
      <c r="F32" s="2"/>
      <c r="G32" s="2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7"/>
      <c r="C33" s="11"/>
      <c r="D33" s="2"/>
      <c r="E33" s="2"/>
      <c r="F33" s="2"/>
      <c r="G33" s="2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7"/>
      <c r="C34" s="11"/>
      <c r="D34" s="2"/>
      <c r="E34" s="2"/>
      <c r="F34" s="2"/>
      <c r="G34" s="2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7"/>
      <c r="C35" s="11"/>
      <c r="D35" s="2"/>
      <c r="E35" s="2"/>
      <c r="F35" s="2"/>
      <c r="G35" s="2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7"/>
      <c r="C36" s="11"/>
      <c r="D36" s="2"/>
      <c r="E36" s="2"/>
      <c r="F36" s="2"/>
      <c r="G36" s="2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7"/>
      <c r="C37" s="11"/>
      <c r="D37" s="2"/>
      <c r="E37" s="2"/>
      <c r="F37" s="2"/>
      <c r="G37" s="2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7"/>
      <c r="C38" s="11"/>
      <c r="D38" s="2"/>
      <c r="E38" s="2"/>
      <c r="F38" s="2"/>
      <c r="G38" s="2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7"/>
      <c r="C39" s="11"/>
      <c r="D39" s="2"/>
      <c r="E39" s="2"/>
      <c r="F39" s="2"/>
      <c r="G39" s="2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7"/>
      <c r="C40" s="11"/>
      <c r="D40" s="2"/>
      <c r="E40" s="2"/>
      <c r="F40" s="2"/>
      <c r="G40" s="2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7"/>
      <c r="C41" s="11"/>
      <c r="D41" s="2"/>
      <c r="E41" s="2"/>
      <c r="F41" s="2"/>
      <c r="G41" s="2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7"/>
      <c r="C42" s="11"/>
      <c r="D42" s="2"/>
      <c r="E42" s="2"/>
      <c r="F42" s="2"/>
      <c r="G42" s="2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7"/>
      <c r="C43" s="11"/>
      <c r="D43" s="2"/>
      <c r="E43" s="2"/>
      <c r="F43" s="2"/>
      <c r="G43" s="2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7"/>
      <c r="C44" s="11"/>
      <c r="D44" s="2"/>
      <c r="E44" s="2"/>
      <c r="F44" s="2"/>
      <c r="G44" s="2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7"/>
      <c r="C45" s="11"/>
      <c r="D45" s="2"/>
      <c r="E45" s="2"/>
      <c r="F45" s="2"/>
      <c r="G45" s="2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7"/>
      <c r="C46" s="11"/>
      <c r="D46" s="2"/>
      <c r="E46" s="2"/>
      <c r="F46" s="2"/>
      <c r="G46" s="2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7"/>
      <c r="C47" s="11"/>
      <c r="D47" s="2"/>
      <c r="E47" s="2"/>
      <c r="F47" s="2"/>
      <c r="G47" s="2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7"/>
      <c r="C48" s="11"/>
      <c r="D48" s="2"/>
      <c r="E48" s="2"/>
      <c r="F48" s="2"/>
      <c r="G48" s="2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7"/>
      <c r="C49" s="11"/>
      <c r="D49" s="2"/>
      <c r="E49" s="2"/>
      <c r="F49" s="2"/>
      <c r="G49" s="2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7"/>
      <c r="E72" s="7"/>
      <c r="F72" s="7"/>
      <c r="G72" s="10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4"/>
      <c r="C73" s="13"/>
      <c r="D73" s="7"/>
      <c r="E73" s="7"/>
      <c r="F73" s="7"/>
      <c r="G73" s="10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1">
    <dataValidation type="decimal" allowBlank="1" showInputMessage="1" showErrorMessage="1" promptTitle="Rate" prompt="Rate in Decimal" sqref="F18:F42 C10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Curve Currency" prompt="Curve Currency">
          <x14:formula1>
            <xm:f>Reference!$H$4:$H$9</xm:f>
          </x14:formula1>
          <xm:sqref>C18</xm:sqref>
        </x14:dataValidation>
        <x14:dataValidation type="list" allowBlank="1" showInputMessage="1" showErrorMessage="1" prompt="Default is Linear">
          <x14:formula1>
            <xm:f>Reference!$G$4</xm:f>
          </x14:formula1>
          <xm:sqref>C23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C22 C12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C21 C11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C9 C20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C8 C19</xm:sqref>
        </x14:dataValidation>
        <x14:dataValidation type="date" allowBlank="1" showInputMessage="1" showErrorMessage="1" promptTitle="Curve Date" prompt="Date from where the yield curve starts_x000a_">
          <x14:formula1>
            <xm:f>Reference!D2</xm:f>
          </x14:formula1>
          <x14:formula2>
            <xm:f>Reference!D3</xm:f>
          </x14:formula2>
          <xm:sqref>C7</xm:sqref>
        </x14:dataValidation>
        <x14:dataValidation type="date" allowBlank="1" showInputMessage="1" showErrorMessage="1" promptTitle="Curve Date" prompt="_x000a_">
          <x14:formula1>
            <xm:f>Reference!F13</xm:f>
          </x14:formula1>
          <x14:formula2>
            <xm:f>Reference!F14</xm:f>
          </x14:formula2>
          <xm:sqref>E18:E42</xm:sqref>
        </x14:dataValidation>
        <x14:dataValidation type="date" allowBlank="1" showInputMessage="1" showErrorMessage="1" promptTitle="Curve Date" prompt="Date from where the yield curve starts_x000a_">
          <x14:formula1>
            <xm:f>Reference!D12</xm:f>
          </x14:formula1>
          <x14:formula2>
            <xm:f>Reference!D13</xm:f>
          </x14:formula2>
          <xm:sqref>C17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98"/>
  <sheetViews>
    <sheetView zoomScaleNormal="100" workbookViewId="0">
      <pane ySplit="3" topLeftCell="A4" activePane="bottomLeft" state="frozen"/>
      <selection pane="bottomLeft"/>
    </sheetView>
  </sheetViews>
  <sheetFormatPr defaultRowHeight="14.25" x14ac:dyDescent="0.2"/>
  <cols>
    <col min="1" max="1" width="4.28515625" style="4" customWidth="1"/>
    <col min="2" max="2" width="27.5703125" style="4" bestFit="1" customWidth="1"/>
    <col min="3" max="3" width="14.28515625" style="4" bestFit="1" customWidth="1"/>
    <col min="4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80</v>
      </c>
      <c r="B2" s="2"/>
      <c r="C2" s="2"/>
      <c r="D2" s="2"/>
      <c r="E2" s="2"/>
      <c r="F2" s="2"/>
      <c r="G2" s="2"/>
      <c r="H2" s="3"/>
      <c r="I2" s="5" t="s">
        <v>35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8" t="s">
        <v>77</v>
      </c>
      <c r="C5" s="21" t="str">
        <f>mrigxl_Libor(C7,C8,C9,C10,C11,C12,C13)</f>
        <v>Index|Libor3M|USD|3M|30-360|India|3</v>
      </c>
      <c r="D5" s="2" t="s">
        <v>116</v>
      </c>
      <c r="E5" s="2"/>
      <c r="F5" s="2"/>
      <c r="G5" s="2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19"/>
      <c r="D6" s="2"/>
      <c r="E6" s="2"/>
      <c r="F6" s="2"/>
      <c r="G6" s="2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78</v>
      </c>
      <c r="C7" s="20" t="s">
        <v>186</v>
      </c>
      <c r="D7" s="2"/>
      <c r="E7" s="2"/>
      <c r="F7" s="2"/>
      <c r="G7" s="2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38</v>
      </c>
      <c r="C8" s="20" t="s">
        <v>40</v>
      </c>
      <c r="D8" s="2"/>
      <c r="E8" s="2"/>
      <c r="F8" s="2"/>
      <c r="G8" s="2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79</v>
      </c>
      <c r="C9" s="22" t="s">
        <v>181</v>
      </c>
      <c r="D9" s="2"/>
      <c r="E9" s="2"/>
      <c r="F9" s="2"/>
      <c r="G9" s="2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3</v>
      </c>
      <c r="C10" s="20" t="s">
        <v>10</v>
      </c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4</v>
      </c>
      <c r="C11" s="20" t="s">
        <v>12</v>
      </c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61</v>
      </c>
      <c r="C12" s="16">
        <v>3</v>
      </c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107</v>
      </c>
      <c r="C13" s="20" t="str">
        <f>'Interest Rates Term Structures'!C5</f>
        <v>FFYC|30-360|US|0.04|Compounded|Annual</v>
      </c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/>
      <c r="C14" s="20"/>
      <c r="D14" s="2"/>
      <c r="E14" s="2"/>
      <c r="F14" s="2"/>
      <c r="G14" s="2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20"/>
      <c r="D15" s="2"/>
      <c r="E15" s="2"/>
      <c r="F15" s="2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20"/>
      <c r="D16" s="2"/>
      <c r="E16" s="2"/>
      <c r="F16" s="2"/>
      <c r="G16" s="2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20"/>
      <c r="D17" s="2"/>
      <c r="E17" s="2"/>
      <c r="F17" s="2"/>
      <c r="G17" s="2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0"/>
      <c r="D18" s="2"/>
      <c r="E18" s="2"/>
      <c r="F18" s="2"/>
      <c r="G18" s="2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2"/>
      <c r="C20" s="2"/>
      <c r="D20" s="2"/>
      <c r="E20" s="2"/>
      <c r="F20" s="2"/>
      <c r="G20" s="2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7"/>
      <c r="C21" s="7"/>
      <c r="D21" s="2"/>
      <c r="E21" s="2"/>
      <c r="F21" s="2"/>
      <c r="G21" s="2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7"/>
      <c r="C22" s="7"/>
      <c r="D22" s="7"/>
      <c r="E22" s="7"/>
      <c r="F22" s="7"/>
      <c r="G22" s="10"/>
      <c r="H22" s="3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7"/>
      <c r="C23" s="11"/>
      <c r="D23" s="7"/>
      <c r="E23" s="7"/>
      <c r="F23" s="7"/>
      <c r="G23" s="10"/>
      <c r="H23" s="3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7"/>
      <c r="C24" s="11"/>
      <c r="D24" s="7"/>
      <c r="E24" s="7"/>
      <c r="F24" s="7"/>
      <c r="G24" s="10"/>
      <c r="H24" s="3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7"/>
      <c r="C25" s="7"/>
      <c r="D25" s="7"/>
      <c r="E25" s="7"/>
      <c r="F25" s="7"/>
      <c r="G25" s="10"/>
      <c r="H25" s="3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7"/>
      <c r="D26" s="7"/>
      <c r="E26" s="7"/>
      <c r="F26" s="7"/>
      <c r="G26" s="10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7"/>
      <c r="D27" s="7"/>
      <c r="E27" s="7"/>
      <c r="F27" s="7"/>
      <c r="G27" s="10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7"/>
      <c r="E28" s="7"/>
      <c r="F28" s="7"/>
      <c r="G28" s="10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7"/>
      <c r="E29" s="7"/>
      <c r="F29" s="7"/>
      <c r="G29" s="10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12"/>
      <c r="C30" s="10"/>
      <c r="D30" s="7"/>
      <c r="E30" s="7"/>
      <c r="F30" s="7"/>
      <c r="G30" s="10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12"/>
      <c r="C31" s="10"/>
      <c r="D31" s="7"/>
      <c r="E31" s="7"/>
      <c r="F31" s="7"/>
      <c r="G31" s="10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12"/>
      <c r="C32" s="10"/>
      <c r="D32" s="7"/>
      <c r="E32" s="7"/>
      <c r="F32" s="7"/>
      <c r="G32" s="10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7"/>
      <c r="E33" s="7"/>
      <c r="F33" s="7"/>
      <c r="G33" s="10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7"/>
      <c r="E34" s="7"/>
      <c r="F34" s="7"/>
      <c r="G34" s="10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7"/>
      <c r="E35" s="7"/>
      <c r="F35" s="7"/>
      <c r="G35" s="10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7"/>
      <c r="E36" s="7"/>
      <c r="F36" s="7"/>
      <c r="G36" s="10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7"/>
      <c r="E37" s="7"/>
      <c r="F37" s="7"/>
      <c r="G37" s="10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7"/>
      <c r="E38" s="7"/>
      <c r="F38" s="7"/>
      <c r="G38" s="10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7"/>
      <c r="E39" s="7"/>
      <c r="F39" s="7"/>
      <c r="G39" s="10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7"/>
      <c r="E40" s="7"/>
      <c r="F40" s="7"/>
      <c r="G40" s="10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7"/>
      <c r="E41" s="7"/>
      <c r="F41" s="7"/>
      <c r="G41" s="10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7"/>
      <c r="E42" s="7"/>
      <c r="F42" s="7"/>
      <c r="G42" s="10"/>
      <c r="H42" s="3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7"/>
      <c r="E43" s="7"/>
      <c r="F43" s="7"/>
      <c r="G43" s="10"/>
      <c r="H43" s="3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7"/>
      <c r="E44" s="7"/>
      <c r="F44" s="7"/>
      <c r="G44" s="10"/>
      <c r="H44" s="3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7"/>
      <c r="E45" s="7"/>
      <c r="F45" s="7"/>
      <c r="G45" s="10"/>
      <c r="H45" s="3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7"/>
      <c r="E46" s="7"/>
      <c r="F46" s="7"/>
      <c r="G46" s="10"/>
      <c r="H46" s="3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7"/>
      <c r="E47" s="7"/>
      <c r="F47" s="7"/>
      <c r="G47" s="10"/>
      <c r="H47" s="3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7"/>
      <c r="E48" s="7"/>
      <c r="F48" s="7"/>
      <c r="G48" s="10"/>
      <c r="H48" s="3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7"/>
      <c r="E49" s="7"/>
      <c r="F49" s="7"/>
      <c r="G49" s="10"/>
      <c r="H49" s="3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7"/>
      <c r="E50" s="7"/>
      <c r="F50" s="7"/>
      <c r="G50" s="10"/>
      <c r="H50" s="3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7"/>
      <c r="E51" s="7"/>
      <c r="F51" s="7"/>
      <c r="G51" s="10"/>
      <c r="H51" s="3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7"/>
      <c r="E52" s="7"/>
      <c r="F52" s="7"/>
      <c r="G52" s="10"/>
      <c r="H52" s="3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7"/>
      <c r="E53" s="7"/>
      <c r="F53" s="7"/>
      <c r="G53" s="10"/>
      <c r="H53" s="3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7"/>
      <c r="E54" s="7"/>
      <c r="F54" s="7"/>
      <c r="G54" s="10"/>
      <c r="H54" s="3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7"/>
      <c r="E55" s="7"/>
      <c r="F55" s="7"/>
      <c r="G55" s="10"/>
      <c r="H55" s="3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7"/>
      <c r="E56" s="7"/>
      <c r="F56" s="7"/>
      <c r="G56" s="10"/>
      <c r="H56" s="3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7"/>
      <c r="E57" s="7"/>
      <c r="F57" s="7"/>
      <c r="G57" s="10"/>
      <c r="H57" s="3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7"/>
      <c r="E58" s="7"/>
      <c r="F58" s="7"/>
      <c r="G58" s="10"/>
      <c r="H58" s="3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7"/>
      <c r="E59" s="7"/>
      <c r="F59" s="7"/>
      <c r="G59" s="10"/>
      <c r="H59" s="3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7"/>
      <c r="E60" s="7"/>
      <c r="F60" s="7"/>
      <c r="G60" s="10"/>
      <c r="H60" s="3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7"/>
      <c r="E61" s="7"/>
      <c r="F61" s="7"/>
      <c r="G61" s="10"/>
      <c r="H61" s="3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7"/>
      <c r="E62" s="7"/>
      <c r="F62" s="7"/>
      <c r="G62" s="10"/>
      <c r="H62" s="3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7"/>
      <c r="E63" s="7"/>
      <c r="F63" s="7"/>
      <c r="G63" s="10"/>
      <c r="H63" s="3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7"/>
      <c r="E64" s="7"/>
      <c r="F64" s="7"/>
      <c r="G64" s="10"/>
      <c r="H64" s="3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7"/>
      <c r="E65" s="7"/>
      <c r="F65" s="7"/>
      <c r="G65" s="10"/>
      <c r="H65" s="3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7"/>
      <c r="E66" s="7"/>
      <c r="F66" s="7"/>
      <c r="G66" s="10"/>
      <c r="H66" s="3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7"/>
      <c r="E67" s="7"/>
      <c r="F67" s="7"/>
      <c r="G67" s="10"/>
      <c r="H67" s="3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7"/>
      <c r="E68" s="7"/>
      <c r="F68" s="7"/>
      <c r="G68" s="10"/>
      <c r="H68" s="3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7"/>
      <c r="E69" s="7"/>
      <c r="F69" s="7"/>
      <c r="G69" s="10"/>
      <c r="H69" s="3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7"/>
      <c r="E70" s="7"/>
      <c r="F70" s="7"/>
      <c r="G70" s="10"/>
      <c r="H70" s="3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4"/>
      <c r="C71" s="13"/>
      <c r="D71" s="7"/>
      <c r="E71" s="7"/>
      <c r="F71" s="7"/>
      <c r="G71" s="10"/>
      <c r="H71" s="3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2"/>
      <c r="C72" s="2"/>
      <c r="D72" s="2"/>
      <c r="E72" s="2"/>
      <c r="F72" s="2"/>
      <c r="G72" s="2"/>
      <c r="H72" s="3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2"/>
      <c r="C73" s="2"/>
      <c r="D73" s="2"/>
      <c r="E73" s="2"/>
      <c r="F73" s="2"/>
      <c r="G73" s="2"/>
      <c r="H73" s="3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2"/>
      <c r="C74" s="2"/>
      <c r="D74" s="2"/>
      <c r="E74" s="2"/>
      <c r="F74" s="2"/>
      <c r="G74" s="2"/>
      <c r="H74" s="3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</sheetData>
  <dataValidations count="3">
    <dataValidation type="whole" allowBlank="1" showInputMessage="1" showErrorMessage="1" promptTitle="Settle Days" prompt="Bond Settlement Days_x000a_" sqref="C12">
      <formula1>0</formula1>
      <formula2>99999999999999</formula2>
    </dataValidation>
    <dataValidation allowBlank="1" showInputMessage="1" showErrorMessage="1" promptTitle="Index Name" prompt="Index Name eg LIBOR3M, EURIBOR6M" sqref="C7"/>
    <dataValidation allowBlank="1" showInputMessage="1" showErrorMessage="1" promptTitle="Yield Term Structure" prompt="Term Structure Object Reference" sqref="C13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C11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C10</xm:sqref>
        </x14:dataValidation>
        <x14:dataValidation type="custom" allowBlank="1" showInputMessage="1" showErrorMessage="1" promptTitle="Index Tenor" prompt="Index Coupon Frequency like 3M, 6M, 1Y">
          <x14:formula1>
            <xm:f>AND(ISNUMBER(INT(LEFT(C9,LEN(C9)-1))),NOT(ISERROR(VLOOKUP(RIGHT(C9,1),Reference!$N$4:$N$7,1,0))))</xm:f>
          </x14:formula1>
          <xm:sqref>C9</xm:sqref>
        </x14:dataValidation>
        <x14:dataValidation type="list" allowBlank="1" showInputMessage="1" showErrorMessage="1" promptTitle="Curve Currency" prompt="Curve Currency">
          <x14:formula1>
            <xm:f>Reference!$H$4:$H$9</xm:f>
          </x14:formula1>
          <xm:sqref>C8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00"/>
  <sheetViews>
    <sheetView zoomScale="90" zoomScaleNormal="90" workbookViewId="0"/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12.85546875" style="4" bestFit="1" customWidth="1"/>
    <col min="6" max="6" width="9.85546875" style="4" bestFit="1" customWidth="1"/>
    <col min="7" max="7" width="3.140625" style="4" customWidth="1"/>
    <col min="8" max="8" width="12.85546875" style="4" bestFit="1" customWidth="1"/>
    <col min="9" max="9" width="9.85546875" style="4" customWidth="1"/>
    <col min="10" max="10" width="4" style="4" customWidth="1"/>
    <col min="11" max="11" width="14" style="4" customWidth="1"/>
    <col min="12" max="12" width="9.85546875" style="4" customWidth="1"/>
    <col min="13" max="13" width="4" style="4" customWidth="1"/>
    <col min="14" max="14" width="3.7109375" style="4" customWidth="1"/>
    <col min="15" max="15" width="24.7109375" style="4" customWidth="1"/>
    <col min="16" max="16" width="19.140625" style="4" customWidth="1"/>
    <col min="17" max="17" width="9.140625" style="4"/>
    <col min="18" max="18" width="18.28515625" style="28" bestFit="1" customWidth="1"/>
    <col min="19" max="19" width="20.85546875" style="32" bestFit="1" customWidth="1"/>
    <col min="20" max="20" width="9.140625" style="4"/>
    <col min="21" max="22" width="10.28515625" style="4" bestFit="1" customWidth="1"/>
    <col min="23" max="23" width="9.140625" style="4"/>
    <col min="24" max="24" width="10.42578125" style="4" bestFit="1" customWidth="1"/>
    <col min="25" max="27" width="10.28515625" style="4" bestFit="1" customWidth="1"/>
    <col min="28" max="16384" width="9.140625" style="4"/>
  </cols>
  <sheetData>
    <row r="1" spans="1:42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</row>
    <row r="2" spans="1:42" x14ac:dyDescent="0.2">
      <c r="A2" s="5" t="s">
        <v>45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  <c r="O2" s="5" t="s">
        <v>46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4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42" x14ac:dyDescent="0.2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</row>
    <row r="5" spans="1:42" x14ac:dyDescent="0.2">
      <c r="A5" s="2"/>
      <c r="B5" s="17" t="s">
        <v>115</v>
      </c>
      <c r="C5" s="17" t="str">
        <f>mrigxl_Bond(C7,C8,C9,C10,C11,C12,C13,C14,C15,C16,C17,C18,C19,C20,C21,C22,C23,C24,C25,C26,C27,E9:F9,H9:I11)</f>
        <v>Callable Bond |0.1||Bond1|2002-03-15 00:00:00|2022-03-15 00:00:00|100.0|30-360|US|Unadjusted|False|3|Backward|Quarterly|True</v>
      </c>
      <c r="D5" s="2" t="s">
        <v>116</v>
      </c>
      <c r="E5" s="2"/>
      <c r="F5" s="2"/>
      <c r="G5" s="2"/>
      <c r="H5" s="2"/>
      <c r="I5" s="2"/>
      <c r="J5" s="2"/>
      <c r="K5" s="2"/>
      <c r="L5" s="2"/>
      <c r="M5" s="2"/>
      <c r="N5" s="3"/>
      <c r="O5" s="40" t="s">
        <v>146</v>
      </c>
      <c r="P5" s="41"/>
      <c r="Q5" s="2"/>
      <c r="R5" s="24" t="str">
        <f>mrigxl_Analytics(C5,O6:P12)</f>
        <v>Heads</v>
      </c>
      <c r="S5" s="24" t="s">
        <v>119</v>
      </c>
      <c r="T5" s="2"/>
      <c r="U5" s="2"/>
      <c r="V5" s="2" t="str">
        <f>R5</f>
        <v>Heads</v>
      </c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42" x14ac:dyDescent="0.2">
      <c r="A6" s="2"/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8" t="s">
        <v>118</v>
      </c>
      <c r="P6" s="23" t="str">
        <f>'Interest Rates Term Structures'!C15</f>
        <v>SZYC|Actual-360|India|Compounded|Annual|Linear</v>
      </c>
      <c r="Q6" s="2"/>
      <c r="R6" s="25" t="s">
        <v>120</v>
      </c>
      <c r="S6" s="31">
        <v>101.60819762245404</v>
      </c>
      <c r="T6" s="2"/>
      <c r="U6" s="2"/>
      <c r="V6" s="2" t="str">
        <f>C5</f>
        <v>Callable Bond |0.1||Bond1|2002-03-15 00:00:00|2022-03-15 00:00:00|100.0|30-360|US|Unadjusted|False|3|Backward|Quarterly|True</v>
      </c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42" x14ac:dyDescent="0.2">
      <c r="A7" s="2"/>
      <c r="B7" s="8" t="s">
        <v>47</v>
      </c>
      <c r="C7" s="15" t="s">
        <v>48</v>
      </c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8" t="s">
        <v>133</v>
      </c>
      <c r="P7" s="16" t="str">
        <f>'Vol Term Structure'!C5</f>
        <v>FVYC|30-360|US|0.4|Compounded|Annual</v>
      </c>
      <c r="Q7" s="2"/>
      <c r="R7" s="25" t="s">
        <v>156</v>
      </c>
      <c r="S7" s="31">
        <v>101.44153095578737</v>
      </c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</row>
    <row r="8" spans="1:42" x14ac:dyDescent="0.2">
      <c r="A8" s="2"/>
      <c r="B8" s="8" t="s">
        <v>49</v>
      </c>
      <c r="C8" s="15">
        <v>37330</v>
      </c>
      <c r="D8" s="2"/>
      <c r="E8" s="8" t="s">
        <v>149</v>
      </c>
      <c r="F8" s="8" t="s">
        <v>150</v>
      </c>
      <c r="G8" s="2"/>
      <c r="H8" s="8" t="s">
        <v>151</v>
      </c>
      <c r="I8" s="8" t="s">
        <v>152</v>
      </c>
      <c r="J8" s="2"/>
      <c r="K8" s="8" t="s">
        <v>153</v>
      </c>
      <c r="L8" s="8" t="s">
        <v>154</v>
      </c>
      <c r="M8" s="2"/>
      <c r="N8" s="3"/>
      <c r="O8" s="8" t="s">
        <v>134</v>
      </c>
      <c r="P8" s="16" t="str">
        <f>'Interest Rates Term Structures'!C28</f>
        <v>FDYC|30-360|US|0.02|Compounded|Annual</v>
      </c>
      <c r="Q8" s="2"/>
      <c r="R8" s="25" t="s">
        <v>157</v>
      </c>
      <c r="S8" s="31">
        <v>101.60819762245404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</row>
    <row r="9" spans="1:42" x14ac:dyDescent="0.2">
      <c r="A9" s="2"/>
      <c r="B9" s="8" t="s">
        <v>50</v>
      </c>
      <c r="C9" s="15">
        <v>44635</v>
      </c>
      <c r="D9" s="2"/>
      <c r="E9" s="20">
        <v>43544</v>
      </c>
      <c r="F9" s="16">
        <v>100</v>
      </c>
      <c r="G9" s="2"/>
      <c r="H9" s="20">
        <v>43539</v>
      </c>
      <c r="I9" s="16">
        <v>100</v>
      </c>
      <c r="J9" s="2"/>
      <c r="K9" s="20">
        <v>43435</v>
      </c>
      <c r="L9" s="16">
        <f>2%*29</f>
        <v>0.57999999999999996</v>
      </c>
      <c r="M9" s="2"/>
      <c r="N9" s="3"/>
      <c r="O9" s="8" t="s">
        <v>132</v>
      </c>
      <c r="P9" s="30">
        <v>29</v>
      </c>
      <c r="Q9" s="2"/>
      <c r="R9" s="25" t="s">
        <v>158</v>
      </c>
      <c r="S9" s="31">
        <v>0.16666666666667052</v>
      </c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</row>
    <row r="10" spans="1:42" x14ac:dyDescent="0.2">
      <c r="A10" s="2"/>
      <c r="B10" s="8" t="s">
        <v>62</v>
      </c>
      <c r="C10" s="16">
        <v>100</v>
      </c>
      <c r="D10" s="2"/>
      <c r="E10" s="20"/>
      <c r="F10" s="16"/>
      <c r="G10" s="2"/>
      <c r="H10" s="20">
        <v>43905</v>
      </c>
      <c r="I10" s="16">
        <v>100</v>
      </c>
      <c r="J10" s="2"/>
      <c r="K10" s="20">
        <v>43800</v>
      </c>
      <c r="L10" s="16">
        <f>2%*29</f>
        <v>0.57999999999999996</v>
      </c>
      <c r="M10" s="2"/>
      <c r="N10" s="3"/>
      <c r="O10" s="8" t="s">
        <v>168</v>
      </c>
      <c r="P10" s="36">
        <v>0.03</v>
      </c>
      <c r="Q10" s="2"/>
      <c r="R10" s="25" t="s">
        <v>159</v>
      </c>
      <c r="S10" s="31">
        <v>9.5359497511386865E-2</v>
      </c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</row>
    <row r="11" spans="1:42" x14ac:dyDescent="0.2">
      <c r="A11" s="2"/>
      <c r="B11" s="8" t="s">
        <v>3</v>
      </c>
      <c r="C11" s="16" t="s">
        <v>10</v>
      </c>
      <c r="D11" s="2"/>
      <c r="E11" s="20"/>
      <c r="F11" s="16"/>
      <c r="G11" s="2"/>
      <c r="H11" s="20">
        <v>44270</v>
      </c>
      <c r="I11" s="16">
        <v>100</v>
      </c>
      <c r="J11" s="2"/>
      <c r="K11" s="20">
        <v>44166</v>
      </c>
      <c r="L11" s="16">
        <f>2%*29</f>
        <v>0.57999999999999996</v>
      </c>
      <c r="M11" s="2"/>
      <c r="N11" s="3"/>
      <c r="O11" s="8" t="s">
        <v>169</v>
      </c>
      <c r="P11" s="36">
        <v>0.12</v>
      </c>
      <c r="Q11" s="2"/>
      <c r="R11" s="25" t="s">
        <v>160</v>
      </c>
      <c r="S11" s="31">
        <v>1.0026138894911324E-2</v>
      </c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</row>
    <row r="12" spans="1:42" x14ac:dyDescent="0.2">
      <c r="A12" s="2"/>
      <c r="B12" s="8" t="s">
        <v>4</v>
      </c>
      <c r="C12" s="16" t="s">
        <v>13</v>
      </c>
      <c r="D12" s="2"/>
      <c r="E12" s="20"/>
      <c r="F12" s="16"/>
      <c r="G12" s="2"/>
      <c r="H12" s="20"/>
      <c r="I12" s="16"/>
      <c r="J12" s="2"/>
      <c r="K12" s="20">
        <v>44531</v>
      </c>
      <c r="L12" s="16">
        <f>2%*29</f>
        <v>0.57999999999999996</v>
      </c>
      <c r="M12" s="2"/>
      <c r="N12" s="3"/>
      <c r="O12" s="8" t="s">
        <v>170</v>
      </c>
      <c r="P12" s="37">
        <v>40</v>
      </c>
      <c r="Q12" s="2"/>
      <c r="R12" s="25" t="s">
        <v>161</v>
      </c>
      <c r="S12" s="31">
        <v>3.0874302567516709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</row>
    <row r="13" spans="1:42" x14ac:dyDescent="0.2">
      <c r="A13" s="2"/>
      <c r="B13" s="8" t="s">
        <v>52</v>
      </c>
      <c r="C13" s="16" t="s">
        <v>85</v>
      </c>
      <c r="D13" s="2"/>
      <c r="E13" s="20"/>
      <c r="F13" s="16"/>
      <c r="G13" s="2"/>
      <c r="H13" s="20"/>
      <c r="I13" s="16"/>
      <c r="J13" s="2"/>
      <c r="K13" s="20"/>
      <c r="L13" s="16"/>
      <c r="M13" s="2"/>
      <c r="N13" s="3"/>
      <c r="O13" s="2"/>
      <c r="P13" s="2"/>
      <c r="Q13" s="2"/>
      <c r="R13" s="27" t="s">
        <v>162</v>
      </c>
      <c r="S13" s="31">
        <v>3.1610342062229937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</row>
    <row r="14" spans="1:42" x14ac:dyDescent="0.2">
      <c r="A14" s="2"/>
      <c r="B14" s="8" t="s">
        <v>60</v>
      </c>
      <c r="C14" s="16" t="b">
        <v>0</v>
      </c>
      <c r="D14" s="2"/>
      <c r="E14" s="20"/>
      <c r="F14" s="16"/>
      <c r="G14" s="2"/>
      <c r="H14" s="20"/>
      <c r="I14" s="16"/>
      <c r="J14" s="2"/>
      <c r="K14" s="20"/>
      <c r="L14" s="16"/>
      <c r="M14" s="2"/>
      <c r="N14" s="3"/>
      <c r="O14" s="2"/>
      <c r="P14" s="2"/>
      <c r="Q14" s="2"/>
      <c r="R14" s="27" t="s">
        <v>163</v>
      </c>
      <c r="S14" s="31">
        <v>3.1610342062229937</v>
      </c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</row>
    <row r="15" spans="1:42" x14ac:dyDescent="0.2">
      <c r="A15" s="2"/>
      <c r="B15" s="8" t="s">
        <v>61</v>
      </c>
      <c r="C15" s="16">
        <v>3</v>
      </c>
      <c r="D15" s="2"/>
      <c r="E15" s="20"/>
      <c r="F15" s="16"/>
      <c r="G15" s="2"/>
      <c r="H15" s="20"/>
      <c r="I15" s="16"/>
      <c r="J15" s="2"/>
      <c r="K15" s="20"/>
      <c r="L15" s="16"/>
      <c r="M15" s="2"/>
      <c r="N15" s="3"/>
      <c r="O15" s="2"/>
      <c r="P15" s="2"/>
      <c r="Q15" s="2"/>
      <c r="R15" s="27" t="s">
        <v>164</v>
      </c>
      <c r="S15" s="31">
        <v>11.329347769762757</v>
      </c>
      <c r="T15" s="2"/>
      <c r="U15" s="2"/>
      <c r="V15" s="2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5"/>
      <c r="AH15" s="35"/>
      <c r="AI15" s="35"/>
      <c r="AJ15" s="35"/>
      <c r="AK15" s="35"/>
      <c r="AL15" s="35"/>
      <c r="AM15" s="35"/>
      <c r="AN15" s="35"/>
      <c r="AO15" s="35"/>
      <c r="AP15" s="35"/>
    </row>
    <row r="16" spans="1:42" x14ac:dyDescent="0.2">
      <c r="A16" s="2"/>
      <c r="B16" s="8" t="s">
        <v>63</v>
      </c>
      <c r="C16" s="16" t="s">
        <v>88</v>
      </c>
      <c r="D16" s="2"/>
      <c r="E16" s="20"/>
      <c r="F16" s="16"/>
      <c r="G16" s="2"/>
      <c r="H16" s="20"/>
      <c r="I16" s="16"/>
      <c r="J16" s="2"/>
      <c r="K16" s="20"/>
      <c r="L16" s="16"/>
      <c r="M16" s="2"/>
      <c r="N16" s="3"/>
      <c r="O16" s="2"/>
      <c r="P16" s="2"/>
      <c r="Q16" s="2"/>
      <c r="R16" s="27" t="s">
        <v>165</v>
      </c>
      <c r="S16" s="31" t="s">
        <v>165</v>
      </c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</row>
    <row r="17" spans="1:32" x14ac:dyDescent="0.2">
      <c r="A17" s="2"/>
      <c r="B17" s="8" t="s">
        <v>51</v>
      </c>
      <c r="C17" s="16" t="s">
        <v>98</v>
      </c>
      <c r="D17" s="2"/>
      <c r="E17" s="20"/>
      <c r="F17" s="16"/>
      <c r="G17" s="2"/>
      <c r="H17" s="20"/>
      <c r="I17" s="16"/>
      <c r="J17" s="2"/>
      <c r="K17" s="20"/>
      <c r="L17" s="16"/>
      <c r="M17" s="2"/>
      <c r="N17" s="3"/>
      <c r="O17" s="2"/>
      <c r="P17" s="2"/>
      <c r="Q17" s="2"/>
      <c r="R17" s="27" t="s">
        <v>166</v>
      </c>
      <c r="S17" s="31" t="s">
        <v>167</v>
      </c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 x14ac:dyDescent="0.2">
      <c r="A18" s="2"/>
      <c r="B18" s="8" t="s">
        <v>73</v>
      </c>
      <c r="C18" s="36">
        <v>0.1</v>
      </c>
      <c r="D18" s="2"/>
      <c r="E18" s="20"/>
      <c r="F18" s="16"/>
      <c r="G18" s="2"/>
      <c r="H18" s="20"/>
      <c r="I18" s="16"/>
      <c r="J18" s="2"/>
      <c r="K18" s="20"/>
      <c r="L18" s="16"/>
      <c r="M18" s="2"/>
      <c r="N18" s="3"/>
      <c r="O18" s="2"/>
      <c r="P18" s="2"/>
      <c r="Q18" s="2"/>
      <c r="R18" s="27">
        <v>37422</v>
      </c>
      <c r="S18" s="31">
        <v>2.4999999999999911</v>
      </c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 x14ac:dyDescent="0.2">
      <c r="A19" s="2"/>
      <c r="B19" s="8" t="s">
        <v>74</v>
      </c>
      <c r="C19" s="16"/>
      <c r="D19" s="2"/>
      <c r="E19" s="20"/>
      <c r="F19" s="16"/>
      <c r="G19" s="2"/>
      <c r="H19" s="20"/>
      <c r="I19" s="16"/>
      <c r="J19" s="2"/>
      <c r="K19" s="20"/>
      <c r="L19" s="16"/>
      <c r="M19" s="2"/>
      <c r="N19" s="3"/>
      <c r="O19" s="2"/>
      <c r="P19" s="2"/>
      <c r="Q19" s="2"/>
      <c r="R19" s="27">
        <v>37514</v>
      </c>
      <c r="S19" s="31">
        <v>2.4999999999999911</v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 x14ac:dyDescent="0.2">
      <c r="A20" s="2"/>
      <c r="B20" s="8" t="s">
        <v>75</v>
      </c>
      <c r="C20" s="16"/>
      <c r="D20" s="2"/>
      <c r="E20" s="20"/>
      <c r="F20" s="16"/>
      <c r="G20" s="2"/>
      <c r="H20" s="20"/>
      <c r="I20" s="16"/>
      <c r="J20" s="2"/>
      <c r="K20" s="20"/>
      <c r="L20" s="16"/>
      <c r="M20" s="2"/>
      <c r="N20" s="3"/>
      <c r="O20" s="2"/>
      <c r="P20" s="2"/>
      <c r="Q20" s="2"/>
      <c r="R20" s="27">
        <v>37605</v>
      </c>
      <c r="S20" s="31">
        <v>2.4999999999999911</v>
      </c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 x14ac:dyDescent="0.2">
      <c r="A21" s="2"/>
      <c r="B21" s="8" t="s">
        <v>76</v>
      </c>
      <c r="C21" s="16" t="b">
        <v>1</v>
      </c>
      <c r="D21" s="2"/>
      <c r="E21" s="20"/>
      <c r="F21" s="16"/>
      <c r="G21" s="2"/>
      <c r="H21" s="20"/>
      <c r="I21" s="16"/>
      <c r="J21" s="2"/>
      <c r="K21" s="20"/>
      <c r="L21" s="16"/>
      <c r="M21" s="2"/>
      <c r="N21" s="3"/>
      <c r="O21" s="2"/>
      <c r="P21" s="2"/>
      <c r="Q21" s="2"/>
      <c r="R21" s="27">
        <v>37695</v>
      </c>
      <c r="S21" s="31">
        <v>2.4999999999999911</v>
      </c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 x14ac:dyDescent="0.2">
      <c r="A22" s="2"/>
      <c r="B22" s="8" t="s">
        <v>121</v>
      </c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3"/>
      <c r="O22" s="2"/>
      <c r="P22" s="2"/>
      <c r="Q22" s="2"/>
      <c r="R22" s="27">
        <v>37787</v>
      </c>
      <c r="S22" s="31">
        <v>2.4999999999999911</v>
      </c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 x14ac:dyDescent="0.2">
      <c r="A23" s="2"/>
      <c r="B23" s="8" t="s">
        <v>122</v>
      </c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3"/>
      <c r="O23" s="2"/>
      <c r="P23" s="2"/>
      <c r="Q23" s="2"/>
      <c r="R23" s="27">
        <v>37879</v>
      </c>
      <c r="S23" s="31">
        <v>2.4999999999999911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 x14ac:dyDescent="0.2">
      <c r="A24" s="2"/>
      <c r="B24" s="8" t="s">
        <v>123</v>
      </c>
      <c r="C24" s="23"/>
      <c r="D24" s="9"/>
      <c r="E24" s="7"/>
      <c r="F24" s="7"/>
      <c r="G24" s="2"/>
      <c r="H24" s="10"/>
      <c r="I24" s="10"/>
      <c r="J24" s="10"/>
      <c r="K24" s="10"/>
      <c r="L24" s="10"/>
      <c r="M24" s="10"/>
      <c r="N24" s="3"/>
      <c r="O24" s="2"/>
      <c r="P24" s="2"/>
      <c r="Q24" s="2"/>
      <c r="R24" s="27">
        <v>37970</v>
      </c>
      <c r="S24" s="31">
        <v>2.4999999999999911</v>
      </c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 x14ac:dyDescent="0.2">
      <c r="A25" s="2"/>
      <c r="B25" s="8" t="s">
        <v>147</v>
      </c>
      <c r="C25" s="30"/>
      <c r="D25" s="10"/>
      <c r="E25" s="7"/>
      <c r="F25" s="7"/>
      <c r="G25" s="2"/>
      <c r="H25" s="10"/>
      <c r="I25" s="10"/>
      <c r="J25" s="10"/>
      <c r="K25" s="10"/>
      <c r="L25" s="10"/>
      <c r="M25" s="10"/>
      <c r="N25" s="3"/>
      <c r="O25" s="2"/>
      <c r="P25" s="2"/>
      <c r="Q25" s="2"/>
      <c r="R25" s="27">
        <v>38061</v>
      </c>
      <c r="S25" s="31">
        <v>2.4999999999999911</v>
      </c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 x14ac:dyDescent="0.2">
      <c r="A26" s="2"/>
      <c r="B26" s="8" t="s">
        <v>148</v>
      </c>
      <c r="C26" s="16"/>
      <c r="D26" s="10"/>
      <c r="E26" s="7"/>
      <c r="F26" s="7"/>
      <c r="G26" s="10"/>
      <c r="H26" s="10"/>
      <c r="I26" s="10"/>
      <c r="J26" s="10"/>
      <c r="K26" s="10"/>
      <c r="L26" s="10"/>
      <c r="M26" s="10"/>
      <c r="N26" s="3"/>
      <c r="O26" s="2"/>
      <c r="P26" s="2"/>
      <c r="Q26" s="2"/>
      <c r="R26" s="27">
        <v>38153</v>
      </c>
      <c r="S26" s="31">
        <v>2.4999999999999911</v>
      </c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 x14ac:dyDescent="0.2">
      <c r="A27" s="2"/>
      <c r="B27" s="8" t="s">
        <v>155</v>
      </c>
      <c r="C27" s="23"/>
      <c r="D27" s="10"/>
      <c r="E27" s="7"/>
      <c r="F27" s="7"/>
      <c r="G27" s="10"/>
      <c r="H27" s="10"/>
      <c r="I27" s="10"/>
      <c r="J27" s="10"/>
      <c r="K27" s="10"/>
      <c r="L27" s="10"/>
      <c r="M27" s="10"/>
      <c r="N27" s="3"/>
      <c r="O27" s="2"/>
      <c r="P27" s="2"/>
      <c r="Q27" s="2"/>
      <c r="R27" s="27">
        <v>38245</v>
      </c>
      <c r="S27" s="31">
        <v>2.4999999999999911</v>
      </c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 x14ac:dyDescent="0.2">
      <c r="A28" s="2"/>
      <c r="B28" s="19"/>
      <c r="C28" s="7"/>
      <c r="D28" s="10"/>
      <c r="E28" s="7"/>
      <c r="F28" s="7"/>
      <c r="G28" s="10"/>
      <c r="H28" s="10"/>
      <c r="I28" s="10"/>
      <c r="J28" s="10"/>
      <c r="K28" s="10"/>
      <c r="L28" s="10"/>
      <c r="M28" s="10"/>
      <c r="N28" s="3"/>
      <c r="O28" s="2"/>
      <c r="P28" s="2"/>
      <c r="Q28" s="2"/>
      <c r="R28" s="27">
        <v>38336</v>
      </c>
      <c r="S28" s="31">
        <v>2.4999999999999911</v>
      </c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 x14ac:dyDescent="0.2">
      <c r="A29" s="2"/>
      <c r="B29" s="7"/>
      <c r="C29" s="7"/>
      <c r="D29" s="10"/>
      <c r="E29" s="7"/>
      <c r="F29" s="7"/>
      <c r="G29" s="10"/>
      <c r="H29" s="10"/>
      <c r="I29" s="10"/>
      <c r="J29" s="10"/>
      <c r="K29" s="10"/>
      <c r="L29" s="10"/>
      <c r="M29" s="10"/>
      <c r="N29" s="3"/>
      <c r="O29" s="2"/>
      <c r="P29" s="2"/>
      <c r="Q29" s="2"/>
      <c r="R29" s="27">
        <v>38426</v>
      </c>
      <c r="S29" s="31">
        <v>2.4999999999999911</v>
      </c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 x14ac:dyDescent="0.2">
      <c r="A30" s="2"/>
      <c r="B30" s="7"/>
      <c r="C30" s="7"/>
      <c r="D30" s="10"/>
      <c r="E30" s="7"/>
      <c r="F30" s="7"/>
      <c r="G30" s="10"/>
      <c r="H30" s="10"/>
      <c r="I30" s="10"/>
      <c r="J30" s="10"/>
      <c r="K30" s="10"/>
      <c r="L30" s="10"/>
      <c r="M30" s="10"/>
      <c r="N30" s="3"/>
      <c r="O30" s="2"/>
      <c r="P30" s="2"/>
      <c r="Q30" s="2"/>
      <c r="R30" s="27">
        <v>38518</v>
      </c>
      <c r="S30" s="31">
        <v>2.4999999999999911</v>
      </c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 x14ac:dyDescent="0.2">
      <c r="A31" s="2"/>
      <c r="B31" s="7"/>
      <c r="C31" s="7"/>
      <c r="D31" s="10"/>
      <c r="E31" s="7"/>
      <c r="F31" s="7"/>
      <c r="G31" s="10"/>
      <c r="H31" s="10"/>
      <c r="I31" s="10"/>
      <c r="J31" s="10"/>
      <c r="K31" s="10"/>
      <c r="L31" s="10"/>
      <c r="M31" s="10"/>
      <c r="N31" s="3"/>
      <c r="O31" s="2"/>
      <c r="P31" s="2"/>
      <c r="Q31" s="2"/>
      <c r="R31" s="27">
        <v>38610</v>
      </c>
      <c r="S31" s="31">
        <v>2.4999999999999911</v>
      </c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 x14ac:dyDescent="0.2">
      <c r="A32" s="2"/>
      <c r="B32" s="7"/>
      <c r="C32" s="7"/>
      <c r="D32" s="10"/>
      <c r="E32" s="7"/>
      <c r="F32" s="7"/>
      <c r="G32" s="10"/>
      <c r="H32" s="10"/>
      <c r="I32" s="10"/>
      <c r="J32" s="10"/>
      <c r="K32" s="10"/>
      <c r="L32" s="10"/>
      <c r="M32" s="10"/>
      <c r="N32" s="3"/>
      <c r="O32" s="2"/>
      <c r="P32" s="2"/>
      <c r="Q32" s="2"/>
      <c r="R32" s="27">
        <v>38701</v>
      </c>
      <c r="S32" s="31">
        <v>2.4999999999999911</v>
      </c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 s="12"/>
      <c r="C33" s="10"/>
      <c r="D33" s="10"/>
      <c r="E33" s="7"/>
      <c r="F33" s="7"/>
      <c r="G33" s="10"/>
      <c r="H33" s="10"/>
      <c r="I33" s="10"/>
      <c r="J33" s="10"/>
      <c r="K33" s="10"/>
      <c r="L33" s="10"/>
      <c r="M33" s="10"/>
      <c r="N33" s="3"/>
      <c r="O33" s="2"/>
      <c r="P33" s="2"/>
      <c r="Q33" s="2"/>
      <c r="R33" s="27">
        <v>38791</v>
      </c>
      <c r="S33" s="31">
        <v>2.4999999999999911</v>
      </c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B34" s="12"/>
      <c r="C34" s="10"/>
      <c r="D34" s="10"/>
      <c r="E34" s="7"/>
      <c r="F34" s="7"/>
      <c r="G34" s="10"/>
      <c r="H34" s="10"/>
      <c r="I34" s="10"/>
      <c r="J34" s="10"/>
      <c r="K34" s="10"/>
      <c r="L34" s="10"/>
      <c r="M34" s="10"/>
      <c r="N34" s="3"/>
      <c r="O34" s="2"/>
      <c r="P34" s="2"/>
      <c r="Q34" s="2"/>
      <c r="R34" s="27">
        <v>38883</v>
      </c>
      <c r="S34" s="31">
        <v>2.4999999999999911</v>
      </c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s="12"/>
      <c r="C35" s="10"/>
      <c r="D35" s="10"/>
      <c r="E35" s="7"/>
      <c r="F35" s="7"/>
      <c r="G35" s="10"/>
      <c r="H35" s="10"/>
      <c r="I35" s="10"/>
      <c r="J35" s="10"/>
      <c r="K35" s="10"/>
      <c r="L35" s="10"/>
      <c r="M35" s="10"/>
      <c r="N35" s="3"/>
      <c r="O35" s="2"/>
      <c r="P35" s="2"/>
      <c r="Q35" s="2"/>
      <c r="R35" s="27">
        <v>38975</v>
      </c>
      <c r="S35" s="31">
        <v>2.4999999999999911</v>
      </c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/>
      <c r="B36" s="12"/>
      <c r="C36" s="10"/>
      <c r="D36" s="10"/>
      <c r="E36" s="7"/>
      <c r="F36" s="7"/>
      <c r="G36" s="10"/>
      <c r="H36" s="10"/>
      <c r="I36" s="10"/>
      <c r="J36" s="10"/>
      <c r="K36" s="10"/>
      <c r="L36" s="10"/>
      <c r="M36" s="10"/>
      <c r="N36" s="3"/>
      <c r="O36" s="2"/>
      <c r="P36" s="2"/>
      <c r="Q36" s="2"/>
      <c r="R36" s="27">
        <v>39066</v>
      </c>
      <c r="S36" s="31">
        <v>2.4999999999999911</v>
      </c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A37" s="2"/>
      <c r="B37" s="12"/>
      <c r="C37" s="10"/>
      <c r="D37" s="10"/>
      <c r="E37" s="7"/>
      <c r="F37" s="7"/>
      <c r="G37" s="10"/>
      <c r="H37" s="10"/>
      <c r="I37" s="10"/>
      <c r="J37" s="10"/>
      <c r="K37" s="10"/>
      <c r="L37" s="10"/>
      <c r="M37" s="10"/>
      <c r="N37" s="3"/>
      <c r="O37" s="2"/>
      <c r="P37" s="2"/>
      <c r="Q37" s="2"/>
      <c r="R37" s="27">
        <v>39156</v>
      </c>
      <c r="S37" s="31">
        <v>2.4999999999999911</v>
      </c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 x14ac:dyDescent="0.2">
      <c r="A38" s="2"/>
      <c r="B38" s="12"/>
      <c r="C38" s="10"/>
      <c r="D38" s="10"/>
      <c r="E38" s="7"/>
      <c r="F38" s="7"/>
      <c r="G38" s="10"/>
      <c r="H38" s="10"/>
      <c r="I38" s="10"/>
      <c r="J38" s="10"/>
      <c r="K38" s="10"/>
      <c r="L38" s="10"/>
      <c r="M38" s="10"/>
      <c r="N38" s="3"/>
      <c r="O38" s="2"/>
      <c r="P38" s="2"/>
      <c r="Q38" s="2"/>
      <c r="R38" s="27">
        <v>39248</v>
      </c>
      <c r="S38" s="31">
        <v>2.4999999999999911</v>
      </c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 x14ac:dyDescent="0.2">
      <c r="A39" s="2"/>
      <c r="B39" s="12"/>
      <c r="C39" s="10"/>
      <c r="D39" s="10"/>
      <c r="E39" s="7"/>
      <c r="F39" s="7"/>
      <c r="G39" s="10"/>
      <c r="H39" s="10"/>
      <c r="I39" s="10"/>
      <c r="J39" s="10"/>
      <c r="K39" s="10"/>
      <c r="L39" s="10"/>
      <c r="M39" s="10"/>
      <c r="N39" s="3"/>
      <c r="O39" s="2"/>
      <c r="P39" s="2"/>
      <c r="Q39" s="2"/>
      <c r="R39" s="27">
        <v>39340</v>
      </c>
      <c r="S39" s="31">
        <v>2.4999999999999911</v>
      </c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 x14ac:dyDescent="0.2">
      <c r="A40" s="2"/>
      <c r="B40" s="12"/>
      <c r="C40" s="10"/>
      <c r="D40" s="10"/>
      <c r="E40" s="7"/>
      <c r="F40" s="7"/>
      <c r="G40" s="10"/>
      <c r="H40" s="10"/>
      <c r="I40" s="10"/>
      <c r="J40" s="10"/>
      <c r="K40" s="10"/>
      <c r="L40" s="10"/>
      <c r="M40" s="10"/>
      <c r="N40" s="3"/>
      <c r="O40" s="2"/>
      <c r="P40" s="2"/>
      <c r="Q40" s="2"/>
      <c r="R40" s="27">
        <v>39431</v>
      </c>
      <c r="S40" s="31">
        <v>2.4999999999999911</v>
      </c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 x14ac:dyDescent="0.2">
      <c r="A41" s="2"/>
      <c r="B41" s="12"/>
      <c r="C41" s="10"/>
      <c r="D41" s="10"/>
      <c r="E41" s="7"/>
      <c r="F41" s="7"/>
      <c r="G41" s="10"/>
      <c r="H41" s="10"/>
      <c r="I41" s="10"/>
      <c r="J41" s="10"/>
      <c r="K41" s="10"/>
      <c r="L41" s="10"/>
      <c r="M41" s="10"/>
      <c r="N41" s="3"/>
      <c r="O41" s="2"/>
      <c r="P41" s="2"/>
      <c r="Q41" s="2"/>
      <c r="R41" s="27">
        <v>39522</v>
      </c>
      <c r="S41" s="31">
        <v>2.4999999999999911</v>
      </c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 x14ac:dyDescent="0.2">
      <c r="A42" s="2"/>
      <c r="B42" s="12"/>
      <c r="C42" s="10"/>
      <c r="D42" s="10"/>
      <c r="E42" s="7"/>
      <c r="F42" s="7"/>
      <c r="G42" s="10"/>
      <c r="H42" s="10"/>
      <c r="I42" s="10"/>
      <c r="J42" s="10"/>
      <c r="K42" s="10"/>
      <c r="L42" s="10"/>
      <c r="M42" s="10"/>
      <c r="N42" s="3"/>
      <c r="O42" s="2"/>
      <c r="P42" s="2"/>
      <c r="Q42" s="2"/>
      <c r="R42" s="27">
        <v>39614</v>
      </c>
      <c r="S42" s="31">
        <v>2.4999999999999911</v>
      </c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 x14ac:dyDescent="0.2">
      <c r="A43" s="2"/>
      <c r="B43" s="12"/>
      <c r="C43" s="10"/>
      <c r="D43" s="10"/>
      <c r="E43" s="7"/>
      <c r="F43" s="7"/>
      <c r="G43" s="10"/>
      <c r="H43" s="10"/>
      <c r="I43" s="10"/>
      <c r="J43" s="10"/>
      <c r="K43" s="10"/>
      <c r="L43" s="10"/>
      <c r="M43" s="10"/>
      <c r="N43" s="3"/>
      <c r="O43" s="2"/>
      <c r="P43" s="2"/>
      <c r="Q43" s="2"/>
      <c r="R43" s="27">
        <v>39706</v>
      </c>
      <c r="S43" s="31">
        <v>2.4999999999999911</v>
      </c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 x14ac:dyDescent="0.2">
      <c r="A44" s="2"/>
      <c r="B44" s="12"/>
      <c r="C44" s="10"/>
      <c r="D44" s="10"/>
      <c r="E44" s="7"/>
      <c r="F44" s="7"/>
      <c r="G44" s="10"/>
      <c r="H44" s="10"/>
      <c r="I44" s="10"/>
      <c r="J44" s="10"/>
      <c r="K44" s="10"/>
      <c r="L44" s="10"/>
      <c r="M44" s="10"/>
      <c r="N44" s="3"/>
      <c r="O44" s="2"/>
      <c r="P44" s="2"/>
      <c r="Q44" s="2"/>
      <c r="R44" s="27">
        <v>39797</v>
      </c>
      <c r="S44" s="31">
        <v>2.4999999999999911</v>
      </c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 x14ac:dyDescent="0.2">
      <c r="A45" s="2"/>
      <c r="B45" s="12"/>
      <c r="C45" s="10"/>
      <c r="D45" s="10"/>
      <c r="E45" s="7"/>
      <c r="F45" s="7"/>
      <c r="G45" s="10"/>
      <c r="H45" s="10"/>
      <c r="I45" s="10"/>
      <c r="J45" s="10"/>
      <c r="K45" s="10"/>
      <c r="L45" s="10"/>
      <c r="M45" s="10"/>
      <c r="N45" s="3"/>
      <c r="O45" s="2"/>
      <c r="P45" s="2"/>
      <c r="Q45" s="2"/>
      <c r="R45" s="27">
        <v>39887</v>
      </c>
      <c r="S45" s="31">
        <v>2.4999999999999911</v>
      </c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 x14ac:dyDescent="0.2">
      <c r="A46" s="2"/>
      <c r="B46" s="12"/>
      <c r="C46" s="10"/>
      <c r="D46" s="10"/>
      <c r="E46" s="7"/>
      <c r="F46" s="7"/>
      <c r="G46" s="10"/>
      <c r="H46" s="10"/>
      <c r="I46" s="10"/>
      <c r="J46" s="10"/>
      <c r="K46" s="10"/>
      <c r="L46" s="10"/>
      <c r="M46" s="10"/>
      <c r="N46" s="3"/>
      <c r="O46" s="2"/>
      <c r="P46" s="2"/>
      <c r="Q46" s="2"/>
      <c r="R46" s="27">
        <v>39979</v>
      </c>
      <c r="S46" s="31">
        <v>2.4999999999999911</v>
      </c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 x14ac:dyDescent="0.2">
      <c r="A47" s="2"/>
      <c r="B47" s="12"/>
      <c r="C47" s="10"/>
      <c r="D47" s="10"/>
      <c r="E47" s="7"/>
      <c r="F47" s="7"/>
      <c r="G47" s="10"/>
      <c r="H47" s="10"/>
      <c r="I47" s="10"/>
      <c r="J47" s="10"/>
      <c r="K47" s="10"/>
      <c r="L47" s="10"/>
      <c r="M47" s="10"/>
      <c r="N47" s="3"/>
      <c r="O47" s="2"/>
      <c r="P47" s="2"/>
      <c r="Q47" s="2"/>
      <c r="R47" s="27">
        <v>40071</v>
      </c>
      <c r="S47" s="31">
        <v>2.4999999999999911</v>
      </c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 x14ac:dyDescent="0.2">
      <c r="A48" s="2"/>
      <c r="B48" s="12"/>
      <c r="C48" s="10"/>
      <c r="D48" s="10"/>
      <c r="E48" s="7"/>
      <c r="F48" s="7"/>
      <c r="G48" s="10"/>
      <c r="H48" s="10"/>
      <c r="I48" s="10"/>
      <c r="J48" s="10"/>
      <c r="K48" s="10"/>
      <c r="L48" s="10"/>
      <c r="M48" s="10"/>
      <c r="N48" s="3"/>
      <c r="O48" s="2"/>
      <c r="P48" s="2"/>
      <c r="Q48" s="2"/>
      <c r="R48" s="27">
        <v>40162</v>
      </c>
      <c r="S48" s="31">
        <v>2.4999999999999911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 x14ac:dyDescent="0.2">
      <c r="A49" s="2"/>
      <c r="B49" s="12"/>
      <c r="C49" s="10"/>
      <c r="D49" s="10"/>
      <c r="E49" s="7"/>
      <c r="F49" s="7"/>
      <c r="G49" s="10"/>
      <c r="H49" s="10"/>
      <c r="I49" s="10"/>
      <c r="J49" s="10"/>
      <c r="K49" s="10"/>
      <c r="L49" s="10"/>
      <c r="M49" s="10"/>
      <c r="N49" s="3"/>
      <c r="O49" s="2"/>
      <c r="P49" s="2"/>
      <c r="Q49" s="2"/>
      <c r="R49" s="27">
        <v>40252</v>
      </c>
      <c r="S49" s="31">
        <v>2.4999999999999911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 x14ac:dyDescent="0.2">
      <c r="A50" s="2"/>
      <c r="B50" s="12"/>
      <c r="C50" s="10"/>
      <c r="D50" s="10"/>
      <c r="E50" s="7"/>
      <c r="F50" s="7"/>
      <c r="G50" s="10"/>
      <c r="H50" s="10"/>
      <c r="I50" s="10"/>
      <c r="J50" s="10"/>
      <c r="K50" s="10"/>
      <c r="L50" s="10"/>
      <c r="M50" s="10"/>
      <c r="N50" s="3"/>
      <c r="O50" s="2"/>
      <c r="P50" s="2"/>
      <c r="Q50" s="2"/>
      <c r="R50" s="27">
        <v>40344</v>
      </c>
      <c r="S50" s="31">
        <v>2.4999999999999911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 x14ac:dyDescent="0.2">
      <c r="A51" s="2"/>
      <c r="B51" s="12"/>
      <c r="C51" s="10"/>
      <c r="D51" s="10"/>
      <c r="E51" s="7"/>
      <c r="F51" s="7"/>
      <c r="G51" s="10"/>
      <c r="H51" s="10"/>
      <c r="I51" s="10"/>
      <c r="J51" s="10"/>
      <c r="K51" s="10"/>
      <c r="L51" s="10"/>
      <c r="M51" s="10"/>
      <c r="N51" s="3"/>
      <c r="O51" s="2"/>
      <c r="P51" s="2"/>
      <c r="Q51" s="2"/>
      <c r="R51" s="27">
        <v>40436</v>
      </c>
      <c r="S51" s="31">
        <v>2.4999999999999911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 x14ac:dyDescent="0.2">
      <c r="A52" s="2"/>
      <c r="B52" s="12"/>
      <c r="C52" s="10"/>
      <c r="D52" s="10"/>
      <c r="E52" s="7"/>
      <c r="F52" s="7"/>
      <c r="G52" s="10"/>
      <c r="H52" s="10"/>
      <c r="I52" s="10"/>
      <c r="J52" s="10"/>
      <c r="K52" s="10"/>
      <c r="L52" s="10"/>
      <c r="M52" s="10"/>
      <c r="N52" s="3"/>
      <c r="O52" s="2"/>
      <c r="P52" s="2"/>
      <c r="Q52" s="2"/>
      <c r="R52" s="27">
        <v>40527</v>
      </c>
      <c r="S52" s="31">
        <v>2.4999999999999911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 x14ac:dyDescent="0.2">
      <c r="A53" s="2"/>
      <c r="B53" s="12"/>
      <c r="C53" s="10"/>
      <c r="D53" s="10"/>
      <c r="E53" s="7"/>
      <c r="F53" s="7"/>
      <c r="G53" s="10"/>
      <c r="H53" s="10"/>
      <c r="I53" s="10"/>
      <c r="J53" s="10"/>
      <c r="K53" s="10"/>
      <c r="L53" s="10"/>
      <c r="M53" s="10"/>
      <c r="N53" s="3"/>
      <c r="O53" s="2"/>
      <c r="P53" s="2"/>
      <c r="Q53" s="2"/>
      <c r="R53" s="27">
        <v>40617</v>
      </c>
      <c r="S53" s="31">
        <v>2.4999999999999911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 x14ac:dyDescent="0.2">
      <c r="A54" s="2"/>
      <c r="B54" s="12"/>
      <c r="C54" s="10"/>
      <c r="D54" s="10"/>
      <c r="E54" s="7"/>
      <c r="F54" s="7"/>
      <c r="G54" s="10"/>
      <c r="H54" s="10"/>
      <c r="I54" s="10"/>
      <c r="J54" s="10"/>
      <c r="K54" s="10"/>
      <c r="L54" s="10"/>
      <c r="M54" s="10"/>
      <c r="N54" s="3"/>
      <c r="O54" s="2"/>
      <c r="P54" s="2"/>
      <c r="Q54" s="2"/>
      <c r="R54" s="27">
        <v>40709</v>
      </c>
      <c r="S54" s="31">
        <v>2.4999999999999911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 x14ac:dyDescent="0.2">
      <c r="A55" s="2"/>
      <c r="B55" s="12"/>
      <c r="C55" s="10"/>
      <c r="D55" s="10"/>
      <c r="E55" s="7"/>
      <c r="F55" s="7"/>
      <c r="G55" s="10"/>
      <c r="H55" s="10"/>
      <c r="I55" s="10"/>
      <c r="J55" s="10"/>
      <c r="K55" s="10"/>
      <c r="L55" s="10"/>
      <c r="M55" s="10"/>
      <c r="N55" s="3"/>
      <c r="O55" s="2"/>
      <c r="P55" s="2"/>
      <c r="Q55" s="2"/>
      <c r="R55" s="27">
        <v>40801</v>
      </c>
      <c r="S55" s="31">
        <v>2.4999999999999911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 x14ac:dyDescent="0.2">
      <c r="A56" s="2"/>
      <c r="B56" s="12"/>
      <c r="C56" s="10"/>
      <c r="D56" s="10"/>
      <c r="E56" s="7"/>
      <c r="F56" s="7"/>
      <c r="G56" s="10"/>
      <c r="H56" s="10"/>
      <c r="I56" s="10"/>
      <c r="J56" s="10"/>
      <c r="K56" s="10"/>
      <c r="L56" s="10"/>
      <c r="M56" s="10"/>
      <c r="N56" s="3"/>
      <c r="O56" s="2"/>
      <c r="P56" s="2"/>
      <c r="Q56" s="2"/>
      <c r="R56" s="27">
        <v>40892</v>
      </c>
      <c r="S56" s="31">
        <v>2.4999999999999911</v>
      </c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 x14ac:dyDescent="0.2">
      <c r="A57" s="2"/>
      <c r="B57" s="12"/>
      <c r="C57" s="10"/>
      <c r="D57" s="10"/>
      <c r="E57" s="7"/>
      <c r="F57" s="7"/>
      <c r="G57" s="10"/>
      <c r="H57" s="10"/>
      <c r="I57" s="10"/>
      <c r="J57" s="10"/>
      <c r="K57" s="10"/>
      <c r="L57" s="10"/>
      <c r="M57" s="10"/>
      <c r="N57" s="3"/>
      <c r="O57" s="2"/>
      <c r="P57" s="2"/>
      <c r="Q57" s="2"/>
      <c r="R57" s="27">
        <v>40983</v>
      </c>
      <c r="S57" s="31">
        <v>2.4999999999999911</v>
      </c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 x14ac:dyDescent="0.2">
      <c r="A58" s="2"/>
      <c r="B58" s="12"/>
      <c r="C58" s="10"/>
      <c r="D58" s="10"/>
      <c r="E58" s="7"/>
      <c r="F58" s="7"/>
      <c r="G58" s="10"/>
      <c r="H58" s="10"/>
      <c r="I58" s="10"/>
      <c r="J58" s="10"/>
      <c r="K58" s="10"/>
      <c r="L58" s="10"/>
      <c r="M58" s="10"/>
      <c r="N58" s="3"/>
      <c r="O58" s="2"/>
      <c r="P58" s="2"/>
      <c r="Q58" s="2"/>
      <c r="R58" s="27">
        <v>41075</v>
      </c>
      <c r="S58" s="31">
        <v>2.4999999999999911</v>
      </c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x14ac:dyDescent="0.2">
      <c r="A59" s="2"/>
      <c r="B59" s="12"/>
      <c r="C59" s="10"/>
      <c r="D59" s="10"/>
      <c r="E59" s="7"/>
      <c r="F59" s="7"/>
      <c r="G59" s="10"/>
      <c r="H59" s="10"/>
      <c r="I59" s="10"/>
      <c r="J59" s="10"/>
      <c r="K59" s="10"/>
      <c r="L59" s="10"/>
      <c r="M59" s="10"/>
      <c r="N59" s="3"/>
      <c r="O59" s="2"/>
      <c r="P59" s="2"/>
      <c r="Q59" s="2"/>
      <c r="R59" s="27">
        <v>41167</v>
      </c>
      <c r="S59" s="31">
        <v>2.4999999999999911</v>
      </c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 x14ac:dyDescent="0.2">
      <c r="A60" s="2"/>
      <c r="B60" s="12"/>
      <c r="C60" s="10"/>
      <c r="D60" s="10"/>
      <c r="E60" s="7"/>
      <c r="F60" s="7"/>
      <c r="G60" s="10"/>
      <c r="H60" s="10"/>
      <c r="I60" s="10"/>
      <c r="J60" s="10"/>
      <c r="K60" s="10"/>
      <c r="L60" s="10"/>
      <c r="M60" s="10"/>
      <c r="N60" s="3"/>
      <c r="O60" s="2"/>
      <c r="P60" s="2"/>
      <c r="Q60" s="2"/>
      <c r="R60" s="27">
        <v>41258</v>
      </c>
      <c r="S60" s="31">
        <v>2.4999999999999911</v>
      </c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 x14ac:dyDescent="0.2">
      <c r="A61" s="2"/>
      <c r="B61" s="12"/>
      <c r="C61" s="10"/>
      <c r="D61" s="10"/>
      <c r="E61" s="7"/>
      <c r="F61" s="7"/>
      <c r="G61" s="10"/>
      <c r="H61" s="10"/>
      <c r="I61" s="10"/>
      <c r="J61" s="10"/>
      <c r="K61" s="10"/>
      <c r="L61" s="10"/>
      <c r="M61" s="10"/>
      <c r="N61" s="3"/>
      <c r="O61" s="2"/>
      <c r="P61" s="2"/>
      <c r="Q61" s="2"/>
      <c r="R61" s="27">
        <v>41348</v>
      </c>
      <c r="S61" s="31">
        <v>2.4999999999999911</v>
      </c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 x14ac:dyDescent="0.2">
      <c r="A62" s="2"/>
      <c r="B62" s="12"/>
      <c r="C62" s="10"/>
      <c r="D62" s="10"/>
      <c r="E62" s="7"/>
      <c r="F62" s="7"/>
      <c r="G62" s="10"/>
      <c r="H62" s="10"/>
      <c r="I62" s="10"/>
      <c r="J62" s="10"/>
      <c r="K62" s="10"/>
      <c r="L62" s="10"/>
      <c r="M62" s="10"/>
      <c r="N62" s="3"/>
      <c r="O62" s="2"/>
      <c r="P62" s="2"/>
      <c r="Q62" s="2"/>
      <c r="R62" s="27">
        <v>41440</v>
      </c>
      <c r="S62" s="31">
        <v>2.4999999999999911</v>
      </c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 x14ac:dyDescent="0.2">
      <c r="A63" s="2"/>
      <c r="B63" s="12"/>
      <c r="C63" s="10"/>
      <c r="D63" s="10"/>
      <c r="E63" s="7"/>
      <c r="F63" s="7"/>
      <c r="G63" s="10"/>
      <c r="H63" s="10"/>
      <c r="I63" s="10"/>
      <c r="J63" s="10"/>
      <c r="K63" s="10"/>
      <c r="L63" s="10"/>
      <c r="M63" s="10"/>
      <c r="N63" s="3"/>
      <c r="O63" s="2"/>
      <c r="P63" s="2"/>
      <c r="Q63" s="2"/>
      <c r="R63" s="27">
        <v>41532</v>
      </c>
      <c r="S63" s="31">
        <v>2.4999999999999911</v>
      </c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 x14ac:dyDescent="0.2">
      <c r="A64" s="2"/>
      <c r="B64" s="12"/>
      <c r="C64" s="10"/>
      <c r="D64" s="10"/>
      <c r="E64" s="7"/>
      <c r="F64" s="7"/>
      <c r="G64" s="10"/>
      <c r="H64" s="10"/>
      <c r="I64" s="10"/>
      <c r="J64" s="10"/>
      <c r="K64" s="10"/>
      <c r="L64" s="10"/>
      <c r="M64" s="10"/>
      <c r="N64" s="3"/>
      <c r="O64" s="2"/>
      <c r="P64" s="2"/>
      <c r="Q64" s="2"/>
      <c r="R64" s="27">
        <v>41623</v>
      </c>
      <c r="S64" s="31">
        <v>2.4999999999999911</v>
      </c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 x14ac:dyDescent="0.2">
      <c r="A65" s="2"/>
      <c r="B65" s="12"/>
      <c r="C65" s="10"/>
      <c r="D65" s="10"/>
      <c r="E65" s="7"/>
      <c r="F65" s="7"/>
      <c r="G65" s="10"/>
      <c r="H65" s="10"/>
      <c r="I65" s="10"/>
      <c r="J65" s="10"/>
      <c r="K65" s="10"/>
      <c r="L65" s="10"/>
      <c r="M65" s="10"/>
      <c r="N65" s="3"/>
      <c r="O65" s="2"/>
      <c r="P65" s="2"/>
      <c r="Q65" s="2"/>
      <c r="R65" s="27">
        <v>41713</v>
      </c>
      <c r="S65" s="31">
        <v>2.4999999999999911</v>
      </c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 x14ac:dyDescent="0.2">
      <c r="A66" s="2"/>
      <c r="B66" s="12"/>
      <c r="C66" s="10"/>
      <c r="D66" s="10"/>
      <c r="E66" s="7"/>
      <c r="F66" s="7"/>
      <c r="G66" s="10"/>
      <c r="H66" s="10"/>
      <c r="I66" s="10"/>
      <c r="J66" s="10"/>
      <c r="K66" s="10"/>
      <c r="L66" s="10"/>
      <c r="M66" s="10"/>
      <c r="N66" s="3"/>
      <c r="O66" s="2"/>
      <c r="P66" s="2"/>
      <c r="Q66" s="2"/>
      <c r="R66" s="27">
        <v>41805</v>
      </c>
      <c r="S66" s="31">
        <v>2.4999999999999911</v>
      </c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 x14ac:dyDescent="0.2">
      <c r="A67" s="2"/>
      <c r="B67" s="12"/>
      <c r="C67" s="10"/>
      <c r="D67" s="10"/>
      <c r="E67" s="7"/>
      <c r="F67" s="7"/>
      <c r="G67" s="10"/>
      <c r="H67" s="10"/>
      <c r="I67" s="10"/>
      <c r="J67" s="10"/>
      <c r="K67" s="10"/>
      <c r="L67" s="10"/>
      <c r="M67" s="10"/>
      <c r="N67" s="3"/>
      <c r="O67" s="2"/>
      <c r="P67" s="2"/>
      <c r="Q67" s="2"/>
      <c r="R67" s="27">
        <v>41897</v>
      </c>
      <c r="S67" s="31">
        <v>2.4999999999999911</v>
      </c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 x14ac:dyDescent="0.2">
      <c r="A68" s="2"/>
      <c r="B68" s="12"/>
      <c r="C68" s="10"/>
      <c r="D68" s="10"/>
      <c r="E68" s="7"/>
      <c r="F68" s="7"/>
      <c r="G68" s="10"/>
      <c r="H68" s="10"/>
      <c r="I68" s="10"/>
      <c r="J68" s="10"/>
      <c r="K68" s="10"/>
      <c r="L68" s="10"/>
      <c r="M68" s="10"/>
      <c r="N68" s="3"/>
      <c r="O68" s="2"/>
      <c r="P68" s="2"/>
      <c r="Q68" s="2"/>
      <c r="R68" s="27">
        <v>41988</v>
      </c>
      <c r="S68" s="31">
        <v>2.4999999999999911</v>
      </c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 x14ac:dyDescent="0.2">
      <c r="A69" s="2"/>
      <c r="B69" s="12"/>
      <c r="C69" s="10"/>
      <c r="D69" s="10"/>
      <c r="E69" s="7"/>
      <c r="F69" s="7"/>
      <c r="G69" s="10"/>
      <c r="H69" s="10"/>
      <c r="I69" s="10"/>
      <c r="J69" s="10"/>
      <c r="K69" s="10"/>
      <c r="L69" s="10"/>
      <c r="M69" s="10"/>
      <c r="N69" s="3"/>
      <c r="O69" s="2"/>
      <c r="P69" s="2"/>
      <c r="Q69" s="2"/>
      <c r="R69" s="27">
        <v>42078</v>
      </c>
      <c r="S69" s="31">
        <v>2.4999999999999911</v>
      </c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 x14ac:dyDescent="0.2">
      <c r="A70" s="2"/>
      <c r="B70" s="12"/>
      <c r="C70" s="10"/>
      <c r="D70" s="10"/>
      <c r="E70" s="7"/>
      <c r="F70" s="7"/>
      <c r="G70" s="10"/>
      <c r="H70" s="10"/>
      <c r="I70" s="10"/>
      <c r="J70" s="10"/>
      <c r="K70" s="10"/>
      <c r="L70" s="10"/>
      <c r="M70" s="10"/>
      <c r="N70" s="3"/>
      <c r="O70" s="2"/>
      <c r="P70" s="2"/>
      <c r="Q70" s="2"/>
      <c r="R70" s="27">
        <v>42170</v>
      </c>
      <c r="S70" s="31">
        <v>2.4999999999999911</v>
      </c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 x14ac:dyDescent="0.2">
      <c r="A71" s="2"/>
      <c r="B71" s="12"/>
      <c r="C71" s="10"/>
      <c r="D71" s="10"/>
      <c r="E71" s="7"/>
      <c r="F71" s="7"/>
      <c r="G71" s="10"/>
      <c r="H71" s="10"/>
      <c r="I71" s="10"/>
      <c r="J71" s="10"/>
      <c r="K71" s="10"/>
      <c r="L71" s="10"/>
      <c r="M71" s="10"/>
      <c r="N71" s="3"/>
      <c r="O71" s="2"/>
      <c r="P71" s="2"/>
      <c r="Q71" s="2"/>
      <c r="R71" s="27">
        <v>42262</v>
      </c>
      <c r="S71" s="31">
        <v>2.4999999999999911</v>
      </c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 x14ac:dyDescent="0.2">
      <c r="A72" s="2"/>
      <c r="B72" s="12"/>
      <c r="C72" s="10"/>
      <c r="D72" s="10"/>
      <c r="E72" s="7"/>
      <c r="F72" s="7"/>
      <c r="G72" s="10"/>
      <c r="H72" s="10"/>
      <c r="I72" s="10"/>
      <c r="J72" s="10"/>
      <c r="K72" s="10"/>
      <c r="L72" s="10"/>
      <c r="M72" s="10"/>
      <c r="N72" s="3"/>
      <c r="O72" s="2"/>
      <c r="P72" s="2"/>
      <c r="Q72" s="2"/>
      <c r="R72" s="27">
        <v>42353</v>
      </c>
      <c r="S72" s="31">
        <v>2.4999999999999911</v>
      </c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 x14ac:dyDescent="0.2">
      <c r="A73" s="2"/>
      <c r="B73" s="12"/>
      <c r="C73" s="10"/>
      <c r="D73" s="13"/>
      <c r="E73" s="7"/>
      <c r="F73" s="7"/>
      <c r="G73" s="10"/>
      <c r="H73" s="10"/>
      <c r="I73" s="10"/>
      <c r="J73" s="10"/>
      <c r="K73" s="10"/>
      <c r="L73" s="10"/>
      <c r="M73" s="10"/>
      <c r="N73" s="3"/>
      <c r="O73" s="2"/>
      <c r="P73" s="2"/>
      <c r="Q73" s="2"/>
      <c r="R73" s="27">
        <v>42444</v>
      </c>
      <c r="S73" s="31">
        <v>2.4999999999999911</v>
      </c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 x14ac:dyDescent="0.2">
      <c r="A74" s="2"/>
      <c r="B74" s="14"/>
      <c r="C74" s="13"/>
      <c r="D74" s="2"/>
      <c r="E74" s="2"/>
      <c r="F74" s="2"/>
      <c r="G74" s="2"/>
      <c r="H74" s="2"/>
      <c r="I74" s="2"/>
      <c r="J74" s="2"/>
      <c r="K74" s="2"/>
      <c r="L74" s="2"/>
      <c r="M74" s="2"/>
      <c r="N74" s="3"/>
      <c r="O74" s="2"/>
      <c r="P74" s="2"/>
      <c r="Q74" s="2"/>
      <c r="R74" s="27">
        <v>42536</v>
      </c>
      <c r="S74" s="31">
        <v>2.4999999999999911</v>
      </c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3"/>
      <c r="O75" s="2"/>
      <c r="P75" s="2"/>
      <c r="Q75" s="2"/>
      <c r="R75" s="27">
        <v>42628</v>
      </c>
      <c r="S75" s="31">
        <v>2.4999999999999911</v>
      </c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3"/>
      <c r="O76" s="2"/>
      <c r="P76" s="2"/>
      <c r="Q76" s="2"/>
      <c r="R76" s="27">
        <v>42719</v>
      </c>
      <c r="S76" s="31">
        <v>2.4999999999999911</v>
      </c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3"/>
      <c r="O77" s="2"/>
      <c r="P77" s="2"/>
      <c r="Q77" s="2"/>
      <c r="R77" s="27">
        <v>42809</v>
      </c>
      <c r="S77" s="31">
        <v>2.4999999999999911</v>
      </c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3"/>
      <c r="O78" s="2"/>
      <c r="P78" s="2"/>
      <c r="Q78" s="2"/>
      <c r="R78" s="27">
        <v>42901</v>
      </c>
      <c r="S78" s="31">
        <v>2.4999999999999911</v>
      </c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3"/>
      <c r="O79" s="2"/>
      <c r="P79" s="2"/>
      <c r="Q79" s="2"/>
      <c r="R79" s="27">
        <v>42993</v>
      </c>
      <c r="S79" s="31">
        <v>2.4999999999999911</v>
      </c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3"/>
      <c r="O80" s="2"/>
      <c r="P80" s="2"/>
      <c r="Q80" s="2"/>
      <c r="R80" s="27">
        <v>43084</v>
      </c>
      <c r="S80" s="31">
        <v>2.4999999999999911</v>
      </c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3"/>
      <c r="O81" s="2"/>
      <c r="P81" s="2"/>
      <c r="Q81" s="2"/>
      <c r="R81" s="27">
        <v>43174</v>
      </c>
      <c r="S81" s="31">
        <v>2.4999999999999911</v>
      </c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3"/>
      <c r="O82" s="2"/>
      <c r="P82" s="2"/>
      <c r="Q82" s="2"/>
      <c r="R82" s="27">
        <v>43266</v>
      </c>
      <c r="S82" s="31">
        <v>2.4999999999999911</v>
      </c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3"/>
      <c r="O83" s="2"/>
      <c r="P83" s="2"/>
      <c r="Q83" s="2"/>
      <c r="R83" s="27">
        <v>43358</v>
      </c>
      <c r="S83" s="31">
        <v>2.4999999999999911</v>
      </c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3"/>
      <c r="O84" s="2"/>
      <c r="P84" s="2"/>
      <c r="Q84" s="2"/>
      <c r="R84" s="27">
        <v>43449</v>
      </c>
      <c r="S84" s="31">
        <v>2.4999999999999911</v>
      </c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2"/>
      <c r="P85" s="2"/>
      <c r="Q85" s="2"/>
      <c r="R85" s="27">
        <v>43539</v>
      </c>
      <c r="S85" s="31">
        <v>2.4999999999999911</v>
      </c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2"/>
      <c r="P86" s="2"/>
      <c r="Q86" s="2"/>
      <c r="R86" s="27">
        <v>43631</v>
      </c>
      <c r="S86" s="31">
        <v>2.4999999999999911</v>
      </c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2"/>
      <c r="P87" s="2"/>
      <c r="Q87" s="2"/>
      <c r="R87" s="27">
        <v>43723</v>
      </c>
      <c r="S87" s="31">
        <v>2.4999999999999911</v>
      </c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2"/>
      <c r="P88" s="2"/>
      <c r="Q88" s="2"/>
      <c r="R88" s="27">
        <v>43814</v>
      </c>
      <c r="S88" s="31">
        <v>2.4999999999999911</v>
      </c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2"/>
      <c r="P89" s="2"/>
      <c r="Q89" s="2"/>
      <c r="R89" s="27">
        <v>43905</v>
      </c>
      <c r="S89" s="31">
        <v>2.4999999999999911</v>
      </c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2"/>
      <c r="P90" s="2"/>
      <c r="Q90" s="2"/>
      <c r="R90" s="27">
        <v>43997</v>
      </c>
      <c r="S90" s="31">
        <v>2.4999999999999911</v>
      </c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3"/>
      <c r="O91" s="2"/>
      <c r="P91" s="2"/>
      <c r="Q91" s="2"/>
      <c r="R91" s="27">
        <v>44089</v>
      </c>
      <c r="S91" s="31">
        <v>2.4999999999999911</v>
      </c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3"/>
      <c r="O92" s="2"/>
      <c r="P92" s="2"/>
      <c r="Q92" s="2"/>
      <c r="R92" s="27">
        <v>44180</v>
      </c>
      <c r="S92" s="31">
        <v>2.4999999999999911</v>
      </c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3"/>
      <c r="O93" s="2"/>
      <c r="P93" s="2"/>
      <c r="Q93" s="2"/>
      <c r="R93" s="27">
        <v>44270</v>
      </c>
      <c r="S93" s="31">
        <v>2.4999999999999911</v>
      </c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3"/>
      <c r="O94" s="2"/>
      <c r="P94" s="2"/>
      <c r="Q94" s="2"/>
      <c r="R94" s="27">
        <v>44362</v>
      </c>
      <c r="S94" s="31">
        <v>2.4999999999999911</v>
      </c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3"/>
      <c r="O95" s="2"/>
      <c r="P95" s="2"/>
      <c r="Q95" s="2"/>
      <c r="R95" s="27">
        <v>44454</v>
      </c>
      <c r="S95" s="31">
        <v>2.4999999999999911</v>
      </c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3"/>
      <c r="O96" s="2"/>
      <c r="P96" s="2"/>
      <c r="Q96" s="2"/>
      <c r="R96" s="27">
        <v>44545</v>
      </c>
      <c r="S96" s="31">
        <v>2.4999999999999911</v>
      </c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3"/>
      <c r="O97" s="2"/>
      <c r="P97" s="2"/>
      <c r="Q97" s="2"/>
      <c r="R97" s="27">
        <v>44635</v>
      </c>
      <c r="S97" s="31">
        <v>100</v>
      </c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3"/>
      <c r="O98" s="2"/>
      <c r="P98" s="2"/>
      <c r="Q98" s="2"/>
      <c r="R98" s="25"/>
      <c r="S98" s="3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3"/>
      <c r="O99" s="2"/>
      <c r="P99" s="2"/>
      <c r="Q99" s="2"/>
      <c r="R99" s="25"/>
      <c r="S99" s="3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3"/>
      <c r="O100" s="2"/>
      <c r="P100" s="2"/>
      <c r="Q100" s="2"/>
      <c r="R100" s="25"/>
      <c r="S100" s="3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</sheetData>
  <mergeCells count="1">
    <mergeCell ref="O5:P5"/>
  </mergeCells>
  <dataValidations count="9">
    <dataValidation type="decimal" allowBlank="1" showInputMessage="1" showErrorMessage="1" promptTitle="Rate" prompt="Rate in Decimal" sqref="C18 C20 C22:C25 G9:G21 C27 P10:P11 P13:P30">
      <formula1>-9999999</formula1>
      <formula2>99999999</formula2>
    </dataValidation>
    <dataValidation allowBlank="1" showInputMessage="1" showErrorMessage="1" promptTitle="Bond Name" prompt="Bond Name" sqref="C7"/>
    <dataValidation type="list" allowBlank="1" showInputMessage="1" showErrorMessage="1" promptTitle="Month End Flag" prompt="Whether Month End to be included" sqref="C14">
      <formula1>"True,False"</formula1>
    </dataValidation>
    <dataValidation type="whole" allowBlank="1" showInputMessage="1" showErrorMessage="1" promptTitle="Settle Days" prompt="Bond Settlement Days_x000a_" sqref="C15">
      <formula1>0</formula1>
      <formula2>99999999999999</formula2>
    </dataValidation>
    <dataValidation type="decimal" allowBlank="1" showInputMessage="1" showErrorMessage="1" promptTitle="Face Value" prompt="Notional" sqref="C10 C26 F9:F21 I9:I21 L9:L21">
      <formula1>-9999999</formula1>
      <formula2>99999999</formula2>
    </dataValidation>
    <dataValidation type="list" allowBlank="1" showInputMessage="1" showErrorMessage="1" promptTitle="Arrears" prompt="Coupon in Arrears" sqref="C21">
      <formula1>"True,False"</formula1>
    </dataValidation>
    <dataValidation allowBlank="1" showInputMessage="1" showErrorMessage="1" promptTitle="Interest Rate Index" prompt="Index Object Reference" sqref="C19"/>
    <dataValidation type="decimal" allowBlank="1" showInputMessage="1" showErrorMessage="1" promptTitle="Strike" prompt="Strike in Decimal" sqref="P9">
      <formula1>-9999999</formula1>
      <formula2>99999999</formula2>
    </dataValidation>
    <dataValidation type="whole" allowBlank="1" showInputMessage="1" showErrorMessage="1" promptTitle="Strike" prompt="Strike in Decimal" sqref="P12">
      <formula1>-9999999</formula1>
      <formula2>99999999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Default is Linear">
          <x14:formula1>
            <xm:f>Reference!$G$4</xm:f>
          </x14:formula1>
          <xm:sqref>C32</xm:sqref>
        </x14:dataValidation>
        <x14:dataValidation type="list" allowBlank="1" showInputMessage="1" showErrorMessage="1" promptTitle="Compounding Frequency" prompt="Default is Annual">
          <x14:formula1>
            <xm:f>Reference!$F$4:$F$15</xm:f>
          </x14:formula1>
          <xm:sqref>C31</xm:sqref>
        </x14:dataValidation>
        <x14:dataValidation type="list" allowBlank="1" showInputMessage="1" showErrorMessage="1" promptTitle="Compounding Method" prompt="Simple  \( 1+rt \); Compounded  \( (1+r)^t \);_x000a_Continuous \( e^{rt} \); _x000a__x000a_Default is Compounded">
          <x14:formula1>
            <xm:f>Reference!$E$4:$E$8</xm:f>
          </x14:formula1>
          <xm:sqref>C30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C29 C12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C28 C11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C17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</xm:sqref>
        </x14:dataValidation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C16</xm:sqref>
        </x14:dataValidation>
        <x14:dataValidation type="date" allowBlank="1" showInputMessage="1" showErrorMessage="1" promptTitle="Curve Date" prompt="Date from where the yield curve starts_x000a_">
          <x14:formula1>
            <xm:f>Reference!$D$3</xm:f>
          </x14:formula1>
          <x14:formula2>
            <xm:f>Reference!$D$5</xm:f>
          </x14:formula2>
          <xm:sqref>E9:E21 K9:K21 H9:H21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O13:O30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Reference!D1048570</xm:f>
          </x14:formula1>
          <x14:formula2>
            <xm:f>Reference!D1048571</xm:f>
          </x14:formula2>
          <xm:sqref>C8:C9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00"/>
  <sheetViews>
    <sheetView tabSelected="1" topLeftCell="C1" zoomScale="90" zoomScaleNormal="90" workbookViewId="0">
      <selection activeCell="F20" sqref="F20"/>
    </sheetView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3.140625" style="4" customWidth="1"/>
    <col min="5" max="5" width="30.28515625" style="4" bestFit="1" customWidth="1"/>
    <col min="6" max="6" width="24.85546875" style="4" bestFit="1" customWidth="1"/>
    <col min="7" max="7" width="3.140625" style="4" customWidth="1"/>
    <col min="8" max="8" width="4" style="4" customWidth="1"/>
    <col min="9" max="9" width="3.7109375" style="4" customWidth="1"/>
    <col min="10" max="10" width="24.7109375" style="4" customWidth="1"/>
    <col min="11" max="11" width="19.140625" style="4" customWidth="1"/>
    <col min="12" max="12" width="9.140625" style="4"/>
    <col min="13" max="13" width="18.28515625" style="28" bestFit="1" customWidth="1"/>
    <col min="14" max="14" width="20.85546875" style="32" bestFit="1" customWidth="1"/>
    <col min="15" max="15" width="9.140625" style="4"/>
    <col min="16" max="17" width="10.28515625" style="4" bestFit="1" customWidth="1"/>
    <col min="18" max="18" width="9.140625" style="4"/>
    <col min="19" max="19" width="10.42578125" style="4" bestFit="1" customWidth="1"/>
    <col min="20" max="22" width="10.28515625" style="4" bestFit="1" customWidth="1"/>
    <col min="23" max="16384" width="9.140625" style="4"/>
  </cols>
  <sheetData>
    <row r="1" spans="1:37" x14ac:dyDescent="0.2">
      <c r="A1" s="2"/>
      <c r="B1" s="2"/>
      <c r="C1" s="2"/>
      <c r="D1" s="2"/>
      <c r="E1" s="2"/>
      <c r="F1" s="2"/>
      <c r="G1" s="2"/>
      <c r="H1" s="2"/>
      <c r="I1" s="3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37" x14ac:dyDescent="0.2">
      <c r="A2" s="5" t="s">
        <v>172</v>
      </c>
      <c r="B2" s="2"/>
      <c r="C2" s="2"/>
      <c r="D2" s="2"/>
      <c r="E2" s="2"/>
      <c r="F2" s="2"/>
      <c r="G2" s="2"/>
      <c r="H2" s="2"/>
      <c r="I2" s="3"/>
      <c r="J2" s="5" t="s">
        <v>173</v>
      </c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37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37" x14ac:dyDescent="0.2">
      <c r="A4" s="2"/>
      <c r="B4" s="2"/>
      <c r="C4" s="2"/>
      <c r="D4" s="2"/>
      <c r="E4" s="2"/>
      <c r="F4" s="2"/>
      <c r="G4" s="2"/>
      <c r="H4" s="2"/>
      <c r="I4" s="3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37" x14ac:dyDescent="0.2">
      <c r="A5" s="2"/>
      <c r="B5" s="17" t="s">
        <v>174</v>
      </c>
      <c r="C5" s="17" t="str">
        <f>mrigxl_Swap(C8,C9,C10,C11,C12,C13,C14,C15,C16,C17,F11,F12,F13,F14,F15,F16,F17,F18,F19)</f>
        <v>Fixed Float Swap | 5.75%|Libor3M+0.01|0.04|RECIEVE|2022-03-17 00:00:00|100.0|30-360|India|Unadjusted|False|Forward|Semiannual|30-360|India|ModifiedFollowing|False|Forward|Quarterly</v>
      </c>
      <c r="D5" s="2" t="s">
        <v>116</v>
      </c>
      <c r="E5" s="2"/>
      <c r="F5" s="2"/>
      <c r="G5" s="2"/>
      <c r="H5" s="2"/>
      <c r="I5" s="3"/>
      <c r="J5" s="40" t="s">
        <v>146</v>
      </c>
      <c r="K5" s="41"/>
      <c r="L5" s="2"/>
      <c r="M5" s="24" t="str">
        <f>mrigxl_Analytics(C5,J6:K6)</f>
        <v>Heads</v>
      </c>
      <c r="N5" s="24" t="s">
        <v>119</v>
      </c>
      <c r="O5" s="2"/>
      <c r="P5" s="2"/>
      <c r="Q5" s="2" t="str">
        <f>M5</f>
        <v>Heads</v>
      </c>
      <c r="R5" s="2"/>
      <c r="S5" s="2"/>
      <c r="T5" s="2"/>
      <c r="U5" s="2"/>
      <c r="V5" s="2"/>
      <c r="W5" s="2"/>
      <c r="X5" s="2"/>
      <c r="Y5" s="2"/>
      <c r="Z5" s="2"/>
      <c r="AA5" s="2"/>
    </row>
    <row r="6" spans="1:37" x14ac:dyDescent="0.2">
      <c r="A6" s="2"/>
      <c r="B6" s="6"/>
      <c r="C6" s="6"/>
      <c r="D6" s="2"/>
      <c r="E6" s="2"/>
      <c r="F6" s="2"/>
      <c r="G6" s="2"/>
      <c r="H6" s="2"/>
      <c r="I6" s="3"/>
      <c r="J6" s="8" t="s">
        <v>118</v>
      </c>
      <c r="K6" s="23" t="str">
        <f>'Interest Rates Term Structures'!C5</f>
        <v>FFYC|30-360|US|0.04|Compounded|Annual</v>
      </c>
      <c r="L6" s="2"/>
      <c r="M6" s="25" t="s">
        <v>120</v>
      </c>
      <c r="N6" s="31">
        <v>2.6974568217426942</v>
      </c>
      <c r="O6" s="2"/>
      <c r="P6" s="2"/>
      <c r="Q6" s="2" t="str">
        <f>C5</f>
        <v>Fixed Float Swap | 5.75%|Libor3M+0.01|0.04|RECIEVE|2022-03-17 00:00:00|100.0|30-360|India|Unadjusted|False|Forward|Semiannual|30-360|India|ModifiedFollowing|False|Forward|Quarterly</v>
      </c>
      <c r="R6" s="2"/>
      <c r="S6" s="2"/>
      <c r="T6" s="2"/>
      <c r="U6" s="2"/>
      <c r="V6" s="2"/>
      <c r="W6" s="2"/>
      <c r="X6" s="2"/>
      <c r="Y6" s="2"/>
      <c r="Z6" s="2"/>
      <c r="AA6" s="2"/>
    </row>
    <row r="7" spans="1:37" x14ac:dyDescent="0.2">
      <c r="A7" s="2"/>
      <c r="B7" s="42" t="s">
        <v>182</v>
      </c>
      <c r="C7" s="38"/>
      <c r="D7" s="2"/>
      <c r="E7" s="42" t="s">
        <v>183</v>
      </c>
      <c r="F7" s="38"/>
      <c r="G7" s="2"/>
      <c r="H7" s="2"/>
      <c r="I7" s="3"/>
      <c r="J7" s="2"/>
      <c r="K7" s="2"/>
      <c r="L7" s="2"/>
      <c r="M7" s="25" t="s">
        <v>187</v>
      </c>
      <c r="N7" s="31">
        <v>19.847696720964539</v>
      </c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37" x14ac:dyDescent="0.2">
      <c r="A8" s="2"/>
      <c r="B8" s="8" t="s">
        <v>184</v>
      </c>
      <c r="C8" s="39" t="s">
        <v>185</v>
      </c>
      <c r="D8" s="2"/>
      <c r="E8" s="8" t="s">
        <v>184</v>
      </c>
      <c r="F8" s="39" t="str">
        <f>IF($C$8="PAY","RECEIVE","PAY")</f>
        <v>PAY</v>
      </c>
      <c r="G8" s="2"/>
      <c r="H8" s="2"/>
      <c r="I8" s="3"/>
      <c r="J8" s="2"/>
      <c r="K8" s="2"/>
      <c r="L8" s="2"/>
      <c r="M8" s="25" t="s">
        <v>188</v>
      </c>
      <c r="N8" s="31">
        <v>-17.150239899221845</v>
      </c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37" x14ac:dyDescent="0.2">
      <c r="A9" s="2"/>
      <c r="B9" s="8" t="s">
        <v>50</v>
      </c>
      <c r="C9" s="15">
        <v>44637</v>
      </c>
      <c r="D9" s="2"/>
      <c r="E9" s="8" t="s">
        <v>50</v>
      </c>
      <c r="F9" s="15">
        <f>C9</f>
        <v>44637</v>
      </c>
      <c r="G9" s="2"/>
      <c r="H9" s="2"/>
      <c r="I9" s="3"/>
      <c r="J9" s="2"/>
      <c r="K9" s="2"/>
      <c r="L9" s="2"/>
      <c r="M9" s="25" t="s">
        <v>189</v>
      </c>
      <c r="N9" s="31">
        <v>1.777853517713911E-2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37" x14ac:dyDescent="0.2">
      <c r="A10" s="2"/>
      <c r="B10" s="8" t="s">
        <v>62</v>
      </c>
      <c r="C10" s="16">
        <v>100</v>
      </c>
      <c r="D10" s="2"/>
      <c r="E10" s="8" t="s">
        <v>62</v>
      </c>
      <c r="F10" s="16">
        <f>C10</f>
        <v>100</v>
      </c>
      <c r="G10" s="2"/>
      <c r="H10" s="2"/>
      <c r="I10" s="3"/>
      <c r="J10" s="2"/>
      <c r="K10" s="2"/>
      <c r="L10" s="2"/>
      <c r="M10" s="25" t="s">
        <v>190</v>
      </c>
      <c r="N10" s="31">
        <v>4.9685301426619768E-2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37" x14ac:dyDescent="0.2">
      <c r="A11" s="2"/>
      <c r="B11" s="8" t="s">
        <v>3</v>
      </c>
      <c r="C11" s="16" t="s">
        <v>10</v>
      </c>
      <c r="D11" s="2"/>
      <c r="E11" s="8" t="s">
        <v>3</v>
      </c>
      <c r="F11" s="16" t="s">
        <v>10</v>
      </c>
      <c r="G11" s="2"/>
      <c r="H11" s="2"/>
      <c r="I11" s="3"/>
      <c r="J11" s="2"/>
      <c r="K11" s="2"/>
      <c r="L11" s="2"/>
      <c r="M11" s="25" t="s">
        <v>191</v>
      </c>
      <c r="N11" s="31">
        <v>3.4517733427764367E-2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37" x14ac:dyDescent="0.2">
      <c r="A12" s="2"/>
      <c r="B12" s="8" t="s">
        <v>4</v>
      </c>
      <c r="C12" s="16" t="s">
        <v>12</v>
      </c>
      <c r="D12" s="2"/>
      <c r="E12" s="8" t="s">
        <v>4</v>
      </c>
      <c r="F12" s="16" t="s">
        <v>12</v>
      </c>
      <c r="G12" s="2"/>
      <c r="H12" s="2"/>
      <c r="I12" s="3"/>
      <c r="J12" s="2"/>
      <c r="K12" s="2"/>
      <c r="L12" s="2"/>
      <c r="M12" s="25" t="s">
        <v>192</v>
      </c>
      <c r="N12" s="31">
        <v>-3.467821074680541E-2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37" x14ac:dyDescent="0.2">
      <c r="A13" s="2"/>
      <c r="B13" s="8" t="s">
        <v>52</v>
      </c>
      <c r="C13" s="16" t="s">
        <v>85</v>
      </c>
      <c r="D13" s="2"/>
      <c r="E13" s="8" t="s">
        <v>52</v>
      </c>
      <c r="F13" s="16" t="s">
        <v>82</v>
      </c>
      <c r="G13" s="2"/>
      <c r="H13" s="2"/>
      <c r="I13" s="3"/>
      <c r="J13" s="2"/>
      <c r="K13" s="2"/>
      <c r="L13" s="2"/>
      <c r="M13" s="27" t="s">
        <v>165</v>
      </c>
      <c r="N13" s="31" t="s">
        <v>165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37" x14ac:dyDescent="0.2">
      <c r="A14" s="2"/>
      <c r="B14" s="8" t="s">
        <v>60</v>
      </c>
      <c r="C14" s="16" t="b">
        <v>0</v>
      </c>
      <c r="D14" s="2"/>
      <c r="E14" s="8" t="s">
        <v>60</v>
      </c>
      <c r="F14" s="16" t="b">
        <v>0</v>
      </c>
      <c r="G14" s="2"/>
      <c r="H14" s="2"/>
      <c r="I14" s="3"/>
      <c r="J14" s="2"/>
      <c r="K14" s="2"/>
      <c r="L14" s="2"/>
      <c r="M14" s="27" t="s">
        <v>193</v>
      </c>
      <c r="N14" s="31" t="s">
        <v>194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</row>
    <row r="15" spans="1:37" x14ac:dyDescent="0.2">
      <c r="A15" s="2"/>
      <c r="B15" s="8" t="s">
        <v>63</v>
      </c>
      <c r="C15" s="16" t="s">
        <v>89</v>
      </c>
      <c r="D15" s="2"/>
      <c r="E15" s="8" t="s">
        <v>63</v>
      </c>
      <c r="F15" s="16" t="s">
        <v>89</v>
      </c>
      <c r="G15" s="2"/>
      <c r="H15" s="2"/>
      <c r="I15" s="3"/>
      <c r="J15" s="2"/>
      <c r="K15" s="2"/>
      <c r="L15" s="2"/>
      <c r="M15" s="27">
        <v>43452</v>
      </c>
      <c r="N15" s="31">
        <v>2.8750000000000053</v>
      </c>
      <c r="O15" s="2"/>
      <c r="P15" s="2"/>
      <c r="Q15" s="2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5"/>
      <c r="AC15" s="35"/>
      <c r="AD15" s="35"/>
      <c r="AE15" s="35"/>
      <c r="AF15" s="35"/>
      <c r="AG15" s="35"/>
      <c r="AH15" s="35"/>
      <c r="AI15" s="35"/>
      <c r="AJ15" s="35"/>
      <c r="AK15" s="35"/>
    </row>
    <row r="16" spans="1:37" x14ac:dyDescent="0.2">
      <c r="A16" s="2"/>
      <c r="B16" s="8" t="s">
        <v>51</v>
      </c>
      <c r="C16" s="16" t="s">
        <v>97</v>
      </c>
      <c r="D16" s="2"/>
      <c r="E16" s="8" t="s">
        <v>51</v>
      </c>
      <c r="F16" s="16" t="s">
        <v>98</v>
      </c>
      <c r="G16" s="2"/>
      <c r="H16" s="2"/>
      <c r="I16" s="3"/>
      <c r="J16" s="2"/>
      <c r="K16" s="2"/>
      <c r="L16" s="2"/>
      <c r="M16" s="27">
        <v>43634</v>
      </c>
      <c r="N16" s="31">
        <v>2.8750000000000053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x14ac:dyDescent="0.2">
      <c r="A17" s="2"/>
      <c r="B17" s="8" t="s">
        <v>73</v>
      </c>
      <c r="C17" s="36">
        <v>5.7500000000000002E-2</v>
      </c>
      <c r="D17" s="2"/>
      <c r="E17" s="8" t="s">
        <v>74</v>
      </c>
      <c r="F17" s="16" t="str">
        <f>Index!C5</f>
        <v>Index|Libor3M|USD|3M|30-360|India|3</v>
      </c>
      <c r="G17" s="2"/>
      <c r="H17" s="2"/>
      <c r="I17" s="3"/>
      <c r="J17" s="2"/>
      <c r="K17" s="2"/>
      <c r="L17" s="2"/>
      <c r="M17" s="27">
        <v>43817</v>
      </c>
      <c r="N17" s="31">
        <v>2.8750000000000053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x14ac:dyDescent="0.2">
      <c r="A18" s="2"/>
      <c r="B18" s="19"/>
      <c r="C18" s="10"/>
      <c r="D18" s="2"/>
      <c r="E18" s="8" t="s">
        <v>75</v>
      </c>
      <c r="F18" s="16">
        <v>0.01</v>
      </c>
      <c r="G18" s="2"/>
      <c r="H18" s="2"/>
      <c r="I18" s="3"/>
      <c r="J18" s="2"/>
      <c r="K18" s="2"/>
      <c r="L18" s="2"/>
      <c r="M18" s="27">
        <v>44000</v>
      </c>
      <c r="N18" s="31">
        <v>2.8750000000000053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x14ac:dyDescent="0.2">
      <c r="A19" s="2"/>
      <c r="B19" s="10"/>
      <c r="C19" s="10"/>
      <c r="D19" s="2"/>
      <c r="E19" s="8" t="s">
        <v>123</v>
      </c>
      <c r="F19" s="23">
        <v>0.04</v>
      </c>
      <c r="G19" s="2"/>
      <c r="H19" s="2"/>
      <c r="I19" s="3"/>
      <c r="J19" s="2"/>
      <c r="K19" s="2"/>
      <c r="L19" s="2"/>
      <c r="M19" s="27">
        <v>44183</v>
      </c>
      <c r="N19" s="31">
        <v>2.8750000000000053</v>
      </c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x14ac:dyDescent="0.2">
      <c r="A20" s="2"/>
      <c r="B20" s="10"/>
      <c r="C20" s="10"/>
      <c r="D20" s="2"/>
      <c r="E20" s="19"/>
      <c r="F20" s="7"/>
      <c r="G20" s="2"/>
      <c r="H20" s="2"/>
      <c r="I20" s="3"/>
      <c r="J20" s="2"/>
      <c r="K20" s="2"/>
      <c r="L20" s="2"/>
      <c r="M20" s="27">
        <v>44365</v>
      </c>
      <c r="N20" s="31">
        <v>2.8750000000000053</v>
      </c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x14ac:dyDescent="0.2">
      <c r="A21" s="2"/>
      <c r="B21" s="12"/>
      <c r="C21" s="2"/>
      <c r="D21" s="10"/>
      <c r="E21" s="12"/>
      <c r="F21" s="10"/>
      <c r="G21" s="10"/>
      <c r="H21" s="2"/>
      <c r="I21" s="3"/>
      <c r="J21" s="2"/>
      <c r="K21" s="2"/>
      <c r="L21" s="2"/>
      <c r="M21" s="27">
        <v>44550</v>
      </c>
      <c r="N21" s="31">
        <v>2.8750000000000053</v>
      </c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x14ac:dyDescent="0.2">
      <c r="A22" s="2"/>
      <c r="B22" s="12"/>
      <c r="C22" s="2"/>
      <c r="D22" s="10"/>
      <c r="E22" s="43"/>
      <c r="F22" s="10"/>
      <c r="G22" s="10"/>
      <c r="H22" s="2"/>
      <c r="I22" s="3"/>
      <c r="J22" s="2"/>
      <c r="K22" s="2"/>
      <c r="L22" s="2"/>
      <c r="M22" s="27">
        <v>44637</v>
      </c>
      <c r="N22" s="31">
        <v>1.4215277777777757</v>
      </c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x14ac:dyDescent="0.2">
      <c r="A23" s="2"/>
      <c r="B23" s="14"/>
      <c r="C23" s="2"/>
      <c r="D23" s="10"/>
      <c r="E23" s="12"/>
      <c r="F23" s="10"/>
      <c r="G23" s="10"/>
      <c r="H23" s="10"/>
      <c r="I23" s="3"/>
      <c r="J23" s="2"/>
      <c r="K23" s="2"/>
      <c r="L23" s="2"/>
      <c r="M23" s="27" t="s">
        <v>195</v>
      </c>
      <c r="N23" s="31" t="s">
        <v>196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x14ac:dyDescent="0.2">
      <c r="A24" s="2"/>
      <c r="B24" s="2"/>
      <c r="C24" s="2"/>
      <c r="D24" s="10"/>
      <c r="E24" s="12"/>
      <c r="F24" s="10"/>
      <c r="G24" s="10"/>
      <c r="H24" s="10"/>
      <c r="I24" s="3"/>
      <c r="J24" s="2"/>
      <c r="K24" s="2"/>
      <c r="L24" s="2"/>
      <c r="M24" s="27">
        <v>43361</v>
      </c>
      <c r="N24" s="31">
        <v>1.25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x14ac:dyDescent="0.2">
      <c r="A25" s="2"/>
      <c r="B25" s="2"/>
      <c r="C25" s="2"/>
      <c r="D25" s="10"/>
      <c r="E25" s="14"/>
      <c r="F25" s="13"/>
      <c r="G25" s="10"/>
      <c r="H25" s="10"/>
      <c r="I25" s="3"/>
      <c r="J25" s="2"/>
      <c r="K25" s="2"/>
      <c r="L25" s="2"/>
      <c r="M25" s="27">
        <v>43452</v>
      </c>
      <c r="N25" s="31">
        <v>1.2353406548968824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x14ac:dyDescent="0.2">
      <c r="A26" s="2"/>
      <c r="B26" s="2"/>
      <c r="C26" s="2"/>
      <c r="D26" s="10"/>
      <c r="E26" s="2"/>
      <c r="F26" s="2"/>
      <c r="G26" s="10"/>
      <c r="H26" s="10"/>
      <c r="I26" s="3"/>
      <c r="J26" s="2"/>
      <c r="K26" s="2"/>
      <c r="L26" s="2"/>
      <c r="M26" s="27">
        <v>43542</v>
      </c>
      <c r="N26" s="31">
        <v>1.2353406548968822</v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x14ac:dyDescent="0.2">
      <c r="A27" s="2"/>
      <c r="B27" s="14"/>
      <c r="C27" s="2"/>
      <c r="D27" s="10"/>
      <c r="E27" s="12"/>
      <c r="F27" s="10"/>
      <c r="G27" s="10"/>
      <c r="H27" s="10"/>
      <c r="I27" s="3"/>
      <c r="J27" s="2"/>
      <c r="K27" s="2"/>
      <c r="L27" s="2"/>
      <c r="M27" s="27">
        <v>43634</v>
      </c>
      <c r="N27" s="31">
        <v>1.2353406548969046</v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x14ac:dyDescent="0.2">
      <c r="A28" s="2"/>
      <c r="B28" s="14"/>
      <c r="C28" s="2"/>
      <c r="D28" s="10"/>
      <c r="E28" s="12"/>
      <c r="F28" s="10"/>
      <c r="G28" s="10"/>
      <c r="H28" s="10"/>
      <c r="I28" s="3"/>
      <c r="J28" s="2"/>
      <c r="K28" s="2"/>
      <c r="L28" s="2"/>
      <c r="M28" s="27">
        <v>43726</v>
      </c>
      <c r="N28" s="31">
        <v>1.2353406548968822</v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x14ac:dyDescent="0.2">
      <c r="A29" s="2"/>
      <c r="B29" s="14"/>
      <c r="C29" s="2"/>
      <c r="D29" s="10"/>
      <c r="E29" s="12"/>
      <c r="F29" s="10"/>
      <c r="G29" s="10"/>
      <c r="H29" s="10"/>
      <c r="I29" s="3"/>
      <c r="J29" s="2"/>
      <c r="K29" s="2"/>
      <c r="L29" s="2"/>
      <c r="M29" s="27">
        <v>43817</v>
      </c>
      <c r="N29" s="31">
        <v>1.2353406548968824</v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x14ac:dyDescent="0.2">
      <c r="A30" s="2"/>
      <c r="B30" s="14"/>
      <c r="C30" s="2"/>
      <c r="D30" s="10"/>
      <c r="E30" s="12"/>
      <c r="F30" s="10"/>
      <c r="G30" s="10"/>
      <c r="H30" s="10"/>
      <c r="I30" s="3"/>
      <c r="J30" s="2"/>
      <c r="K30" s="2"/>
      <c r="L30" s="2"/>
      <c r="M30" s="27">
        <v>43908</v>
      </c>
      <c r="N30" s="31">
        <v>1.2353406548968602</v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x14ac:dyDescent="0.2">
      <c r="A31" s="2"/>
      <c r="B31" s="14"/>
      <c r="C31" s="2"/>
      <c r="D31" s="10"/>
      <c r="E31" s="12"/>
      <c r="F31" s="10"/>
      <c r="G31" s="10"/>
      <c r="H31" s="10"/>
      <c r="I31" s="3"/>
      <c r="J31" s="2"/>
      <c r="K31" s="2"/>
      <c r="L31" s="2"/>
      <c r="M31" s="27">
        <v>44000</v>
      </c>
      <c r="N31" s="31">
        <v>1.2353406548969046</v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x14ac:dyDescent="0.2">
      <c r="A32" s="2"/>
      <c r="B32" s="14"/>
      <c r="C32" s="2"/>
      <c r="D32" s="10"/>
      <c r="E32" s="12"/>
      <c r="F32" s="10"/>
      <c r="G32" s="10"/>
      <c r="H32" s="10"/>
      <c r="I32" s="3"/>
      <c r="J32" s="2"/>
      <c r="K32" s="2"/>
      <c r="L32" s="2"/>
      <c r="M32" s="27">
        <v>44092</v>
      </c>
      <c r="N32" s="31">
        <v>1.2353406548968822</v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x14ac:dyDescent="0.2">
      <c r="A33" s="2"/>
      <c r="B33" s="14"/>
      <c r="C33" s="2"/>
      <c r="D33" s="10"/>
      <c r="E33" s="12"/>
      <c r="F33" s="10"/>
      <c r="G33" s="10"/>
      <c r="H33" s="10"/>
      <c r="I33" s="3"/>
      <c r="J33" s="2"/>
      <c r="K33" s="2"/>
      <c r="L33" s="2"/>
      <c r="M33" s="27">
        <v>44183</v>
      </c>
      <c r="N33" s="31">
        <v>1.2353406548968824</v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x14ac:dyDescent="0.2">
      <c r="A34" s="2"/>
      <c r="B34" s="14"/>
      <c r="C34" s="2"/>
      <c r="D34" s="10"/>
      <c r="E34" s="12"/>
      <c r="F34" s="10"/>
      <c r="G34" s="10"/>
      <c r="H34" s="10"/>
      <c r="I34" s="3"/>
      <c r="J34" s="2"/>
      <c r="K34" s="2"/>
      <c r="L34" s="2"/>
      <c r="M34" s="27">
        <v>44273</v>
      </c>
      <c r="N34" s="31">
        <v>1.2353406548968602</v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x14ac:dyDescent="0.2">
      <c r="A35" s="2"/>
      <c r="B35" s="14"/>
      <c r="C35" s="2"/>
      <c r="D35" s="10"/>
      <c r="E35" s="12"/>
      <c r="F35" s="10"/>
      <c r="G35" s="10"/>
      <c r="H35" s="10"/>
      <c r="I35" s="3"/>
      <c r="J35" s="2"/>
      <c r="K35" s="2"/>
      <c r="L35" s="2"/>
      <c r="M35" s="27">
        <v>44365</v>
      </c>
      <c r="N35" s="31">
        <v>1.2353406548968822</v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x14ac:dyDescent="0.2">
      <c r="A36" s="2"/>
      <c r="B36" s="14"/>
      <c r="C36" s="2"/>
      <c r="D36" s="10"/>
      <c r="E36" s="12"/>
      <c r="F36" s="10"/>
      <c r="G36" s="10"/>
      <c r="H36" s="10"/>
      <c r="I36" s="3"/>
      <c r="J36" s="2"/>
      <c r="K36" s="2"/>
      <c r="L36" s="2"/>
      <c r="M36" s="27">
        <v>44459</v>
      </c>
      <c r="N36" s="31">
        <v>1.2629025916514625</v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 x14ac:dyDescent="0.2">
      <c r="A37" s="2"/>
      <c r="B37" s="14"/>
      <c r="C37" s="2"/>
      <c r="D37" s="10"/>
      <c r="E37" s="12"/>
      <c r="F37" s="10"/>
      <c r="G37" s="10"/>
      <c r="H37" s="10"/>
      <c r="I37" s="3"/>
      <c r="J37" s="2"/>
      <c r="K37" s="2"/>
      <c r="L37" s="2"/>
      <c r="M37" s="27">
        <v>44550</v>
      </c>
      <c r="N37" s="31">
        <v>1.2353406548968824</v>
      </c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x14ac:dyDescent="0.2">
      <c r="A38" s="2"/>
      <c r="B38" s="14"/>
      <c r="C38" s="2"/>
      <c r="D38" s="10"/>
      <c r="E38" s="12"/>
      <c r="F38" s="10"/>
      <c r="G38" s="10"/>
      <c r="H38" s="10"/>
      <c r="I38" s="3"/>
      <c r="J38" s="2"/>
      <c r="K38" s="2"/>
      <c r="L38" s="2"/>
      <c r="M38" s="27">
        <v>44637</v>
      </c>
      <c r="N38" s="31">
        <v>1.1940067391462847</v>
      </c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 x14ac:dyDescent="0.2">
      <c r="A39" s="2"/>
      <c r="B39" s="14"/>
      <c r="C39" s="2"/>
      <c r="D39" s="10"/>
      <c r="E39" s="12"/>
      <c r="F39" s="10"/>
      <c r="G39" s="10"/>
      <c r="H39" s="10"/>
      <c r="I39" s="3"/>
      <c r="J39" s="2"/>
      <c r="K39" s="2"/>
      <c r="L39" s="2"/>
      <c r="M39" s="27"/>
      <c r="N39" s="31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 x14ac:dyDescent="0.2">
      <c r="A40" s="2"/>
      <c r="B40" s="14"/>
      <c r="C40" s="2"/>
      <c r="D40" s="10"/>
      <c r="E40" s="12"/>
      <c r="F40" s="10"/>
      <c r="G40" s="10"/>
      <c r="H40" s="10"/>
      <c r="I40" s="3"/>
      <c r="J40" s="2"/>
      <c r="K40" s="2"/>
      <c r="L40" s="2"/>
      <c r="M40" s="27"/>
      <c r="N40" s="31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 x14ac:dyDescent="0.2">
      <c r="A41" s="2"/>
      <c r="B41" s="14"/>
      <c r="C41" s="2"/>
      <c r="D41" s="10"/>
      <c r="E41" s="12"/>
      <c r="F41" s="10"/>
      <c r="G41" s="10"/>
      <c r="H41" s="10"/>
      <c r="I41" s="3"/>
      <c r="J41" s="2"/>
      <c r="K41" s="2"/>
      <c r="L41" s="2"/>
      <c r="M41" s="27"/>
      <c r="N41" s="31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 x14ac:dyDescent="0.2">
      <c r="A42" s="2"/>
      <c r="B42" s="14"/>
      <c r="C42" s="2"/>
      <c r="D42" s="10"/>
      <c r="E42" s="12"/>
      <c r="F42" s="10"/>
      <c r="G42" s="10"/>
      <c r="H42" s="10"/>
      <c r="I42" s="3"/>
      <c r="J42" s="2"/>
      <c r="K42" s="2"/>
      <c r="L42" s="2"/>
      <c r="M42" s="27"/>
      <c r="N42" s="31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 x14ac:dyDescent="0.2">
      <c r="A43" s="2"/>
      <c r="B43" s="14"/>
      <c r="C43" s="2"/>
      <c r="D43" s="10"/>
      <c r="E43" s="12"/>
      <c r="F43" s="10"/>
      <c r="G43" s="10"/>
      <c r="H43" s="10"/>
      <c r="I43" s="3"/>
      <c r="J43" s="2"/>
      <c r="K43" s="2"/>
      <c r="L43" s="2"/>
      <c r="M43" s="27"/>
      <c r="N43" s="31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 x14ac:dyDescent="0.2">
      <c r="A44" s="2"/>
      <c r="B44" s="14"/>
      <c r="C44" s="2"/>
      <c r="D44" s="10"/>
      <c r="E44" s="12"/>
      <c r="F44" s="10"/>
      <c r="G44" s="10"/>
      <c r="H44" s="10"/>
      <c r="I44" s="3"/>
      <c r="J44" s="2"/>
      <c r="K44" s="2"/>
      <c r="L44" s="2"/>
      <c r="M44" s="27"/>
      <c r="N44" s="31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 x14ac:dyDescent="0.2">
      <c r="A45" s="2"/>
      <c r="B45" s="14"/>
      <c r="C45" s="2"/>
      <c r="D45" s="10"/>
      <c r="E45" s="12"/>
      <c r="F45" s="10"/>
      <c r="G45" s="10"/>
      <c r="H45" s="10"/>
      <c r="I45" s="3"/>
      <c r="J45" s="2"/>
      <c r="K45" s="2"/>
      <c r="L45" s="2"/>
      <c r="M45" s="27"/>
      <c r="N45" s="31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 x14ac:dyDescent="0.2">
      <c r="A46" s="2"/>
      <c r="B46" s="14"/>
      <c r="C46" s="2"/>
      <c r="D46" s="10"/>
      <c r="E46" s="12"/>
      <c r="F46" s="10"/>
      <c r="G46" s="10"/>
      <c r="H46" s="10"/>
      <c r="I46" s="3"/>
      <c r="J46" s="2"/>
      <c r="K46" s="2"/>
      <c r="L46" s="2"/>
      <c r="M46" s="27"/>
      <c r="N46" s="31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 x14ac:dyDescent="0.2">
      <c r="A47" s="2"/>
      <c r="B47" s="14"/>
      <c r="C47" s="2"/>
      <c r="D47" s="10"/>
      <c r="E47" s="12"/>
      <c r="F47" s="10"/>
      <c r="G47" s="10"/>
      <c r="H47" s="10"/>
      <c r="I47" s="3"/>
      <c r="J47" s="2"/>
      <c r="K47" s="2"/>
      <c r="L47" s="2"/>
      <c r="M47" s="27"/>
      <c r="N47" s="31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 x14ac:dyDescent="0.2">
      <c r="A48" s="2"/>
      <c r="B48" s="14"/>
      <c r="C48" s="2"/>
      <c r="D48" s="10"/>
      <c r="E48" s="12"/>
      <c r="F48" s="10"/>
      <c r="G48" s="10"/>
      <c r="H48" s="10"/>
      <c r="I48" s="3"/>
      <c r="J48" s="2"/>
      <c r="K48" s="2"/>
      <c r="L48" s="2"/>
      <c r="M48" s="27"/>
      <c r="N48" s="31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 x14ac:dyDescent="0.2">
      <c r="A49" s="2"/>
      <c r="B49" s="14"/>
      <c r="C49" s="2"/>
      <c r="D49" s="10"/>
      <c r="E49" s="12"/>
      <c r="F49" s="10"/>
      <c r="G49" s="10"/>
      <c r="H49" s="10"/>
      <c r="I49" s="3"/>
      <c r="J49" s="2"/>
      <c r="K49" s="2"/>
      <c r="L49" s="2"/>
      <c r="M49" s="27"/>
      <c r="N49" s="31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 x14ac:dyDescent="0.2">
      <c r="A50" s="2"/>
      <c r="B50" s="14"/>
      <c r="C50" s="2"/>
      <c r="D50" s="10"/>
      <c r="E50" s="12"/>
      <c r="F50" s="10"/>
      <c r="G50" s="10"/>
      <c r="H50" s="10"/>
      <c r="I50" s="3"/>
      <c r="J50" s="2"/>
      <c r="K50" s="2"/>
      <c r="L50" s="2"/>
      <c r="M50" s="27"/>
      <c r="N50" s="31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 x14ac:dyDescent="0.2">
      <c r="A51" s="2"/>
      <c r="B51" s="14"/>
      <c r="C51" s="2"/>
      <c r="D51" s="10"/>
      <c r="E51" s="12"/>
      <c r="F51" s="10"/>
      <c r="G51" s="10"/>
      <c r="H51" s="10"/>
      <c r="I51" s="3"/>
      <c r="J51" s="2"/>
      <c r="K51" s="2"/>
      <c r="L51" s="2"/>
      <c r="M51" s="27"/>
      <c r="N51" s="31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 x14ac:dyDescent="0.2">
      <c r="A52" s="2"/>
      <c r="B52" s="14"/>
      <c r="C52" s="2"/>
      <c r="D52" s="10"/>
      <c r="E52" s="12"/>
      <c r="F52" s="10"/>
      <c r="G52" s="10"/>
      <c r="H52" s="10"/>
      <c r="I52" s="3"/>
      <c r="J52" s="2"/>
      <c r="K52" s="2"/>
      <c r="L52" s="2"/>
      <c r="M52" s="27"/>
      <c r="N52" s="31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 x14ac:dyDescent="0.2">
      <c r="A53" s="2"/>
      <c r="B53" s="14"/>
      <c r="C53" s="2"/>
      <c r="D53" s="10"/>
      <c r="E53" s="12"/>
      <c r="F53" s="10"/>
      <c r="G53" s="10"/>
      <c r="H53" s="10"/>
      <c r="I53" s="3"/>
      <c r="J53" s="2"/>
      <c r="K53" s="2"/>
      <c r="L53" s="2"/>
      <c r="M53" s="27"/>
      <c r="N53" s="31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 x14ac:dyDescent="0.2">
      <c r="A54" s="2"/>
      <c r="B54" s="14"/>
      <c r="C54" s="2"/>
      <c r="D54" s="10"/>
      <c r="E54" s="12"/>
      <c r="F54" s="10"/>
      <c r="G54" s="10"/>
      <c r="H54" s="10"/>
      <c r="I54" s="3"/>
      <c r="J54" s="2"/>
      <c r="K54" s="2"/>
      <c r="L54" s="2"/>
      <c r="M54" s="27"/>
      <c r="N54" s="31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 x14ac:dyDescent="0.2">
      <c r="A55" s="2"/>
      <c r="B55" s="14"/>
      <c r="C55" s="2"/>
      <c r="D55" s="10"/>
      <c r="E55" s="12"/>
      <c r="F55" s="10"/>
      <c r="G55" s="10"/>
      <c r="H55" s="10"/>
      <c r="I55" s="3"/>
      <c r="J55" s="2"/>
      <c r="K55" s="2"/>
      <c r="L55" s="2"/>
      <c r="M55" s="27"/>
      <c r="N55" s="31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 x14ac:dyDescent="0.2">
      <c r="A56" s="2"/>
      <c r="B56" s="14"/>
      <c r="C56" s="2"/>
      <c r="D56" s="10"/>
      <c r="E56" s="12"/>
      <c r="F56" s="10"/>
      <c r="G56" s="10"/>
      <c r="H56" s="10"/>
      <c r="I56" s="3"/>
      <c r="J56" s="2"/>
      <c r="K56" s="2"/>
      <c r="L56" s="2"/>
      <c r="M56" s="27"/>
      <c r="N56" s="31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 x14ac:dyDescent="0.2">
      <c r="A57" s="2"/>
      <c r="B57" s="14"/>
      <c r="C57" s="2"/>
      <c r="D57" s="10"/>
      <c r="E57" s="12"/>
      <c r="F57" s="10"/>
      <c r="G57" s="10"/>
      <c r="H57" s="10"/>
      <c r="I57" s="3"/>
      <c r="J57" s="2"/>
      <c r="K57" s="2"/>
      <c r="L57" s="2"/>
      <c r="M57" s="27"/>
      <c r="N57" s="31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 x14ac:dyDescent="0.2">
      <c r="A58" s="2"/>
      <c r="B58" s="14"/>
      <c r="C58" s="2"/>
      <c r="D58" s="10"/>
      <c r="E58" s="12"/>
      <c r="F58" s="10"/>
      <c r="G58" s="10"/>
      <c r="H58" s="10"/>
      <c r="I58" s="3"/>
      <c r="J58" s="2"/>
      <c r="K58" s="2"/>
      <c r="L58" s="2"/>
      <c r="M58" s="27"/>
      <c r="N58" s="31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 x14ac:dyDescent="0.2">
      <c r="A59" s="2"/>
      <c r="B59" s="14"/>
      <c r="C59" s="2"/>
      <c r="D59" s="10"/>
      <c r="E59" s="12"/>
      <c r="F59" s="10"/>
      <c r="G59" s="10"/>
      <c r="H59" s="10"/>
      <c r="I59" s="3"/>
      <c r="J59" s="2"/>
      <c r="K59" s="2"/>
      <c r="L59" s="2"/>
      <c r="M59" s="27"/>
      <c r="N59" s="31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 x14ac:dyDescent="0.2">
      <c r="A60" s="2"/>
      <c r="B60" s="14"/>
      <c r="C60" s="2"/>
      <c r="D60" s="10"/>
      <c r="E60" s="12"/>
      <c r="F60" s="10"/>
      <c r="G60" s="10"/>
      <c r="H60" s="10"/>
      <c r="I60" s="3"/>
      <c r="J60" s="2"/>
      <c r="K60" s="2"/>
      <c r="L60" s="2"/>
      <c r="M60" s="27"/>
      <c r="N60" s="31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 x14ac:dyDescent="0.2">
      <c r="A61" s="2"/>
      <c r="B61" s="14"/>
      <c r="C61" s="2"/>
      <c r="D61" s="10"/>
      <c r="E61" s="12"/>
      <c r="F61" s="10"/>
      <c r="G61" s="10"/>
      <c r="H61" s="10"/>
      <c r="I61" s="3"/>
      <c r="J61" s="2"/>
      <c r="K61" s="2"/>
      <c r="L61" s="2"/>
      <c r="M61" s="27"/>
      <c r="N61" s="31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 x14ac:dyDescent="0.2">
      <c r="A62" s="2"/>
      <c r="B62" s="14"/>
      <c r="C62" s="2"/>
      <c r="D62" s="10"/>
      <c r="E62" s="12"/>
      <c r="F62" s="10"/>
      <c r="G62" s="10"/>
      <c r="H62" s="10"/>
      <c r="I62" s="3"/>
      <c r="J62" s="2"/>
      <c r="K62" s="2"/>
      <c r="L62" s="2"/>
      <c r="M62" s="27"/>
      <c r="N62" s="31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 x14ac:dyDescent="0.2">
      <c r="A63" s="2"/>
      <c r="B63" s="14"/>
      <c r="C63" s="2"/>
      <c r="D63" s="10"/>
      <c r="E63" s="12"/>
      <c r="F63" s="10"/>
      <c r="G63" s="10"/>
      <c r="H63" s="10"/>
      <c r="I63" s="3"/>
      <c r="J63" s="2"/>
      <c r="K63" s="2"/>
      <c r="L63" s="2"/>
      <c r="M63" s="27"/>
      <c r="N63" s="31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 x14ac:dyDescent="0.2">
      <c r="A64" s="2"/>
      <c r="B64" s="14"/>
      <c r="C64" s="2"/>
      <c r="D64" s="10"/>
      <c r="E64" s="12"/>
      <c r="F64" s="10"/>
      <c r="G64" s="10"/>
      <c r="H64" s="10"/>
      <c r="I64" s="3"/>
      <c r="J64" s="2"/>
      <c r="K64" s="2"/>
      <c r="L64" s="2"/>
      <c r="M64" s="27"/>
      <c r="N64" s="31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 x14ac:dyDescent="0.2">
      <c r="A65" s="2"/>
      <c r="B65" s="14"/>
      <c r="C65" s="2"/>
      <c r="D65" s="10"/>
      <c r="E65" s="12"/>
      <c r="F65" s="10"/>
      <c r="G65" s="10"/>
      <c r="H65" s="10"/>
      <c r="I65" s="3"/>
      <c r="J65" s="2"/>
      <c r="K65" s="2"/>
      <c r="L65" s="2"/>
      <c r="M65" s="27"/>
      <c r="N65" s="31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 x14ac:dyDescent="0.2">
      <c r="A66" s="2"/>
      <c r="B66" s="14"/>
      <c r="C66" s="2"/>
      <c r="D66" s="10"/>
      <c r="E66" s="12"/>
      <c r="F66" s="10"/>
      <c r="G66" s="10"/>
      <c r="H66" s="10"/>
      <c r="I66" s="3"/>
      <c r="J66" s="2"/>
      <c r="K66" s="2"/>
      <c r="L66" s="2"/>
      <c r="M66" s="27"/>
      <c r="N66" s="31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 x14ac:dyDescent="0.2">
      <c r="A67" s="2"/>
      <c r="B67" s="14"/>
      <c r="C67" s="2"/>
      <c r="D67" s="10"/>
      <c r="E67" s="12"/>
      <c r="F67" s="10"/>
      <c r="G67" s="10"/>
      <c r="H67" s="10"/>
      <c r="I67" s="3"/>
      <c r="J67" s="2"/>
      <c r="K67" s="2"/>
      <c r="L67" s="2"/>
      <c r="M67" s="27"/>
      <c r="N67" s="31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  <row r="68" spans="1:27" x14ac:dyDescent="0.2">
      <c r="A68" s="2"/>
      <c r="B68" s="14"/>
      <c r="C68" s="2"/>
      <c r="D68" s="10"/>
      <c r="E68" s="12"/>
      <c r="F68" s="10"/>
      <c r="G68" s="10"/>
      <c r="H68" s="10"/>
      <c r="I68" s="3"/>
      <c r="J68" s="2"/>
      <c r="K68" s="2"/>
      <c r="L68" s="2"/>
      <c r="M68" s="27"/>
      <c r="N68" s="31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</row>
    <row r="69" spans="1:27" x14ac:dyDescent="0.2">
      <c r="A69" s="2"/>
      <c r="B69" s="14"/>
      <c r="C69" s="2"/>
      <c r="D69" s="10"/>
      <c r="E69" s="12"/>
      <c r="F69" s="10"/>
      <c r="G69" s="10"/>
      <c r="H69" s="10"/>
      <c r="I69" s="3"/>
      <c r="J69" s="2"/>
      <c r="K69" s="2"/>
      <c r="L69" s="2"/>
      <c r="M69" s="27"/>
      <c r="N69" s="31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</row>
    <row r="70" spans="1:27" x14ac:dyDescent="0.2">
      <c r="A70" s="2"/>
      <c r="B70" s="14"/>
      <c r="C70" s="2"/>
      <c r="D70" s="10"/>
      <c r="E70" s="12"/>
      <c r="F70" s="10"/>
      <c r="G70" s="10"/>
      <c r="H70" s="10"/>
      <c r="I70" s="3"/>
      <c r="J70" s="2"/>
      <c r="K70" s="2"/>
      <c r="L70" s="2"/>
      <c r="M70" s="27"/>
      <c r="N70" s="31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</row>
    <row r="71" spans="1:27" x14ac:dyDescent="0.2">
      <c r="A71" s="2"/>
      <c r="B71" s="14"/>
      <c r="C71" s="2"/>
      <c r="D71" s="10"/>
      <c r="E71" s="12"/>
      <c r="F71" s="10"/>
      <c r="G71" s="10"/>
      <c r="H71" s="10"/>
      <c r="I71" s="3"/>
      <c r="J71" s="2"/>
      <c r="K71" s="2"/>
      <c r="L71" s="2"/>
      <c r="M71" s="27"/>
      <c r="N71" s="31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</row>
    <row r="72" spans="1:27" x14ac:dyDescent="0.2">
      <c r="A72" s="2"/>
      <c r="B72" s="14"/>
      <c r="C72" s="2"/>
      <c r="D72" s="10"/>
      <c r="E72" s="12"/>
      <c r="F72" s="10"/>
      <c r="G72" s="10"/>
      <c r="H72" s="10"/>
      <c r="I72" s="3"/>
      <c r="J72" s="2"/>
      <c r="K72" s="2"/>
      <c r="L72" s="2"/>
      <c r="M72" s="27"/>
      <c r="N72" s="31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</row>
    <row r="73" spans="1:27" x14ac:dyDescent="0.2">
      <c r="A73" s="2"/>
      <c r="B73" s="14"/>
      <c r="C73" s="2"/>
      <c r="D73" s="10"/>
      <c r="E73" s="12"/>
      <c r="F73" s="10"/>
      <c r="G73" s="10"/>
      <c r="H73" s="10"/>
      <c r="I73" s="3"/>
      <c r="J73" s="2"/>
      <c r="K73" s="2"/>
      <c r="L73" s="2"/>
      <c r="M73" s="27"/>
      <c r="N73" s="31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</row>
    <row r="74" spans="1:27" x14ac:dyDescent="0.2">
      <c r="A74" s="2"/>
      <c r="B74" s="14"/>
      <c r="C74" s="2"/>
      <c r="D74" s="10"/>
      <c r="E74" s="12"/>
      <c r="F74" s="10"/>
      <c r="G74" s="10"/>
      <c r="H74" s="10"/>
      <c r="I74" s="3"/>
      <c r="J74" s="2"/>
      <c r="K74" s="2"/>
      <c r="L74" s="2"/>
      <c r="M74" s="27"/>
      <c r="N74" s="31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</row>
    <row r="75" spans="1:27" x14ac:dyDescent="0.2">
      <c r="A75" s="2"/>
      <c r="B75" s="14"/>
      <c r="C75" s="2"/>
      <c r="D75" s="10"/>
      <c r="E75" s="12"/>
      <c r="F75" s="10"/>
      <c r="G75" s="10"/>
      <c r="H75" s="10"/>
      <c r="I75" s="3"/>
      <c r="J75" s="2"/>
      <c r="K75" s="2"/>
      <c r="L75" s="2"/>
      <c r="M75" s="27"/>
      <c r="N75" s="31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</row>
    <row r="76" spans="1:27" x14ac:dyDescent="0.2">
      <c r="A76" s="2"/>
      <c r="B76" s="14"/>
      <c r="C76" s="2"/>
      <c r="D76" s="10"/>
      <c r="E76" s="12"/>
      <c r="F76" s="10"/>
      <c r="G76" s="10"/>
      <c r="H76" s="10"/>
      <c r="I76" s="3"/>
      <c r="J76" s="2"/>
      <c r="K76" s="2"/>
      <c r="L76" s="2"/>
      <c r="M76" s="27"/>
      <c r="N76" s="31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</row>
    <row r="77" spans="1:27" x14ac:dyDescent="0.2">
      <c r="A77" s="2"/>
      <c r="B77" s="14"/>
      <c r="C77" s="2"/>
      <c r="D77" s="10"/>
      <c r="E77" s="12"/>
      <c r="F77" s="10"/>
      <c r="G77" s="10"/>
      <c r="H77" s="10"/>
      <c r="I77" s="3"/>
      <c r="J77" s="2"/>
      <c r="K77" s="2"/>
      <c r="L77" s="2"/>
      <c r="M77" s="27"/>
      <c r="N77" s="31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</row>
    <row r="78" spans="1:27" x14ac:dyDescent="0.2">
      <c r="A78" s="2"/>
      <c r="B78" s="14"/>
      <c r="C78" s="2"/>
      <c r="D78" s="10"/>
      <c r="E78" s="12"/>
      <c r="F78" s="10"/>
      <c r="G78" s="10"/>
      <c r="H78" s="10"/>
      <c r="I78" s="3"/>
      <c r="J78" s="2"/>
      <c r="K78" s="2"/>
      <c r="L78" s="2"/>
      <c r="M78" s="27"/>
      <c r="N78" s="31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</row>
    <row r="79" spans="1:27" x14ac:dyDescent="0.2">
      <c r="A79" s="2"/>
      <c r="B79" s="14"/>
      <c r="C79" s="2"/>
      <c r="D79" s="10"/>
      <c r="E79" s="12"/>
      <c r="F79" s="10"/>
      <c r="G79" s="10"/>
      <c r="H79" s="10"/>
      <c r="I79" s="3"/>
      <c r="J79" s="2"/>
      <c r="K79" s="2"/>
      <c r="L79" s="2"/>
      <c r="M79" s="27"/>
      <c r="N79" s="31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</row>
    <row r="80" spans="1:27" x14ac:dyDescent="0.2">
      <c r="A80" s="2"/>
      <c r="B80" s="14"/>
      <c r="C80" s="2"/>
      <c r="D80" s="10"/>
      <c r="E80" s="12"/>
      <c r="F80" s="10"/>
      <c r="G80" s="10"/>
      <c r="H80" s="10"/>
      <c r="I80" s="3"/>
      <c r="J80" s="2"/>
      <c r="K80" s="2"/>
      <c r="L80" s="2"/>
      <c r="M80" s="27"/>
      <c r="N80" s="31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</row>
    <row r="81" spans="1:27" x14ac:dyDescent="0.2">
      <c r="A81" s="2"/>
      <c r="B81" s="14"/>
      <c r="C81" s="2"/>
      <c r="D81" s="10"/>
      <c r="E81" s="12"/>
      <c r="F81" s="10"/>
      <c r="G81" s="10"/>
      <c r="H81" s="10"/>
      <c r="I81" s="3"/>
      <c r="J81" s="2"/>
      <c r="K81" s="2"/>
      <c r="L81" s="2"/>
      <c r="M81" s="27"/>
      <c r="N81" s="31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</row>
    <row r="82" spans="1:27" x14ac:dyDescent="0.2">
      <c r="A82" s="2"/>
      <c r="B82" s="14"/>
      <c r="C82" s="2"/>
      <c r="D82" s="10"/>
      <c r="E82" s="12"/>
      <c r="F82" s="10"/>
      <c r="G82" s="10"/>
      <c r="H82" s="10"/>
      <c r="I82" s="3"/>
      <c r="J82" s="2"/>
      <c r="K82" s="2"/>
      <c r="L82" s="2"/>
      <c r="M82" s="27"/>
      <c r="N82" s="31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</row>
    <row r="83" spans="1:27" x14ac:dyDescent="0.2">
      <c r="A83" s="2"/>
      <c r="B83" s="14"/>
      <c r="C83" s="2"/>
      <c r="D83" s="10"/>
      <c r="E83" s="12"/>
      <c r="F83" s="10"/>
      <c r="G83" s="10"/>
      <c r="H83" s="10"/>
      <c r="I83" s="3"/>
      <c r="J83" s="2"/>
      <c r="K83" s="2"/>
      <c r="L83" s="2"/>
      <c r="M83" s="27"/>
      <c r="N83" s="31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</row>
    <row r="84" spans="1:27" x14ac:dyDescent="0.2">
      <c r="A84" s="2"/>
      <c r="B84" s="14"/>
      <c r="C84" s="2"/>
      <c r="D84" s="10"/>
      <c r="E84" s="12"/>
      <c r="F84" s="10"/>
      <c r="G84" s="10"/>
      <c r="H84" s="10"/>
      <c r="I84" s="3"/>
      <c r="J84" s="2"/>
      <c r="K84" s="2"/>
      <c r="L84" s="2"/>
      <c r="M84" s="27"/>
      <c r="N84" s="31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</row>
    <row r="85" spans="1:27" x14ac:dyDescent="0.2">
      <c r="A85" s="2"/>
      <c r="B85" s="14"/>
      <c r="C85" s="2"/>
      <c r="D85" s="10"/>
      <c r="E85" s="12"/>
      <c r="F85" s="10"/>
      <c r="G85" s="10"/>
      <c r="H85" s="10"/>
      <c r="I85" s="3"/>
      <c r="J85" s="2"/>
      <c r="K85" s="2"/>
      <c r="L85" s="2"/>
      <c r="M85" s="27"/>
      <c r="N85" s="31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</row>
    <row r="86" spans="1:27" x14ac:dyDescent="0.2">
      <c r="A86" s="2"/>
      <c r="B86" s="14"/>
      <c r="C86" s="2"/>
      <c r="D86" s="10"/>
      <c r="E86" s="12"/>
      <c r="F86" s="10"/>
      <c r="G86" s="10"/>
      <c r="H86" s="10"/>
      <c r="I86" s="3"/>
      <c r="J86" s="2"/>
      <c r="K86" s="2"/>
      <c r="L86" s="2"/>
      <c r="M86" s="27"/>
      <c r="N86" s="31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</row>
    <row r="87" spans="1:27" x14ac:dyDescent="0.2">
      <c r="A87" s="2"/>
      <c r="B87" s="14"/>
      <c r="C87" s="2"/>
      <c r="D87" s="10"/>
      <c r="E87" s="12"/>
      <c r="F87" s="10"/>
      <c r="G87" s="10"/>
      <c r="H87" s="10"/>
      <c r="I87" s="3"/>
      <c r="J87" s="2"/>
      <c r="K87" s="2"/>
      <c r="L87" s="2"/>
      <c r="M87" s="27"/>
      <c r="N87" s="31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</row>
    <row r="88" spans="1:27" x14ac:dyDescent="0.2">
      <c r="A88" s="2"/>
      <c r="B88" s="14"/>
      <c r="C88" s="2"/>
      <c r="D88" s="10"/>
      <c r="E88" s="12"/>
      <c r="F88" s="10"/>
      <c r="G88" s="10"/>
      <c r="H88" s="10"/>
      <c r="I88" s="3"/>
      <c r="J88" s="2"/>
      <c r="K88" s="2"/>
      <c r="L88" s="2"/>
      <c r="M88" s="27"/>
      <c r="N88" s="31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</row>
    <row r="89" spans="1:27" x14ac:dyDescent="0.2">
      <c r="A89" s="2"/>
      <c r="B89" s="14"/>
      <c r="C89" s="2"/>
      <c r="D89" s="10"/>
      <c r="E89" s="12"/>
      <c r="F89" s="10"/>
      <c r="G89" s="10"/>
      <c r="H89" s="10"/>
      <c r="I89" s="3"/>
      <c r="J89" s="2"/>
      <c r="K89" s="2"/>
      <c r="L89" s="2"/>
      <c r="M89" s="27"/>
      <c r="N89" s="31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</row>
    <row r="90" spans="1:27" x14ac:dyDescent="0.2">
      <c r="A90" s="2"/>
      <c r="B90" s="14"/>
      <c r="C90" s="2"/>
      <c r="D90" s="10"/>
      <c r="E90" s="12"/>
      <c r="F90" s="10"/>
      <c r="G90" s="10"/>
      <c r="H90" s="10"/>
      <c r="I90" s="3"/>
      <c r="J90" s="2"/>
      <c r="K90" s="2"/>
      <c r="L90" s="2"/>
      <c r="M90" s="27"/>
      <c r="N90" s="31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</row>
    <row r="91" spans="1:27" x14ac:dyDescent="0.2">
      <c r="A91" s="2"/>
      <c r="B91" s="14"/>
      <c r="C91" s="2"/>
      <c r="D91" s="10"/>
      <c r="E91" s="12"/>
      <c r="F91" s="10"/>
      <c r="G91" s="10"/>
      <c r="H91" s="10"/>
      <c r="I91" s="3"/>
      <c r="J91" s="2"/>
      <c r="K91" s="2"/>
      <c r="L91" s="2"/>
      <c r="M91" s="27"/>
      <c r="N91" s="31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</row>
    <row r="92" spans="1:27" x14ac:dyDescent="0.2">
      <c r="A92" s="2"/>
      <c r="B92" s="14"/>
      <c r="C92" s="2"/>
      <c r="D92" s="10"/>
      <c r="E92" s="12"/>
      <c r="F92" s="10"/>
      <c r="G92" s="10"/>
      <c r="H92" s="10"/>
      <c r="I92" s="3"/>
      <c r="J92" s="2"/>
      <c r="K92" s="2"/>
      <c r="L92" s="2"/>
      <c r="M92" s="27"/>
      <c r="N92" s="31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</row>
    <row r="93" spans="1:27" x14ac:dyDescent="0.2">
      <c r="A93" s="2"/>
      <c r="B93" s="14"/>
      <c r="C93" s="2"/>
      <c r="D93" s="10"/>
      <c r="E93" s="12"/>
      <c r="F93" s="10"/>
      <c r="G93" s="10"/>
      <c r="H93" s="10"/>
      <c r="I93" s="3"/>
      <c r="J93" s="2"/>
      <c r="K93" s="2"/>
      <c r="L93" s="2"/>
      <c r="M93" s="27"/>
      <c r="N93" s="31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</row>
    <row r="94" spans="1:27" x14ac:dyDescent="0.2">
      <c r="A94" s="2"/>
      <c r="B94" s="14"/>
      <c r="C94" s="2"/>
      <c r="D94" s="10"/>
      <c r="E94" s="12"/>
      <c r="F94" s="10"/>
      <c r="G94" s="10"/>
      <c r="H94" s="10"/>
      <c r="I94" s="3"/>
      <c r="J94" s="2"/>
      <c r="K94" s="2"/>
      <c r="L94" s="2"/>
      <c r="M94" s="27"/>
      <c r="N94" s="31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</row>
    <row r="95" spans="1:27" x14ac:dyDescent="0.2">
      <c r="A95" s="2"/>
      <c r="B95" s="14"/>
      <c r="C95" s="2"/>
      <c r="D95" s="10"/>
      <c r="E95" s="12"/>
      <c r="F95" s="10"/>
      <c r="G95" s="10"/>
      <c r="H95" s="10"/>
      <c r="I95" s="3"/>
      <c r="J95" s="2"/>
      <c r="K95" s="2"/>
      <c r="L95" s="2"/>
      <c r="M95" s="27"/>
      <c r="N95" s="31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</row>
    <row r="96" spans="1:27" x14ac:dyDescent="0.2">
      <c r="A96" s="2"/>
      <c r="B96" s="14"/>
      <c r="C96" s="2"/>
      <c r="D96" s="10"/>
      <c r="E96" s="12"/>
      <c r="F96" s="10"/>
      <c r="G96" s="10"/>
      <c r="H96" s="10"/>
      <c r="I96" s="3"/>
      <c r="J96" s="2"/>
      <c r="K96" s="2"/>
      <c r="L96" s="2"/>
      <c r="M96" s="27"/>
      <c r="N96" s="31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</row>
    <row r="97" spans="1:27" x14ac:dyDescent="0.2">
      <c r="A97" s="2"/>
      <c r="B97" s="14"/>
      <c r="C97" s="2"/>
      <c r="D97" s="10"/>
      <c r="E97" s="12"/>
      <c r="F97" s="10"/>
      <c r="G97" s="10"/>
      <c r="H97" s="10"/>
      <c r="I97" s="3"/>
      <c r="J97" s="2"/>
      <c r="K97" s="2"/>
      <c r="L97" s="2"/>
      <c r="M97" s="27"/>
      <c r="N97" s="31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</row>
    <row r="98" spans="1:27" x14ac:dyDescent="0.2">
      <c r="A98" s="2"/>
      <c r="B98" s="14"/>
      <c r="C98" s="2"/>
      <c r="D98" s="10"/>
      <c r="E98" s="12"/>
      <c r="F98" s="10"/>
      <c r="G98" s="10"/>
      <c r="H98" s="10"/>
      <c r="I98" s="3"/>
      <c r="J98" s="2"/>
      <c r="K98" s="2"/>
      <c r="L98" s="2"/>
      <c r="M98" s="27"/>
      <c r="N98" s="31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</row>
    <row r="99" spans="1:27" x14ac:dyDescent="0.2">
      <c r="A99" s="2"/>
      <c r="B99" s="14"/>
      <c r="C99" s="2"/>
      <c r="D99" s="10"/>
      <c r="E99" s="12"/>
      <c r="F99" s="10"/>
      <c r="G99" s="10"/>
      <c r="H99" s="10"/>
      <c r="I99" s="3"/>
      <c r="J99" s="2"/>
      <c r="K99" s="2"/>
      <c r="L99" s="2"/>
      <c r="M99" s="27"/>
      <c r="N99" s="31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</row>
    <row r="100" spans="1:27" x14ac:dyDescent="0.2">
      <c r="A100" s="2"/>
      <c r="B100" s="14"/>
      <c r="C100" s="2"/>
      <c r="D100" s="10"/>
      <c r="E100" s="12"/>
      <c r="F100" s="10"/>
      <c r="G100" s="10"/>
      <c r="H100" s="10"/>
      <c r="I100" s="3"/>
      <c r="J100" s="2"/>
      <c r="K100" s="2"/>
      <c r="L100" s="2"/>
      <c r="M100" s="27"/>
      <c r="N100" s="31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</row>
  </sheetData>
  <mergeCells count="1">
    <mergeCell ref="J5:K5"/>
  </mergeCells>
  <dataValidations count="8">
    <dataValidation type="whole" allowBlank="1" showInputMessage="1" showErrorMessage="1" promptTitle="Strike" prompt="Strike in Decimal" sqref="K12">
      <formula1>-9999999</formula1>
      <formula2>99999999</formula2>
    </dataValidation>
    <dataValidation type="decimal" allowBlank="1" showInputMessage="1" showErrorMessage="1" promptTitle="Strike" prompt="Strike in Decimal" sqref="K9">
      <formula1>-9999999</formula1>
      <formula2>99999999</formula2>
    </dataValidation>
    <dataValidation allowBlank="1" showInputMessage="1" showErrorMessage="1" promptTitle="Interest Rate Index" prompt="Index Object Reference" sqref="F17"/>
    <dataValidation type="decimal" allowBlank="1" showInputMessage="1" showErrorMessage="1" promptTitle="Face Value" prompt="Notional" sqref="C10 F10">
      <formula1>-9999999</formula1>
      <formula2>99999999</formula2>
    </dataValidation>
    <dataValidation type="list" allowBlank="1" showInputMessage="1" showErrorMessage="1" promptTitle="Month End Flag" prompt="Whether Month End to be included" sqref="C14 F14">
      <formula1>"True,False"</formula1>
    </dataValidation>
    <dataValidation allowBlank="1" showInputMessage="1" showErrorMessage="1" promptTitle="Bond Name" prompt="Bond Name" sqref="F8"/>
    <dataValidation type="decimal" allowBlank="1" showInputMessage="1" showErrorMessage="1" promptTitle="Rate" prompt="Rate in Decimal" sqref="C17 K10:K11 K13:K30 G9:G20 F18:F19">
      <formula1>-9999999</formula1>
      <formula2>99999999</formula2>
    </dataValidation>
    <dataValidation type="list" allowBlank="1" showInputMessage="1" showErrorMessage="1" promptTitle="Pay/ Recieve" prompt="Payer / Reciever Flag" sqref="C8">
      <formula1>"PAY,RECIEVE"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Date Generation" prompt="Date Generation Method">
          <x14:formula1>
            <xm:f>Reference!$L$4:$L$12</xm:f>
          </x14:formula1>
          <xm:sqref>C15 F15</xm:sqref>
        </x14:dataValidation>
        <x14:dataValidation type="list" allowBlank="1" showInputMessage="1" showErrorMessage="1" promptTitle="Convention" prompt="Business Day Convention_x000a_">
          <x14:formula1>
            <xm:f>Reference!$I$4:$I$10</xm:f>
          </x14:formula1>
          <xm:sqref>C13 F13</xm:sqref>
        </x14:dataValidation>
        <x14:dataValidation type="list" allowBlank="1" showInputMessage="1" showErrorMessage="1" promptTitle="Coupon Frequency" prompt="Default is Annual">
          <x14:formula1>
            <xm:f>Reference!$F$4:$F$15</xm:f>
          </x14:formula1>
          <xm:sqref>C16 F16</xm:sqref>
        </x14:dataValidation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C11 F20 F11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C12 F12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 F9</xm:sqref>
        </x14:dataValidation>
        <x14:dataValidation type="date" allowBlank="1" showInputMessage="1" showErrorMessage="1" promptTitle="Curve Date" prompt="Date from where the yield curve starts_x000a_">
          <x14:formula1>
            <xm:f>Reference!J1048575</xm:f>
          </x14:formula1>
          <x14:formula2>
            <xm:f>Reference!J1048576</xm:f>
          </x14:formula2>
          <xm:sqref>J13:J30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"/>
  <sheetViews>
    <sheetView zoomScale="90" zoomScaleNormal="90" workbookViewId="0"/>
  </sheetViews>
  <sheetFormatPr defaultRowHeight="14.25" x14ac:dyDescent="0.2"/>
  <cols>
    <col min="1" max="1" width="4.28515625" style="4" customWidth="1"/>
    <col min="2" max="2" width="30.28515625" style="4" bestFit="1" customWidth="1"/>
    <col min="3" max="3" width="24.85546875" style="4" bestFit="1" customWidth="1"/>
    <col min="4" max="4" width="9.140625" style="4"/>
    <col min="5" max="5" width="9.5703125" style="4" bestFit="1" customWidth="1"/>
    <col min="6" max="6" width="9.85546875" style="4" bestFit="1" customWidth="1"/>
    <col min="7" max="7" width="4" style="4" customWidth="1"/>
    <col min="8" max="8" width="3.7109375" style="4" customWidth="1"/>
    <col min="9" max="9" width="24.7109375" style="4" customWidth="1"/>
    <col min="10" max="10" width="19.140625" style="4" customWidth="1"/>
    <col min="11" max="11" width="9.140625" style="4"/>
    <col min="12" max="12" width="18.28515625" style="28" bestFit="1" customWidth="1"/>
    <col min="13" max="13" width="20.85546875" style="29" bestFit="1" customWidth="1"/>
    <col min="14" max="14" width="9.140625" style="4"/>
    <col min="15" max="15" width="10.28515625" style="4" bestFit="1" customWidth="1"/>
    <col min="16" max="17" width="9.140625" style="4"/>
    <col min="18" max="18" width="10.42578125" style="4" bestFit="1" customWidth="1"/>
    <col min="19" max="21" width="10.28515625" style="4" bestFit="1" customWidth="1"/>
    <col min="22" max="16384" width="9.140625" style="4"/>
  </cols>
  <sheetData>
    <row r="1" spans="1:26" x14ac:dyDescent="0.2">
      <c r="A1" s="2"/>
      <c r="B1" s="2"/>
      <c r="C1" s="2"/>
      <c r="D1" s="2"/>
      <c r="E1" s="2"/>
      <c r="F1" s="2"/>
      <c r="G1" s="2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">
      <c r="A2" s="5" t="s">
        <v>124</v>
      </c>
      <c r="B2" s="2"/>
      <c r="C2" s="2"/>
      <c r="D2" s="2"/>
      <c r="E2" s="2"/>
      <c r="F2" s="2"/>
      <c r="G2" s="2"/>
      <c r="H2" s="3"/>
      <c r="I2" s="5" t="s">
        <v>125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">
      <c r="A4" s="2"/>
      <c r="B4" s="2"/>
      <c r="C4" s="2"/>
      <c r="D4" s="2"/>
      <c r="E4" s="2"/>
      <c r="F4" s="2"/>
      <c r="G4" s="2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">
      <c r="A5" s="2"/>
      <c r="B5" s="17" t="s">
        <v>131</v>
      </c>
      <c r="C5" s="17" t="str">
        <f>mrigxl_Option(C7,C8,C9,C10,C11,C12,C13,C14)</f>
        <v>Vanilla European | |SBIOpt|State Bank of India|2018-06-28 00:00:00|Call|220.0|European|30-360|India</v>
      </c>
      <c r="D5" s="2"/>
      <c r="E5" s="2"/>
      <c r="F5" s="2"/>
      <c r="G5" s="2"/>
      <c r="H5" s="3"/>
      <c r="I5" s="2" t="s">
        <v>117</v>
      </c>
      <c r="J5" s="2"/>
      <c r="K5" s="2"/>
      <c r="L5" s="24" t="str">
        <f>mrigxl_Analytics(C5,I6:J10)</f>
        <v>Heads</v>
      </c>
      <c r="M5" s="24" t="s">
        <v>119</v>
      </c>
      <c r="N5" s="2"/>
      <c r="O5" s="2" t="str">
        <f>L5</f>
        <v>Heads</v>
      </c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">
      <c r="A6" s="2"/>
      <c r="B6" s="6"/>
      <c r="C6" s="7"/>
      <c r="D6" s="2"/>
      <c r="E6" s="2"/>
      <c r="F6" s="2"/>
      <c r="G6" s="2"/>
      <c r="H6" s="3"/>
      <c r="I6" s="8" t="s">
        <v>132</v>
      </c>
      <c r="J6" s="30">
        <v>282.60000000000002</v>
      </c>
      <c r="K6" s="2"/>
      <c r="L6" s="25" t="s">
        <v>120</v>
      </c>
      <c r="M6" s="26">
        <v>62.569430700312054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">
      <c r="A7" s="2"/>
      <c r="B7" s="8" t="s">
        <v>126</v>
      </c>
      <c r="C7" s="15" t="s">
        <v>135</v>
      </c>
      <c r="D7" s="2"/>
      <c r="E7" s="2"/>
      <c r="F7" s="2"/>
      <c r="G7" s="2"/>
      <c r="H7" s="3"/>
      <c r="I7" s="8" t="s">
        <v>118</v>
      </c>
      <c r="J7" s="16" t="str">
        <f>'Interest Rates Term Structures'!C15</f>
        <v>SZYC|Actual-360|India|Compounded|Annual|Linear</v>
      </c>
      <c r="K7" s="2"/>
      <c r="L7" s="25" t="s">
        <v>142</v>
      </c>
      <c r="M7" s="26">
        <v>0.99863224532698325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">
      <c r="A8" s="2"/>
      <c r="B8" s="8" t="s">
        <v>127</v>
      </c>
      <c r="C8" s="15" t="s">
        <v>136</v>
      </c>
      <c r="D8" s="2"/>
      <c r="E8" s="2"/>
      <c r="F8" s="2"/>
      <c r="G8" s="2"/>
      <c r="H8" s="3"/>
      <c r="I8" s="8" t="s">
        <v>133</v>
      </c>
      <c r="J8" s="16" t="str">
        <f>'Vol Term Structure'!C5</f>
        <v>FVYC|30-360|US|0.4|Compounded|Annual</v>
      </c>
      <c r="K8" s="2"/>
      <c r="L8" s="25" t="s">
        <v>143</v>
      </c>
      <c r="M8" s="26">
        <v>1.0201968376944701E-4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">
      <c r="A9" s="2"/>
      <c r="B9" s="8" t="s">
        <v>50</v>
      </c>
      <c r="C9" s="15">
        <v>43279</v>
      </c>
      <c r="D9" s="2"/>
      <c r="E9" s="2"/>
      <c r="F9" s="2"/>
      <c r="G9" s="2"/>
      <c r="H9" s="3"/>
      <c r="I9" s="8" t="s">
        <v>134</v>
      </c>
      <c r="J9" s="16" t="str">
        <f>'Interest Rates Term Structures'!C28</f>
        <v>FDYC|30-360|US|0.02|Compounded|Annual</v>
      </c>
      <c r="K9" s="2"/>
      <c r="L9" s="25" t="s">
        <v>144</v>
      </c>
      <c r="M9" s="26">
        <v>0.23694318218717889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">
      <c r="A10" s="2"/>
      <c r="B10" s="8" t="s">
        <v>128</v>
      </c>
      <c r="C10" s="16" t="s">
        <v>171</v>
      </c>
      <c r="D10" s="2"/>
      <c r="E10" s="2"/>
      <c r="F10" s="2"/>
      <c r="G10" s="2"/>
      <c r="H10" s="3"/>
      <c r="I10" s="8" t="s">
        <v>141</v>
      </c>
      <c r="J10" s="16" t="s">
        <v>175</v>
      </c>
      <c r="K10" s="2"/>
      <c r="L10" s="25" t="s">
        <v>176</v>
      </c>
      <c r="M10" s="26">
        <v>6.4915940325254492E-4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">
      <c r="A11" s="2"/>
      <c r="B11" s="8" t="s">
        <v>129</v>
      </c>
      <c r="C11" s="30">
        <v>220</v>
      </c>
      <c r="D11" s="2"/>
      <c r="E11" s="2"/>
      <c r="F11" s="2"/>
      <c r="G11" s="2"/>
      <c r="H11" s="3"/>
      <c r="I11" s="2"/>
      <c r="J11" s="2"/>
      <c r="K11" s="2"/>
      <c r="L11" s="25" t="s">
        <v>177</v>
      </c>
      <c r="M11" s="26">
        <v>8.5417127377980773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">
      <c r="A12" s="2"/>
      <c r="B12" s="8" t="s">
        <v>130</v>
      </c>
      <c r="C12" s="16" t="s">
        <v>137</v>
      </c>
      <c r="D12" s="2"/>
      <c r="E12" s="2"/>
      <c r="F12" s="2"/>
      <c r="G12" s="2"/>
      <c r="H12" s="3"/>
      <c r="I12" s="2"/>
      <c r="J12" s="2"/>
      <c r="K12" s="2"/>
      <c r="L12" s="25" t="s">
        <v>178</v>
      </c>
      <c r="M12" s="26">
        <v>0.1267400325357477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">
      <c r="A13" s="2"/>
      <c r="B13" s="8" t="s">
        <v>3</v>
      </c>
      <c r="C13" s="16" t="s">
        <v>10</v>
      </c>
      <c r="D13" s="2"/>
      <c r="E13" s="2"/>
      <c r="F13" s="2"/>
      <c r="G13" s="2"/>
      <c r="H13" s="3"/>
      <c r="I13" s="2"/>
      <c r="J13" s="2"/>
      <c r="K13" s="2"/>
      <c r="L13" s="27" t="s">
        <v>179</v>
      </c>
      <c r="M13" s="26">
        <v>-0.99838200831406088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">
      <c r="A14" s="2"/>
      <c r="B14" s="8" t="s">
        <v>4</v>
      </c>
      <c r="C14" s="16" t="s">
        <v>12</v>
      </c>
      <c r="D14" s="2"/>
      <c r="E14" s="2"/>
      <c r="F14" s="2"/>
      <c r="G14" s="2"/>
      <c r="H14" s="3"/>
      <c r="I14" s="2"/>
      <c r="J14" s="2"/>
      <c r="K14" s="2"/>
      <c r="L14" s="27" t="s">
        <v>180</v>
      </c>
      <c r="M14" s="26">
        <v>-10.191042063561863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">
      <c r="A15" s="2"/>
      <c r="B15" s="8"/>
      <c r="C15" s="16"/>
      <c r="D15" s="2"/>
      <c r="E15" s="2"/>
      <c r="F15" s="2"/>
      <c r="G15" s="2"/>
      <c r="H15" s="3"/>
      <c r="I15" s="2"/>
      <c r="J15" s="2"/>
      <c r="K15" s="2"/>
      <c r="L15" s="27"/>
      <c r="M15" s="26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">
      <c r="A16" s="2"/>
      <c r="B16" s="8"/>
      <c r="C16" s="16"/>
      <c r="D16" s="2"/>
      <c r="E16" s="2"/>
      <c r="F16" s="2"/>
      <c r="G16" s="2"/>
      <c r="H16" s="3"/>
      <c r="I16" s="2"/>
      <c r="J16" s="2"/>
      <c r="K16" s="2"/>
      <c r="L16" s="27"/>
      <c r="M16" s="26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">
      <c r="A17" s="2"/>
      <c r="B17" s="8"/>
      <c r="C17" s="16"/>
      <c r="D17" s="2"/>
      <c r="E17" s="2"/>
      <c r="F17" s="2"/>
      <c r="G17" s="2"/>
      <c r="H17" s="3"/>
      <c r="I17" s="2"/>
      <c r="J17" s="2"/>
      <c r="K17" s="2"/>
      <c r="L17" s="27"/>
      <c r="M17" s="26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">
      <c r="A18" s="2"/>
      <c r="B18" s="8"/>
      <c r="C18" s="23"/>
      <c r="D18" s="2"/>
      <c r="E18" s="2"/>
      <c r="F18" s="2"/>
      <c r="G18" s="2"/>
      <c r="H18" s="3"/>
      <c r="I18" s="2"/>
      <c r="J18" s="2"/>
      <c r="K18" s="2"/>
      <c r="L18" s="27"/>
      <c r="M18" s="26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">
      <c r="A19" s="2"/>
      <c r="B19" s="8"/>
      <c r="C19" s="16"/>
      <c r="D19" s="2"/>
      <c r="E19" s="2"/>
      <c r="F19" s="2"/>
      <c r="G19" s="2"/>
      <c r="H19" s="3"/>
      <c r="I19" s="2"/>
      <c r="J19" s="2"/>
      <c r="K19" s="2"/>
      <c r="L19" s="27"/>
      <c r="M19" s="26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">
      <c r="A20" s="2"/>
      <c r="B20" s="8"/>
      <c r="C20" s="16"/>
      <c r="D20" s="2"/>
      <c r="E20" s="2"/>
      <c r="F20" s="2"/>
      <c r="G20" s="2"/>
      <c r="H20" s="3"/>
      <c r="I20" s="2"/>
      <c r="J20" s="2"/>
      <c r="K20" s="2"/>
      <c r="L20" s="27"/>
      <c r="M20" s="26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8"/>
      <c r="C21" s="16"/>
      <c r="D21" s="2"/>
      <c r="E21" s="2"/>
      <c r="F21" s="2"/>
      <c r="G21" s="2"/>
      <c r="H21" s="3"/>
      <c r="I21" s="2"/>
      <c r="J21" s="2"/>
      <c r="K21" s="2"/>
      <c r="L21" s="27"/>
      <c r="M21" s="26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2">
      <c r="A22" s="2"/>
      <c r="B22" s="8"/>
      <c r="C22" s="16"/>
      <c r="D22" s="2"/>
      <c r="E22" s="2"/>
      <c r="F22" s="2"/>
      <c r="G22" s="2"/>
      <c r="H22" s="3"/>
      <c r="I22" s="2"/>
      <c r="J22" s="2"/>
      <c r="K22" s="2"/>
      <c r="L22" s="27"/>
      <c r="M22" s="26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2">
      <c r="A23" s="2"/>
      <c r="B23" s="8"/>
      <c r="C23" s="23"/>
      <c r="D23" s="2"/>
      <c r="E23" s="2"/>
      <c r="F23" s="2"/>
      <c r="G23" s="2"/>
      <c r="H23" s="3"/>
      <c r="I23" s="2"/>
      <c r="J23" s="2"/>
      <c r="K23" s="2"/>
      <c r="L23" s="27"/>
      <c r="M23" s="26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2">
      <c r="A24" s="2"/>
      <c r="B24" s="8"/>
      <c r="C24" s="23"/>
      <c r="D24" s="9"/>
      <c r="E24" s="7"/>
      <c r="F24" s="7"/>
      <c r="G24" s="10"/>
      <c r="H24" s="3"/>
      <c r="I24" s="2"/>
      <c r="J24" s="2"/>
      <c r="K24" s="2"/>
      <c r="L24" s="27"/>
      <c r="M24" s="26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2">
      <c r="A25" s="2"/>
      <c r="B25" s="19"/>
      <c r="C25" s="7"/>
      <c r="D25" s="10"/>
      <c r="E25" s="7"/>
      <c r="F25" s="7"/>
      <c r="G25" s="10"/>
      <c r="H25" s="3"/>
      <c r="I25" s="2"/>
      <c r="J25" s="2"/>
      <c r="K25" s="2"/>
      <c r="L25" s="27"/>
      <c r="M25" s="26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2">
      <c r="A26" s="2"/>
      <c r="B26" s="7"/>
      <c r="C26" s="11"/>
      <c r="D26" s="10"/>
      <c r="E26" s="7"/>
      <c r="F26" s="7"/>
      <c r="G26" s="10"/>
      <c r="H26" s="3"/>
      <c r="I26" s="2"/>
      <c r="J26" s="2"/>
      <c r="K26" s="2"/>
      <c r="L26" s="27"/>
      <c r="M26" s="26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2">
      <c r="A27" s="2"/>
      <c r="B27" s="7"/>
      <c r="C27" s="11"/>
      <c r="D27" s="10"/>
      <c r="E27" s="7"/>
      <c r="F27" s="7"/>
      <c r="G27" s="10"/>
      <c r="H27" s="3"/>
      <c r="I27" s="2"/>
      <c r="J27" s="2"/>
      <c r="K27" s="2"/>
      <c r="L27" s="27"/>
      <c r="M27" s="26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2">
      <c r="A28" s="2"/>
      <c r="B28" s="7"/>
      <c r="C28" s="7"/>
      <c r="D28" s="10"/>
      <c r="E28" s="7"/>
      <c r="F28" s="7"/>
      <c r="G28" s="10"/>
      <c r="H28" s="3"/>
      <c r="I28" s="2"/>
      <c r="J28" s="2"/>
      <c r="K28" s="2"/>
      <c r="L28" s="27"/>
      <c r="M28" s="26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2">
      <c r="A29" s="2"/>
      <c r="B29" s="7"/>
      <c r="C29" s="7"/>
      <c r="D29" s="10"/>
      <c r="E29" s="7"/>
      <c r="F29" s="7"/>
      <c r="G29" s="10"/>
      <c r="H29" s="3"/>
      <c r="I29" s="2"/>
      <c r="J29" s="2"/>
      <c r="K29" s="2"/>
      <c r="L29" s="27"/>
      <c r="M29" s="26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2">
      <c r="A30" s="2"/>
      <c r="B30" s="7"/>
      <c r="C30" s="7"/>
      <c r="D30" s="10"/>
      <c r="E30" s="7"/>
      <c r="F30" s="7"/>
      <c r="G30" s="10"/>
      <c r="H30" s="3"/>
      <c r="I30" s="2"/>
      <c r="J30" s="2"/>
      <c r="K30" s="2"/>
      <c r="L30" s="27"/>
      <c r="M30" s="26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2">
      <c r="A31" s="2"/>
      <c r="B31" s="7"/>
      <c r="C31" s="7"/>
      <c r="D31" s="10"/>
      <c r="E31" s="7"/>
      <c r="F31" s="7"/>
      <c r="G31" s="10"/>
      <c r="H31" s="3"/>
      <c r="I31" s="2"/>
      <c r="J31" s="2"/>
      <c r="K31" s="2"/>
      <c r="L31" s="27"/>
      <c r="M31" s="26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2">
      <c r="A32" s="2"/>
      <c r="B32" s="7"/>
      <c r="C32" s="7"/>
      <c r="D32" s="10"/>
      <c r="E32" s="7"/>
      <c r="F32" s="7"/>
      <c r="G32" s="10"/>
      <c r="H32" s="3"/>
      <c r="I32" s="2"/>
      <c r="J32" s="2"/>
      <c r="K32" s="2"/>
      <c r="L32" s="27"/>
      <c r="M32" s="26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2">
      <c r="A33" s="2"/>
      <c r="B33" s="12"/>
      <c r="C33" s="10"/>
      <c r="D33" s="10"/>
      <c r="E33" s="7"/>
      <c r="F33" s="7"/>
      <c r="G33" s="10"/>
      <c r="H33" s="3"/>
      <c r="I33" s="2"/>
      <c r="J33" s="2"/>
      <c r="K33" s="2"/>
      <c r="L33" s="27"/>
      <c r="M33" s="26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A34" s="2"/>
      <c r="B34" s="12"/>
      <c r="C34" s="10"/>
      <c r="D34" s="10"/>
      <c r="E34" s="7"/>
      <c r="F34" s="7"/>
      <c r="G34" s="10"/>
      <c r="H34" s="3"/>
      <c r="I34" s="2"/>
      <c r="J34" s="2"/>
      <c r="K34" s="2"/>
      <c r="L34" s="27"/>
      <c r="M34" s="26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2">
      <c r="A35" s="2"/>
      <c r="B35" s="12"/>
      <c r="C35" s="10"/>
      <c r="D35" s="10"/>
      <c r="E35" s="7"/>
      <c r="F35" s="7"/>
      <c r="G35" s="10"/>
      <c r="H35" s="3"/>
      <c r="I35" s="2"/>
      <c r="J35" s="2"/>
      <c r="K35" s="2"/>
      <c r="L35" s="27"/>
      <c r="M35" s="26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2">
      <c r="A36" s="2"/>
      <c r="B36" s="12"/>
      <c r="C36" s="10"/>
      <c r="D36" s="10"/>
      <c r="E36" s="7"/>
      <c r="F36" s="7"/>
      <c r="G36" s="10"/>
      <c r="H36" s="3"/>
      <c r="I36" s="2"/>
      <c r="J36" s="2"/>
      <c r="K36" s="2"/>
      <c r="L36" s="27"/>
      <c r="M36" s="26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2">
      <c r="A37" s="2"/>
      <c r="B37" s="12"/>
      <c r="C37" s="10"/>
      <c r="D37" s="10"/>
      <c r="E37" s="7"/>
      <c r="F37" s="7"/>
      <c r="G37" s="10"/>
      <c r="H37" s="3"/>
      <c r="I37" s="2"/>
      <c r="J37" s="2"/>
      <c r="K37" s="2"/>
      <c r="L37" s="27"/>
      <c r="M37" s="26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2">
      <c r="A38" s="2"/>
      <c r="B38" s="12"/>
      <c r="C38" s="10"/>
      <c r="D38" s="10"/>
      <c r="E38" s="7"/>
      <c r="F38" s="7"/>
      <c r="G38" s="10"/>
      <c r="H38" s="3"/>
      <c r="I38" s="2"/>
      <c r="J38" s="2"/>
      <c r="K38" s="2"/>
      <c r="L38" s="27"/>
      <c r="M38" s="26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2">
      <c r="A39" s="2"/>
      <c r="B39" s="12"/>
      <c r="C39" s="10"/>
      <c r="D39" s="10"/>
      <c r="E39" s="7"/>
      <c r="F39" s="7"/>
      <c r="G39" s="10"/>
      <c r="H39" s="3"/>
      <c r="I39" s="2"/>
      <c r="J39" s="2"/>
      <c r="K39" s="2"/>
      <c r="L39" s="27"/>
      <c r="M39" s="26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2">
      <c r="A40" s="2"/>
      <c r="B40" s="12"/>
      <c r="C40" s="10"/>
      <c r="D40" s="10"/>
      <c r="E40" s="7"/>
      <c r="F40" s="7"/>
      <c r="G40" s="10"/>
      <c r="H40" s="3"/>
      <c r="I40" s="2"/>
      <c r="J40" s="2"/>
      <c r="K40" s="2"/>
      <c r="L40" s="27"/>
      <c r="M40" s="26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2">
      <c r="A41" s="2"/>
      <c r="B41" s="12"/>
      <c r="C41" s="10"/>
      <c r="D41" s="10"/>
      <c r="E41" s="7"/>
      <c r="F41" s="7"/>
      <c r="G41" s="10"/>
      <c r="H41" s="3"/>
      <c r="I41" s="2"/>
      <c r="J41" s="2"/>
      <c r="K41" s="2"/>
      <c r="L41" s="27"/>
      <c r="M41" s="26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2">
      <c r="A42" s="2"/>
      <c r="B42" s="12"/>
      <c r="C42" s="10"/>
      <c r="D42" s="10"/>
      <c r="E42" s="7"/>
      <c r="F42" s="7"/>
      <c r="G42" s="10"/>
      <c r="H42" s="3"/>
      <c r="I42" s="2"/>
      <c r="J42" s="2"/>
      <c r="K42" s="2"/>
      <c r="L42" s="27"/>
      <c r="M42" s="26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2">
      <c r="A43" s="2"/>
      <c r="B43" s="12"/>
      <c r="C43" s="10"/>
      <c r="D43" s="10"/>
      <c r="E43" s="7"/>
      <c r="F43" s="7"/>
      <c r="G43" s="10"/>
      <c r="H43" s="3"/>
      <c r="I43" s="2"/>
      <c r="J43" s="2"/>
      <c r="K43" s="2"/>
      <c r="L43" s="27"/>
      <c r="M43" s="26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2">
      <c r="A44" s="2"/>
      <c r="B44" s="12"/>
      <c r="C44" s="10"/>
      <c r="D44" s="10"/>
      <c r="E44" s="7"/>
      <c r="F44" s="7"/>
      <c r="G44" s="10"/>
      <c r="H44" s="3"/>
      <c r="I44" s="2"/>
      <c r="J44" s="2"/>
      <c r="K44" s="2"/>
      <c r="L44" s="27"/>
      <c r="M44" s="26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2">
      <c r="A45" s="2"/>
      <c r="B45" s="12"/>
      <c r="C45" s="10"/>
      <c r="D45" s="10"/>
      <c r="E45" s="7"/>
      <c r="F45" s="7"/>
      <c r="G45" s="10"/>
      <c r="H45" s="3"/>
      <c r="I45" s="2"/>
      <c r="J45" s="2"/>
      <c r="K45" s="2"/>
      <c r="L45" s="27"/>
      <c r="M45" s="26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2">
      <c r="A46" s="2"/>
      <c r="B46" s="12"/>
      <c r="C46" s="10"/>
      <c r="D46" s="10"/>
      <c r="E46" s="7"/>
      <c r="F46" s="7"/>
      <c r="G46" s="10"/>
      <c r="H46" s="3"/>
      <c r="I46" s="2"/>
      <c r="J46" s="2"/>
      <c r="K46" s="2"/>
      <c r="L46" s="25"/>
      <c r="M46" s="26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2">
      <c r="A47" s="2"/>
      <c r="B47" s="12"/>
      <c r="C47" s="10"/>
      <c r="D47" s="10"/>
      <c r="E47" s="7"/>
      <c r="F47" s="7"/>
      <c r="G47" s="10"/>
      <c r="H47" s="3"/>
      <c r="I47" s="2"/>
      <c r="J47" s="2"/>
      <c r="K47" s="2"/>
      <c r="L47" s="25"/>
      <c r="M47" s="26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2">
      <c r="A48" s="2"/>
      <c r="B48" s="12"/>
      <c r="C48" s="10"/>
      <c r="D48" s="10"/>
      <c r="E48" s="7"/>
      <c r="F48" s="7"/>
      <c r="G48" s="10"/>
      <c r="H48" s="3"/>
      <c r="I48" s="2"/>
      <c r="J48" s="2"/>
      <c r="K48" s="2"/>
      <c r="L48" s="25"/>
      <c r="M48" s="26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2">
      <c r="A49" s="2"/>
      <c r="B49" s="12"/>
      <c r="C49" s="10"/>
      <c r="D49" s="10"/>
      <c r="E49" s="7"/>
      <c r="F49" s="7"/>
      <c r="G49" s="10"/>
      <c r="H49" s="3"/>
      <c r="I49" s="2"/>
      <c r="J49" s="2"/>
      <c r="K49" s="2"/>
      <c r="L49" s="25"/>
      <c r="M49" s="26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2">
      <c r="A50" s="2"/>
      <c r="B50" s="12"/>
      <c r="C50" s="10"/>
      <c r="D50" s="10"/>
      <c r="E50" s="7"/>
      <c r="F50" s="7"/>
      <c r="G50" s="10"/>
      <c r="H50" s="3"/>
      <c r="I50" s="2"/>
      <c r="J50" s="2"/>
      <c r="K50" s="2"/>
      <c r="L50" s="25"/>
      <c r="M50" s="26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2">
      <c r="A51" s="2"/>
      <c r="B51" s="12"/>
      <c r="C51" s="10"/>
      <c r="D51" s="10"/>
      <c r="E51" s="7"/>
      <c r="F51" s="7"/>
      <c r="G51" s="10"/>
      <c r="H51" s="3"/>
      <c r="I51" s="2"/>
      <c r="J51" s="2"/>
      <c r="K51" s="2"/>
      <c r="L51" s="25"/>
      <c r="M51" s="26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2">
      <c r="A52" s="2"/>
      <c r="B52" s="12"/>
      <c r="C52" s="10"/>
      <c r="D52" s="10"/>
      <c r="E52" s="7"/>
      <c r="F52" s="7"/>
      <c r="G52" s="10"/>
      <c r="H52" s="3"/>
      <c r="I52" s="2"/>
      <c r="J52" s="2"/>
      <c r="K52" s="2"/>
      <c r="L52" s="25"/>
      <c r="M52" s="26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2">
      <c r="A53" s="2"/>
      <c r="B53" s="12"/>
      <c r="C53" s="10"/>
      <c r="D53" s="10"/>
      <c r="E53" s="7"/>
      <c r="F53" s="7"/>
      <c r="G53" s="10"/>
      <c r="H53" s="3"/>
      <c r="I53" s="2"/>
      <c r="J53" s="2"/>
      <c r="K53" s="2"/>
      <c r="L53" s="25"/>
      <c r="M53" s="26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2">
      <c r="A54" s="2"/>
      <c r="B54" s="12"/>
      <c r="C54" s="10"/>
      <c r="D54" s="10"/>
      <c r="E54" s="7"/>
      <c r="F54" s="7"/>
      <c r="G54" s="10"/>
      <c r="H54" s="3"/>
      <c r="I54" s="2"/>
      <c r="J54" s="2"/>
      <c r="K54" s="2"/>
      <c r="L54" s="25"/>
      <c r="M54" s="26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2">
      <c r="A55" s="2"/>
      <c r="B55" s="12"/>
      <c r="C55" s="10"/>
      <c r="D55" s="10"/>
      <c r="E55" s="7"/>
      <c r="F55" s="7"/>
      <c r="G55" s="10"/>
      <c r="H55" s="3"/>
      <c r="I55" s="2"/>
      <c r="J55" s="2"/>
      <c r="K55" s="2"/>
      <c r="L55" s="25"/>
      <c r="M55" s="26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2">
      <c r="A56" s="2"/>
      <c r="B56" s="12"/>
      <c r="C56" s="10"/>
      <c r="D56" s="10"/>
      <c r="E56" s="7"/>
      <c r="F56" s="7"/>
      <c r="G56" s="10"/>
      <c r="H56" s="3"/>
      <c r="I56" s="2"/>
      <c r="J56" s="2"/>
      <c r="K56" s="2"/>
      <c r="L56" s="25"/>
      <c r="M56" s="26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2">
      <c r="A57" s="2"/>
      <c r="B57" s="12"/>
      <c r="C57" s="10"/>
      <c r="D57" s="10"/>
      <c r="E57" s="7"/>
      <c r="F57" s="7"/>
      <c r="G57" s="10"/>
      <c r="H57" s="3"/>
      <c r="I57" s="2"/>
      <c r="J57" s="2"/>
      <c r="K57" s="2"/>
      <c r="L57" s="25"/>
      <c r="M57" s="26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2">
      <c r="A58" s="2"/>
      <c r="B58" s="12"/>
      <c r="C58" s="10"/>
      <c r="D58" s="10"/>
      <c r="E58" s="7"/>
      <c r="F58" s="7"/>
      <c r="G58" s="10"/>
      <c r="H58" s="3"/>
      <c r="I58" s="2"/>
      <c r="J58" s="2"/>
      <c r="K58" s="2"/>
      <c r="L58" s="25"/>
      <c r="M58" s="26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2">
      <c r="A59" s="2"/>
      <c r="B59" s="12"/>
      <c r="C59" s="10"/>
      <c r="D59" s="10"/>
      <c r="E59" s="7"/>
      <c r="F59" s="7"/>
      <c r="G59" s="10"/>
      <c r="H59" s="3"/>
      <c r="I59" s="2"/>
      <c r="J59" s="2"/>
      <c r="K59" s="2"/>
      <c r="L59" s="25"/>
      <c r="M59" s="26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2">
      <c r="A60" s="2"/>
      <c r="B60" s="12"/>
      <c r="C60" s="10"/>
      <c r="D60" s="10"/>
      <c r="E60" s="7"/>
      <c r="F60" s="7"/>
      <c r="G60" s="10"/>
      <c r="H60" s="3"/>
      <c r="I60" s="2"/>
      <c r="J60" s="2"/>
      <c r="K60" s="2"/>
      <c r="L60" s="25"/>
      <c r="M60" s="26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2">
      <c r="A61" s="2"/>
      <c r="B61" s="12"/>
      <c r="C61" s="10"/>
      <c r="D61" s="10"/>
      <c r="E61" s="7"/>
      <c r="F61" s="7"/>
      <c r="G61" s="10"/>
      <c r="H61" s="3"/>
      <c r="I61" s="2"/>
      <c r="J61" s="2"/>
      <c r="K61" s="2"/>
      <c r="L61" s="25"/>
      <c r="M61" s="26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2">
      <c r="A62" s="2"/>
      <c r="B62" s="12"/>
      <c r="C62" s="10"/>
      <c r="D62" s="10"/>
      <c r="E62" s="7"/>
      <c r="F62" s="7"/>
      <c r="G62" s="10"/>
      <c r="H62" s="3"/>
      <c r="I62" s="2"/>
      <c r="J62" s="2"/>
      <c r="K62" s="2"/>
      <c r="L62" s="25"/>
      <c r="M62" s="26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2">
      <c r="A63" s="2"/>
      <c r="B63" s="12"/>
      <c r="C63" s="10"/>
      <c r="D63" s="10"/>
      <c r="E63" s="7"/>
      <c r="F63" s="7"/>
      <c r="G63" s="10"/>
      <c r="H63" s="3"/>
      <c r="I63" s="2"/>
      <c r="J63" s="2"/>
      <c r="K63" s="2"/>
      <c r="L63" s="25"/>
      <c r="M63" s="26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2">
      <c r="A64" s="2"/>
      <c r="B64" s="12"/>
      <c r="C64" s="10"/>
      <c r="D64" s="10"/>
      <c r="E64" s="7"/>
      <c r="F64" s="7"/>
      <c r="G64" s="10"/>
      <c r="H64" s="3"/>
      <c r="I64" s="2"/>
      <c r="J64" s="2"/>
      <c r="K64" s="2"/>
      <c r="L64" s="25"/>
      <c r="M64" s="26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2">
      <c r="A65" s="2"/>
      <c r="B65" s="12"/>
      <c r="C65" s="10"/>
      <c r="D65" s="10"/>
      <c r="E65" s="7"/>
      <c r="F65" s="7"/>
      <c r="G65" s="10"/>
      <c r="H65" s="3"/>
      <c r="I65" s="2"/>
      <c r="J65" s="2"/>
      <c r="K65" s="2"/>
      <c r="L65" s="25"/>
      <c r="M65" s="26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2">
      <c r="A66" s="2"/>
      <c r="B66" s="12"/>
      <c r="C66" s="10"/>
      <c r="D66" s="10"/>
      <c r="E66" s="7"/>
      <c r="F66" s="7"/>
      <c r="G66" s="10"/>
      <c r="H66" s="3"/>
      <c r="I66" s="2"/>
      <c r="J66" s="2"/>
      <c r="K66" s="2"/>
      <c r="L66" s="25"/>
      <c r="M66" s="26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2">
      <c r="A67" s="2"/>
      <c r="B67" s="12"/>
      <c r="C67" s="10"/>
      <c r="D67" s="10"/>
      <c r="E67" s="7"/>
      <c r="F67" s="7"/>
      <c r="G67" s="10"/>
      <c r="H67" s="3"/>
      <c r="I67" s="2"/>
      <c r="J67" s="2"/>
      <c r="K67" s="2"/>
      <c r="L67" s="25"/>
      <c r="M67" s="26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2">
      <c r="A68" s="2"/>
      <c r="B68" s="12"/>
      <c r="C68" s="10"/>
      <c r="D68" s="10"/>
      <c r="E68" s="7"/>
      <c r="F68" s="7"/>
      <c r="G68" s="10"/>
      <c r="H68" s="3"/>
      <c r="I68" s="2"/>
      <c r="J68" s="2"/>
      <c r="K68" s="2"/>
      <c r="L68" s="25"/>
      <c r="M68" s="26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2">
      <c r="A69" s="2"/>
      <c r="B69" s="12"/>
      <c r="C69" s="10"/>
      <c r="D69" s="10"/>
      <c r="E69" s="7"/>
      <c r="F69" s="7"/>
      <c r="G69" s="10"/>
      <c r="H69" s="3"/>
      <c r="I69" s="2"/>
      <c r="J69" s="2"/>
      <c r="K69" s="2"/>
      <c r="L69" s="25"/>
      <c r="M69" s="26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2">
      <c r="A70" s="2"/>
      <c r="B70" s="12"/>
      <c r="C70" s="10"/>
      <c r="D70" s="10"/>
      <c r="E70" s="7"/>
      <c r="F70" s="7"/>
      <c r="G70" s="10"/>
      <c r="H70" s="3"/>
      <c r="I70" s="2"/>
      <c r="J70" s="2"/>
      <c r="K70" s="2"/>
      <c r="L70" s="25"/>
      <c r="M70" s="26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2">
      <c r="A71" s="2"/>
      <c r="B71" s="12"/>
      <c r="C71" s="10"/>
      <c r="D71" s="10"/>
      <c r="E71" s="7"/>
      <c r="F71" s="7"/>
      <c r="G71" s="10"/>
      <c r="H71" s="3"/>
      <c r="I71" s="2"/>
      <c r="J71" s="2"/>
      <c r="K71" s="2"/>
      <c r="L71" s="25"/>
      <c r="M71" s="26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2">
      <c r="A72" s="2"/>
      <c r="B72" s="12"/>
      <c r="C72" s="10"/>
      <c r="D72" s="10"/>
      <c r="E72" s="7"/>
      <c r="F72" s="7"/>
      <c r="G72" s="10"/>
      <c r="H72" s="3"/>
      <c r="I72" s="2"/>
      <c r="J72" s="2"/>
      <c r="K72" s="2"/>
      <c r="L72" s="25"/>
      <c r="M72" s="26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2">
      <c r="A73" s="2"/>
      <c r="B73" s="12"/>
      <c r="C73" s="10"/>
      <c r="D73" s="13"/>
      <c r="E73" s="7"/>
      <c r="F73" s="7"/>
      <c r="G73" s="10"/>
      <c r="H73" s="3"/>
      <c r="I73" s="2"/>
      <c r="J73" s="2"/>
      <c r="K73" s="2"/>
      <c r="L73" s="25"/>
      <c r="M73" s="26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2">
      <c r="A74" s="2"/>
      <c r="B74" s="14"/>
      <c r="C74" s="13"/>
      <c r="D74" s="2"/>
      <c r="E74" s="2"/>
      <c r="F74" s="2"/>
      <c r="G74" s="2"/>
      <c r="H74" s="3"/>
      <c r="I74" s="2"/>
      <c r="J74" s="2"/>
      <c r="K74" s="2"/>
      <c r="L74" s="25"/>
      <c r="M74" s="26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2">
      <c r="A75" s="2"/>
      <c r="B75" s="2"/>
      <c r="C75" s="2"/>
      <c r="D75" s="2"/>
      <c r="E75" s="2"/>
      <c r="F75" s="2"/>
      <c r="G75" s="2"/>
      <c r="H75" s="3"/>
      <c r="I75" s="2"/>
      <c r="J75" s="2"/>
      <c r="K75" s="2"/>
      <c r="L75" s="25"/>
      <c r="M75" s="26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2">
      <c r="A76" s="2"/>
      <c r="B76" s="2"/>
      <c r="C76" s="2"/>
      <c r="D76" s="2"/>
      <c r="E76" s="2"/>
      <c r="F76" s="2"/>
      <c r="G76" s="2"/>
      <c r="H76" s="3"/>
      <c r="I76" s="2"/>
      <c r="J76" s="2"/>
      <c r="K76" s="2"/>
      <c r="L76" s="25"/>
      <c r="M76" s="26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2">
      <c r="A77" s="2"/>
      <c r="B77" s="2"/>
      <c r="C77" s="2"/>
      <c r="D77" s="2"/>
      <c r="E77" s="2"/>
      <c r="F77" s="2"/>
      <c r="G77" s="2"/>
      <c r="H77" s="3"/>
      <c r="I77" s="2"/>
      <c r="J77" s="2"/>
      <c r="K77" s="2"/>
      <c r="L77" s="25"/>
      <c r="M77" s="26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2">
      <c r="A78" s="2"/>
      <c r="B78" s="2"/>
      <c r="C78" s="2"/>
      <c r="D78" s="2"/>
      <c r="E78" s="2"/>
      <c r="F78" s="2"/>
      <c r="G78" s="2"/>
      <c r="H78" s="3"/>
      <c r="I78" s="2"/>
      <c r="J78" s="2"/>
      <c r="K78" s="2"/>
      <c r="L78" s="25"/>
      <c r="M78" s="26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2">
      <c r="A79" s="2"/>
      <c r="B79" s="2"/>
      <c r="C79" s="2"/>
      <c r="D79" s="2"/>
      <c r="E79" s="2"/>
      <c r="F79" s="2"/>
      <c r="G79" s="2"/>
      <c r="H79" s="3"/>
      <c r="I79" s="2"/>
      <c r="J79" s="2"/>
      <c r="K79" s="2"/>
      <c r="L79" s="25"/>
      <c r="M79" s="26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2">
      <c r="A80" s="2"/>
      <c r="B80" s="2"/>
      <c r="C80" s="2"/>
      <c r="D80" s="2"/>
      <c r="E80" s="2"/>
      <c r="F80" s="2"/>
      <c r="G80" s="2"/>
      <c r="H80" s="3"/>
      <c r="I80" s="2"/>
      <c r="J80" s="2"/>
      <c r="K80" s="2"/>
      <c r="L80" s="25"/>
      <c r="M80" s="26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2">
      <c r="A81" s="2"/>
      <c r="B81" s="2"/>
      <c r="C81" s="2"/>
      <c r="D81" s="2"/>
      <c r="E81" s="2"/>
      <c r="F81" s="2"/>
      <c r="G81" s="2"/>
      <c r="H81" s="3"/>
      <c r="I81" s="2"/>
      <c r="J81" s="2"/>
      <c r="K81" s="2"/>
      <c r="L81" s="25"/>
      <c r="M81" s="26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2">
      <c r="A82" s="2"/>
      <c r="B82" s="2"/>
      <c r="C82" s="2"/>
      <c r="D82" s="2"/>
      <c r="E82" s="2"/>
      <c r="F82" s="2"/>
      <c r="G82" s="2"/>
      <c r="H82" s="3"/>
      <c r="I82" s="2"/>
      <c r="J82" s="2"/>
      <c r="K82" s="2"/>
      <c r="L82" s="25"/>
      <c r="M82" s="26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2">
      <c r="A83" s="2"/>
      <c r="B83" s="2"/>
      <c r="C83" s="2"/>
      <c r="D83" s="2"/>
      <c r="E83" s="2"/>
      <c r="F83" s="2"/>
      <c r="G83" s="2"/>
      <c r="H83" s="3"/>
      <c r="I83" s="2"/>
      <c r="J83" s="2"/>
      <c r="K83" s="2"/>
      <c r="L83" s="25"/>
      <c r="M83" s="26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2">
      <c r="A84" s="2"/>
      <c r="B84" s="2"/>
      <c r="C84" s="2"/>
      <c r="D84" s="2"/>
      <c r="E84" s="2"/>
      <c r="F84" s="2"/>
      <c r="G84" s="2"/>
      <c r="H84" s="3"/>
      <c r="I84" s="2"/>
      <c r="J84" s="2"/>
      <c r="K84" s="2"/>
      <c r="L84" s="25"/>
      <c r="M84" s="26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2">
      <c r="A85" s="2"/>
      <c r="B85" s="2"/>
      <c r="C85" s="2"/>
      <c r="D85" s="2"/>
      <c r="E85" s="2"/>
      <c r="F85" s="2"/>
      <c r="G85" s="2"/>
      <c r="H85" s="3"/>
      <c r="I85" s="2"/>
      <c r="J85" s="2"/>
      <c r="K85" s="2"/>
      <c r="L85" s="25"/>
      <c r="M85" s="26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2">
      <c r="A86" s="2"/>
      <c r="B86" s="2"/>
      <c r="C86" s="2"/>
      <c r="D86" s="2"/>
      <c r="E86" s="2"/>
      <c r="F86" s="2"/>
      <c r="G86" s="2"/>
      <c r="H86" s="3"/>
      <c r="I86" s="2"/>
      <c r="J86" s="2"/>
      <c r="K86" s="2"/>
      <c r="L86" s="25"/>
      <c r="M86" s="26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2">
      <c r="A87" s="2"/>
      <c r="B87" s="2"/>
      <c r="C87" s="2"/>
      <c r="D87" s="2"/>
      <c r="E87" s="2"/>
      <c r="F87" s="2"/>
      <c r="G87" s="2"/>
      <c r="H87" s="3"/>
      <c r="I87" s="2"/>
      <c r="J87" s="2"/>
      <c r="K87" s="2"/>
      <c r="L87" s="25"/>
      <c r="M87" s="26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2">
      <c r="A88" s="2"/>
      <c r="B88" s="2"/>
      <c r="C88" s="2"/>
      <c r="D88" s="2"/>
      <c r="E88" s="2"/>
      <c r="F88" s="2"/>
      <c r="G88" s="2"/>
      <c r="H88" s="3"/>
      <c r="I88" s="2"/>
      <c r="J88" s="2"/>
      <c r="K88" s="2"/>
      <c r="L88" s="25"/>
      <c r="M88" s="26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2">
      <c r="A89" s="2"/>
      <c r="B89" s="2"/>
      <c r="C89" s="2"/>
      <c r="D89" s="2"/>
      <c r="E89" s="2"/>
      <c r="F89" s="2"/>
      <c r="G89" s="2"/>
      <c r="H89" s="3"/>
      <c r="I89" s="2"/>
      <c r="J89" s="2"/>
      <c r="K89" s="2"/>
      <c r="L89" s="25"/>
      <c r="M89" s="26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2">
      <c r="A90" s="2"/>
      <c r="B90" s="2"/>
      <c r="C90" s="2"/>
      <c r="D90" s="2"/>
      <c r="E90" s="2"/>
      <c r="F90" s="2"/>
      <c r="G90" s="2"/>
      <c r="H90" s="3"/>
      <c r="I90" s="2"/>
      <c r="J90" s="2"/>
      <c r="K90" s="2"/>
      <c r="L90" s="25"/>
      <c r="M90" s="26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2">
      <c r="A91" s="2"/>
      <c r="B91" s="2"/>
      <c r="C91" s="2"/>
      <c r="D91" s="2"/>
      <c r="E91" s="2"/>
      <c r="F91" s="2"/>
      <c r="G91" s="2"/>
      <c r="H91" s="3"/>
      <c r="I91" s="2"/>
      <c r="J91" s="2"/>
      <c r="K91" s="2"/>
      <c r="L91" s="25"/>
      <c r="M91" s="26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2">
      <c r="A92" s="2"/>
      <c r="B92" s="2"/>
      <c r="C92" s="2"/>
      <c r="D92" s="2"/>
      <c r="E92" s="2"/>
      <c r="F92" s="2"/>
      <c r="G92" s="2"/>
      <c r="H92" s="3"/>
      <c r="I92" s="2"/>
      <c r="J92" s="2"/>
      <c r="K92" s="2"/>
      <c r="L92" s="25"/>
      <c r="M92" s="26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2">
      <c r="A93" s="2"/>
      <c r="B93" s="2"/>
      <c r="C93" s="2"/>
      <c r="D93" s="2"/>
      <c r="E93" s="2"/>
      <c r="F93" s="2"/>
      <c r="G93" s="2"/>
      <c r="H93" s="3"/>
      <c r="I93" s="2"/>
      <c r="J93" s="2"/>
      <c r="K93" s="2"/>
      <c r="L93" s="25"/>
      <c r="M93" s="26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2">
      <c r="A94" s="2"/>
      <c r="B94" s="2"/>
      <c r="C94" s="2"/>
      <c r="D94" s="2"/>
      <c r="E94" s="2"/>
      <c r="F94" s="2"/>
      <c r="G94" s="2"/>
      <c r="H94" s="3"/>
      <c r="I94" s="2"/>
      <c r="J94" s="2"/>
      <c r="K94" s="2"/>
      <c r="L94" s="25"/>
      <c r="M94" s="26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2">
      <c r="A95" s="2"/>
      <c r="B95" s="2"/>
      <c r="C95" s="2"/>
      <c r="D95" s="2"/>
      <c r="E95" s="2"/>
      <c r="F95" s="2"/>
      <c r="G95" s="2"/>
      <c r="H95" s="3"/>
      <c r="I95" s="2"/>
      <c r="J95" s="2"/>
      <c r="K95" s="2"/>
      <c r="L95" s="25"/>
      <c r="M95" s="26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2">
      <c r="A96" s="2"/>
      <c r="B96" s="2"/>
      <c r="C96" s="2"/>
      <c r="D96" s="2"/>
      <c r="E96" s="2"/>
      <c r="F96" s="2"/>
      <c r="G96" s="2"/>
      <c r="H96" s="3"/>
      <c r="I96" s="2"/>
      <c r="J96" s="2"/>
      <c r="K96" s="2"/>
      <c r="L96" s="25"/>
      <c r="M96" s="26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2">
      <c r="A97" s="2"/>
      <c r="B97" s="2"/>
      <c r="C97" s="2"/>
      <c r="D97" s="2"/>
      <c r="E97" s="2"/>
      <c r="F97" s="2"/>
      <c r="G97" s="2"/>
      <c r="H97" s="3"/>
      <c r="I97" s="2"/>
      <c r="J97" s="2"/>
      <c r="K97" s="2"/>
      <c r="L97" s="25"/>
      <c r="M97" s="26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2">
      <c r="A98" s="2"/>
      <c r="B98" s="2"/>
      <c r="C98" s="2"/>
      <c r="D98" s="2"/>
      <c r="E98" s="2"/>
      <c r="F98" s="2"/>
      <c r="G98" s="2"/>
      <c r="H98" s="3"/>
      <c r="I98" s="2"/>
      <c r="J98" s="2"/>
      <c r="K98" s="2"/>
      <c r="L98" s="25"/>
      <c r="M98" s="26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2">
      <c r="A99" s="2"/>
      <c r="B99" s="2"/>
      <c r="C99" s="2"/>
      <c r="D99" s="2"/>
      <c r="E99" s="2"/>
      <c r="F99" s="2"/>
      <c r="G99" s="2"/>
      <c r="H99" s="3"/>
      <c r="I99" s="2"/>
      <c r="J99" s="2"/>
      <c r="K99" s="2"/>
      <c r="L99" s="25"/>
      <c r="M99" s="26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2">
      <c r="A100" s="2"/>
      <c r="B100" s="2"/>
      <c r="C100" s="2"/>
      <c r="D100" s="2"/>
      <c r="E100" s="2"/>
      <c r="F100" s="2"/>
      <c r="G100" s="2"/>
      <c r="H100" s="3"/>
      <c r="I100" s="2"/>
      <c r="J100" s="2"/>
      <c r="K100" s="2"/>
      <c r="L100" s="25"/>
      <c r="M100" s="26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</sheetData>
  <dataValidations count="4">
    <dataValidation type="list" allowBlank="1" showInputMessage="1" showErrorMessage="1" promptTitle="Call/Put" prompt="Call or Put" sqref="C10">
      <formula1>"Call, Put"</formula1>
    </dataValidation>
    <dataValidation type="decimal" allowBlank="1" showInputMessage="1" showErrorMessage="1" promptTitle="Strike" prompt="Strike in Decimal" sqref="C11 J6">
      <formula1>-9999999</formula1>
      <formula2>99999999</formula2>
    </dataValidation>
    <dataValidation type="list" allowBlank="1" showInputMessage="1" showErrorMessage="1" promptTitle="Exercise Type" prompt="European, American" sqref="C12">
      <formula1>"European, American"</formula1>
    </dataValidation>
    <dataValidation type="list" allowBlank="1" showInputMessage="1" showErrorMessage="1" promptTitle="Method" prompt="Black Scholes, Binomial" sqref="J10">
      <formula1>"Black Scholes, Binomial Tree"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Yield Curve Day Count Convention" prompt="Default is 30-360">
          <x14:formula1>
            <xm:f>Reference!$B$4:$B$8</xm:f>
          </x14:formula1>
          <xm:sqref>C13</xm:sqref>
        </x14:dataValidation>
        <x14:dataValidation type="list" allowBlank="1" showInputMessage="1" showErrorMessage="1" promptTitle="Market Calendar" prompt="Economic Caledar for the Region_x000a_Default is India">
          <x14:formula1>
            <xm:f>Reference!$C$4:$C$9</xm:f>
          </x14:formula1>
          <xm:sqref>C14</xm:sqref>
        </x14:dataValidation>
        <x14:dataValidation type="date" allowBlank="1" showInputMessage="1" showErrorMessage="1" promptTitle="Curve Date" prompt="Date from where the yield curve starts_x000a_">
          <x14:formula1>
            <xm:f>Reference!D1048571</xm:f>
          </x14:formula1>
          <x14:formula2>
            <xm:f>Reference!D1048572</xm:f>
          </x14:formula2>
          <xm:sqref>C9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Q16"/>
  <sheetViews>
    <sheetView topLeftCell="C1" workbookViewId="0">
      <selection activeCell="D5" sqref="D5"/>
    </sheetView>
  </sheetViews>
  <sheetFormatPr defaultRowHeight="15" x14ac:dyDescent="0.25"/>
  <cols>
    <col min="2" max="2" width="22.28515625" bestFit="1" customWidth="1"/>
    <col min="5" max="5" width="24.42578125" bestFit="1" customWidth="1"/>
  </cols>
  <sheetData>
    <row r="2" spans="2:17" x14ac:dyDescent="0.25">
      <c r="B2" t="s">
        <v>3</v>
      </c>
      <c r="C2" t="s">
        <v>11</v>
      </c>
      <c r="D2" t="s">
        <v>18</v>
      </c>
      <c r="E2" t="s">
        <v>22</v>
      </c>
      <c r="F2" t="s">
        <v>28</v>
      </c>
      <c r="G2" t="s">
        <v>31</v>
      </c>
      <c r="H2" t="s">
        <v>38</v>
      </c>
      <c r="I2" t="s">
        <v>52</v>
      </c>
      <c r="L2" t="s">
        <v>63</v>
      </c>
      <c r="N2" t="s">
        <v>109</v>
      </c>
    </row>
    <row r="4" spans="2:17" x14ac:dyDescent="0.25">
      <c r="B4" t="s">
        <v>6</v>
      </c>
      <c r="C4" t="s">
        <v>12</v>
      </c>
      <c r="D4" s="1">
        <v>1</v>
      </c>
      <c r="E4" t="s">
        <v>23</v>
      </c>
      <c r="F4" t="s">
        <v>37</v>
      </c>
      <c r="G4" t="s">
        <v>32</v>
      </c>
      <c r="H4" t="s">
        <v>39</v>
      </c>
      <c r="I4" t="s">
        <v>81</v>
      </c>
      <c r="J4" t="s">
        <v>53</v>
      </c>
      <c r="L4" t="s">
        <v>88</v>
      </c>
      <c r="M4" t="s">
        <v>64</v>
      </c>
      <c r="N4" t="s">
        <v>110</v>
      </c>
      <c r="O4" t="s">
        <v>114</v>
      </c>
      <c r="P4" t="b">
        <f>AND(ISNUMBER(INT(LEFT(O4,LEN(O4)-1))),NOT(ISERROR(VLOOKUP(RIGHT(O4,1),$N$4:$N$7,1,0))))</f>
        <v>1</v>
      </c>
      <c r="Q4" t="b">
        <f>NOT(ISERROR(VLOOKUP(RIGHT(O4,1),$N$4:$N$7,1,0)))</f>
        <v>1</v>
      </c>
    </row>
    <row r="5" spans="2:17" x14ac:dyDescent="0.25">
      <c r="B5" t="s">
        <v>7</v>
      </c>
      <c r="C5" t="s">
        <v>16</v>
      </c>
      <c r="D5" s="1">
        <v>109575</v>
      </c>
      <c r="E5" t="s">
        <v>24</v>
      </c>
      <c r="F5" t="s">
        <v>106</v>
      </c>
      <c r="G5" t="s">
        <v>34</v>
      </c>
      <c r="H5" t="s">
        <v>40</v>
      </c>
      <c r="I5" t="s">
        <v>82</v>
      </c>
      <c r="J5" t="s">
        <v>54</v>
      </c>
      <c r="L5" t="s">
        <v>89</v>
      </c>
      <c r="M5" t="s">
        <v>65</v>
      </c>
      <c r="N5" t="s">
        <v>111</v>
      </c>
    </row>
    <row r="6" spans="2:17" x14ac:dyDescent="0.25">
      <c r="B6" t="s">
        <v>8</v>
      </c>
      <c r="C6" t="s">
        <v>17</v>
      </c>
      <c r="E6" t="s">
        <v>25</v>
      </c>
      <c r="F6" t="s">
        <v>36</v>
      </c>
      <c r="G6" t="s">
        <v>33</v>
      </c>
      <c r="H6" t="s">
        <v>41</v>
      </c>
      <c r="I6" t="s">
        <v>83</v>
      </c>
      <c r="J6" t="s">
        <v>55</v>
      </c>
      <c r="L6" t="s">
        <v>90</v>
      </c>
      <c r="M6" t="s">
        <v>66</v>
      </c>
      <c r="N6" t="s">
        <v>112</v>
      </c>
    </row>
    <row r="7" spans="2:17" x14ac:dyDescent="0.25">
      <c r="B7" t="s">
        <v>9</v>
      </c>
      <c r="C7" t="s">
        <v>14</v>
      </c>
      <c r="E7" t="s">
        <v>26</v>
      </c>
      <c r="F7" t="s">
        <v>97</v>
      </c>
      <c r="H7" t="s">
        <v>42</v>
      </c>
      <c r="I7" t="s">
        <v>84</v>
      </c>
      <c r="J7" t="s">
        <v>56</v>
      </c>
      <c r="L7" t="s">
        <v>91</v>
      </c>
      <c r="M7" t="s">
        <v>67</v>
      </c>
      <c r="N7" t="s">
        <v>113</v>
      </c>
    </row>
    <row r="8" spans="2:17" x14ac:dyDescent="0.25">
      <c r="B8" t="s">
        <v>10</v>
      </c>
      <c r="C8" t="s">
        <v>15</v>
      </c>
      <c r="E8" t="s">
        <v>27</v>
      </c>
      <c r="F8" t="s">
        <v>30</v>
      </c>
      <c r="H8" t="s">
        <v>43</v>
      </c>
      <c r="I8" t="s">
        <v>85</v>
      </c>
      <c r="J8" t="s">
        <v>57</v>
      </c>
      <c r="L8" t="s">
        <v>92</v>
      </c>
      <c r="M8" t="s">
        <v>68</v>
      </c>
    </row>
    <row r="9" spans="2:17" x14ac:dyDescent="0.25">
      <c r="C9" t="s">
        <v>13</v>
      </c>
      <c r="F9" t="s">
        <v>98</v>
      </c>
      <c r="H9" t="s">
        <v>44</v>
      </c>
      <c r="I9" t="s">
        <v>86</v>
      </c>
      <c r="J9" t="s">
        <v>58</v>
      </c>
      <c r="L9" t="s">
        <v>93</v>
      </c>
      <c r="M9" t="s">
        <v>69</v>
      </c>
    </row>
    <row r="10" spans="2:17" x14ac:dyDescent="0.25">
      <c r="F10" t="s">
        <v>99</v>
      </c>
      <c r="I10" t="s">
        <v>87</v>
      </c>
      <c r="J10" t="s">
        <v>59</v>
      </c>
      <c r="L10" t="s">
        <v>94</v>
      </c>
      <c r="M10" t="s">
        <v>70</v>
      </c>
    </row>
    <row r="11" spans="2:17" x14ac:dyDescent="0.25">
      <c r="F11" t="s">
        <v>100</v>
      </c>
      <c r="L11" t="s">
        <v>95</v>
      </c>
      <c r="M11" t="s">
        <v>71</v>
      </c>
    </row>
    <row r="12" spans="2:17" x14ac:dyDescent="0.25">
      <c r="F12" t="s">
        <v>101</v>
      </c>
      <c r="L12" t="s">
        <v>96</v>
      </c>
      <c r="M12" t="s">
        <v>72</v>
      </c>
    </row>
    <row r="13" spans="2:17" x14ac:dyDescent="0.25">
      <c r="F13" t="s">
        <v>102</v>
      </c>
    </row>
    <row r="14" spans="2:17" x14ac:dyDescent="0.25">
      <c r="F14" t="s">
        <v>103</v>
      </c>
    </row>
    <row r="15" spans="2:17" x14ac:dyDescent="0.25">
      <c r="F15" t="s">
        <v>104</v>
      </c>
    </row>
    <row r="16" spans="2:17" x14ac:dyDescent="0.25">
      <c r="F16" t="s">
        <v>105</v>
      </c>
    </row>
  </sheetData>
  <hyperlinks>
    <hyperlink ref="M5" r:id="rId1" tooltip="Abstract base forward class. " display="https://www.quantlib.org/reference/class_quant_lib_1_1_forward.html"/>
    <hyperlink ref="M9" r:id="rId2" tooltip="Main cycle of the International Money Market (a.k.a. IMM) months. " display="https://www.quantlib.org/reference/struct_quant_lib_1_1_i_m_m.html"/>
  </hyperlinks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B4"/>
  <sheetViews>
    <sheetView workbookViewId="0">
      <selection activeCell="B5" sqref="B5"/>
    </sheetView>
  </sheetViews>
  <sheetFormatPr defaultRowHeight="15" x14ac:dyDescent="0.25"/>
  <sheetData>
    <row r="2" spans="2:2" x14ac:dyDescent="0.25">
      <c r="B2" t="s">
        <v>108</v>
      </c>
    </row>
    <row r="4" spans="2:2" x14ac:dyDescent="0.25">
      <c r="B4" t="str">
        <f>objectcheck()</f>
        <v>FFYC|30-360|US|0.04|Compounded|Annual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Interest Rates Term Structures</vt:lpstr>
      <vt:lpstr>Vol Term Structure</vt:lpstr>
      <vt:lpstr>Index</vt:lpstr>
      <vt:lpstr>Bonds</vt:lpstr>
      <vt:lpstr>Swaps</vt:lpstr>
      <vt:lpstr>Options</vt:lpstr>
      <vt:lpstr>Reference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2018-06-18T11:20:15Z</dcterms:modified>
</cp:coreProperties>
</file>